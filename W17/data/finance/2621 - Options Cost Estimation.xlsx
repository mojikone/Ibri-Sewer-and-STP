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W:\2621 Design and Supervision for STP, Sewer &amp; TE Networks System in Ibri_NAMA\06-WORKING\04-Hydraulic\11-Finacial\"/>
    </mc:Choice>
  </mc:AlternateContent>
  <xr:revisionPtr revIDLastSave="0" documentId="13_ncr:1_{9D5AC77E-CA56-4CAB-B0D2-C3CB01043AF1}" xr6:coauthVersionLast="47" xr6:coauthVersionMax="47" xr10:uidLastSave="{00000000-0000-0000-0000-000000000000}"/>
  <bookViews>
    <workbookView xWindow="-120" yWindow="-120" windowWidth="29040" windowHeight="15840" firstSheet="4" activeTab="6" xr2:uid="{8112DC7B-F23D-4809-9600-2C893E1D7F0A}"/>
  </bookViews>
  <sheets>
    <sheet name="Manhole Data" sheetId="6" state="hidden" r:id="rId1"/>
    <sheet name="Pipe Data" sheetId="1" state="hidden" r:id="rId2"/>
    <sheet name="Pipe Rate" sheetId="4" state="hidden" r:id="rId3"/>
    <sheet name="Manhole Rate" sheetId="5" state="hidden" r:id="rId4"/>
    <sheet name="Sewer Pipes - CAPEX" sheetId="2" r:id="rId5"/>
    <sheet name="Manholes - CAPEX" sheetId="8" r:id="rId6"/>
    <sheet name="BPS - LS - CAPEX" sheetId="9" r:id="rId7"/>
    <sheet name="Rising Pipes - CAPEX" sheetId="11" r:id="rId8"/>
    <sheet name="STP - CAPEX" sheetId="12" r:id="rId9"/>
    <sheet name="OPEX" sheetId="7" r:id="rId10"/>
    <sheet name="Total CAPEX - OPEX" sheetId="10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7" l="1"/>
  <c r="Q6" i="7" s="1"/>
  <c r="G21" i="7"/>
  <c r="F21" i="7"/>
  <c r="E21" i="7"/>
  <c r="D21" i="7"/>
  <c r="C21" i="7"/>
  <c r="L6" i="7" s="1"/>
  <c r="B21" i="7"/>
  <c r="K6" i="7" s="1"/>
  <c r="P6" i="7"/>
  <c r="O6" i="7"/>
  <c r="N6" i="7"/>
  <c r="M6" i="7"/>
  <c r="I14" i="9"/>
  <c r="H14" i="9"/>
  <c r="G14" i="9"/>
  <c r="F14" i="9"/>
  <c r="E14" i="9"/>
  <c r="E15" i="9" s="1"/>
  <c r="D14" i="9"/>
  <c r="C14" i="9"/>
  <c r="I13" i="9"/>
  <c r="H13" i="9"/>
  <c r="G13" i="9"/>
  <c r="F13" i="9"/>
  <c r="E13" i="9"/>
  <c r="D13" i="9"/>
  <c r="C13" i="9"/>
  <c r="I12" i="9"/>
  <c r="H12" i="9"/>
  <c r="H15" i="9" s="1"/>
  <c r="G12" i="9"/>
  <c r="G15" i="9" s="1"/>
  <c r="F12" i="9"/>
  <c r="E12" i="9"/>
  <c r="D12" i="9"/>
  <c r="C12" i="9"/>
  <c r="F15" i="9"/>
  <c r="I15" i="9"/>
  <c r="I23" i="12"/>
  <c r="H23" i="12"/>
  <c r="G23" i="12"/>
  <c r="F23" i="12"/>
  <c r="E23" i="12"/>
  <c r="D23" i="12"/>
  <c r="C23" i="12"/>
  <c r="I22" i="12"/>
  <c r="H22" i="12"/>
  <c r="G22" i="12"/>
  <c r="F22" i="12"/>
  <c r="E22" i="12"/>
  <c r="D22" i="12"/>
  <c r="C22" i="12"/>
  <c r="I21" i="12"/>
  <c r="H21" i="12"/>
  <c r="G21" i="12"/>
  <c r="F21" i="12"/>
  <c r="E21" i="12"/>
  <c r="D21" i="12"/>
  <c r="C21" i="12"/>
  <c r="I20" i="12"/>
  <c r="H20" i="12"/>
  <c r="G20" i="12"/>
  <c r="F20" i="12"/>
  <c r="E20" i="12"/>
  <c r="D20" i="12"/>
  <c r="C20" i="12"/>
  <c r="I19" i="12"/>
  <c r="H19" i="12"/>
  <c r="G19" i="12"/>
  <c r="F19" i="12"/>
  <c r="E19" i="12"/>
  <c r="D19" i="12"/>
  <c r="C19" i="12"/>
  <c r="I18" i="12"/>
  <c r="H18" i="12"/>
  <c r="G18" i="12"/>
  <c r="F18" i="12"/>
  <c r="E18" i="12"/>
  <c r="D18" i="12"/>
  <c r="C18" i="12"/>
  <c r="H15" i="7"/>
  <c r="G15" i="7"/>
  <c r="F15" i="7"/>
  <c r="E15" i="7"/>
  <c r="D15" i="7"/>
  <c r="C15" i="7"/>
  <c r="B15" i="7"/>
  <c r="I14" i="12"/>
  <c r="H14" i="12"/>
  <c r="G14" i="12"/>
  <c r="F14" i="12"/>
  <c r="E14" i="12"/>
  <c r="D14" i="12"/>
  <c r="C14" i="12"/>
  <c r="I9" i="12"/>
  <c r="H9" i="12"/>
  <c r="G9" i="12"/>
  <c r="F9" i="12"/>
  <c r="E9" i="12"/>
  <c r="D9" i="12"/>
  <c r="C9" i="12"/>
  <c r="P8" i="12"/>
  <c r="O8" i="12"/>
  <c r="N8" i="12"/>
  <c r="M8" i="12"/>
  <c r="L8" i="12"/>
  <c r="K8" i="12"/>
  <c r="J8" i="12"/>
  <c r="P7" i="12"/>
  <c r="O7" i="12"/>
  <c r="N7" i="12"/>
  <c r="M7" i="12"/>
  <c r="L7" i="12"/>
  <c r="K7" i="12"/>
  <c r="J7" i="12"/>
  <c r="P6" i="12"/>
  <c r="O6" i="12"/>
  <c r="N6" i="12"/>
  <c r="M6" i="12"/>
  <c r="L6" i="12"/>
  <c r="K6" i="12"/>
  <c r="J6" i="12"/>
  <c r="H6" i="7"/>
  <c r="G6" i="7"/>
  <c r="F6" i="7"/>
  <c r="E6" i="7"/>
  <c r="D6" i="7"/>
  <c r="C6" i="7"/>
  <c r="B6" i="7"/>
  <c r="C32" i="4"/>
  <c r="D32" i="4" s="1"/>
  <c r="E32" i="4" s="1"/>
  <c r="F32" i="4" s="1"/>
  <c r="G32" i="4" s="1"/>
  <c r="H32" i="4" s="1"/>
  <c r="I32" i="4" s="1"/>
  <c r="J32" i="4" s="1"/>
  <c r="K32" i="4" s="1"/>
  <c r="L32" i="4" s="1"/>
  <c r="M32" i="4" s="1"/>
  <c r="N32" i="4" s="1"/>
  <c r="O32" i="4" s="1"/>
  <c r="P32" i="4" s="1"/>
  <c r="Q32" i="4" s="1"/>
  <c r="R32" i="4" s="1"/>
  <c r="S32" i="4" s="1"/>
  <c r="T32" i="4" s="1"/>
  <c r="U32" i="4" s="1"/>
  <c r="V32" i="4" s="1"/>
  <c r="W32" i="4" s="1"/>
  <c r="C31" i="4"/>
  <c r="D31" i="4" s="1"/>
  <c r="E31" i="4" s="1"/>
  <c r="F31" i="4" s="1"/>
  <c r="G31" i="4" s="1"/>
  <c r="H31" i="4" s="1"/>
  <c r="I31" i="4" s="1"/>
  <c r="J31" i="4" s="1"/>
  <c r="K31" i="4" s="1"/>
  <c r="L31" i="4" s="1"/>
  <c r="M31" i="4" s="1"/>
  <c r="N31" i="4" s="1"/>
  <c r="O31" i="4" s="1"/>
  <c r="P31" i="4" s="1"/>
  <c r="Q31" i="4" s="1"/>
  <c r="R31" i="4" s="1"/>
  <c r="S31" i="4" s="1"/>
  <c r="T31" i="4" s="1"/>
  <c r="U31" i="4" s="1"/>
  <c r="V31" i="4" s="1"/>
  <c r="W31" i="4" s="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Q3" i="11" s="1"/>
  <c r="C46" i="4"/>
  <c r="D46" i="4" s="1"/>
  <c r="E46" i="4" s="1"/>
  <c r="F46" i="4" s="1"/>
  <c r="G46" i="4" s="1"/>
  <c r="H46" i="4" s="1"/>
  <c r="I46" i="4" s="1"/>
  <c r="J46" i="4" s="1"/>
  <c r="K46" i="4" s="1"/>
  <c r="L46" i="4" s="1"/>
  <c r="M46" i="4" s="1"/>
  <c r="N46" i="4" s="1"/>
  <c r="O46" i="4" s="1"/>
  <c r="P46" i="4" s="1"/>
  <c r="Q46" i="4" s="1"/>
  <c r="R46" i="4" s="1"/>
  <c r="S46" i="4" s="1"/>
  <c r="T46" i="4" s="1"/>
  <c r="U46" i="4" s="1"/>
  <c r="V46" i="4" s="1"/>
  <c r="W46" i="4" s="1"/>
  <c r="C36" i="4"/>
  <c r="D36" i="4" s="1"/>
  <c r="E36" i="4" s="1"/>
  <c r="F36" i="4" s="1"/>
  <c r="G36" i="4" s="1"/>
  <c r="H36" i="4" s="1"/>
  <c r="I36" i="4" s="1"/>
  <c r="J36" i="4" s="1"/>
  <c r="K36" i="4" s="1"/>
  <c r="L36" i="4" s="1"/>
  <c r="M36" i="4" s="1"/>
  <c r="N36" i="4" s="1"/>
  <c r="O36" i="4" s="1"/>
  <c r="P36" i="4" s="1"/>
  <c r="Q36" i="4" s="1"/>
  <c r="R36" i="4" s="1"/>
  <c r="S36" i="4" s="1"/>
  <c r="T36" i="4" s="1"/>
  <c r="U36" i="4" s="1"/>
  <c r="V36" i="4" s="1"/>
  <c r="W36" i="4" s="1"/>
  <c r="C39" i="4"/>
  <c r="D39" i="4" s="1"/>
  <c r="E39" i="4" s="1"/>
  <c r="F39" i="4" s="1"/>
  <c r="G39" i="4" s="1"/>
  <c r="H39" i="4" s="1"/>
  <c r="I39" i="4" s="1"/>
  <c r="J39" i="4" s="1"/>
  <c r="K39" i="4" s="1"/>
  <c r="L39" i="4" s="1"/>
  <c r="M39" i="4" s="1"/>
  <c r="N39" i="4" s="1"/>
  <c r="O39" i="4" s="1"/>
  <c r="P39" i="4" s="1"/>
  <c r="Q39" i="4" s="1"/>
  <c r="R39" i="4" s="1"/>
  <c r="S39" i="4" s="1"/>
  <c r="T39" i="4" s="1"/>
  <c r="U39" i="4" s="1"/>
  <c r="V39" i="4" s="1"/>
  <c r="W39" i="4" s="1"/>
  <c r="P5" i="12"/>
  <c r="O5" i="12"/>
  <c r="N5" i="12"/>
  <c r="M5" i="12"/>
  <c r="L5" i="12"/>
  <c r="K5" i="12"/>
  <c r="J5" i="12"/>
  <c r="P4" i="12"/>
  <c r="O4" i="12"/>
  <c r="N4" i="12"/>
  <c r="M4" i="12"/>
  <c r="L4" i="12"/>
  <c r="K4" i="12"/>
  <c r="J4" i="12"/>
  <c r="P3" i="12"/>
  <c r="O3" i="12"/>
  <c r="N3" i="12"/>
  <c r="M3" i="12"/>
  <c r="L3" i="12"/>
  <c r="K3" i="12"/>
  <c r="J3" i="12"/>
  <c r="J40" i="11"/>
  <c r="I40" i="11"/>
  <c r="H40" i="11"/>
  <c r="G40" i="11"/>
  <c r="F40" i="11"/>
  <c r="E40" i="11"/>
  <c r="D40" i="11"/>
  <c r="H4" i="7"/>
  <c r="G4" i="7"/>
  <c r="F4" i="7"/>
  <c r="E4" i="7"/>
  <c r="D4" i="7"/>
  <c r="C4" i="7"/>
  <c r="B4" i="7"/>
  <c r="B14" i="7"/>
  <c r="I6" i="9"/>
  <c r="H14" i="7" s="1"/>
  <c r="P5" i="9"/>
  <c r="P4" i="9"/>
  <c r="P3" i="9"/>
  <c r="H6" i="9"/>
  <c r="G14" i="7" s="1"/>
  <c r="O5" i="9"/>
  <c r="O4" i="9"/>
  <c r="O3" i="9"/>
  <c r="O6" i="9" s="1"/>
  <c r="G5" i="7" s="1"/>
  <c r="G6" i="9"/>
  <c r="F14" i="7" s="1"/>
  <c r="N5" i="9"/>
  <c r="N4" i="9"/>
  <c r="N3" i="9"/>
  <c r="F6" i="9"/>
  <c r="E14" i="7" s="1"/>
  <c r="M5" i="9"/>
  <c r="M4" i="9"/>
  <c r="M3" i="9"/>
  <c r="E6" i="9"/>
  <c r="D14" i="7" s="1"/>
  <c r="L5" i="9"/>
  <c r="L4" i="9"/>
  <c r="L3" i="9"/>
  <c r="D6" i="9"/>
  <c r="C14" i="7" s="1"/>
  <c r="K5" i="9"/>
  <c r="K4" i="9"/>
  <c r="K3" i="9"/>
  <c r="J5" i="9"/>
  <c r="J4" i="9"/>
  <c r="J3" i="9"/>
  <c r="C6" i="9"/>
  <c r="J158" i="8"/>
  <c r="I158" i="8"/>
  <c r="H158" i="8"/>
  <c r="G158" i="8"/>
  <c r="F158" i="8"/>
  <c r="E158" i="8"/>
  <c r="C12" i="4"/>
  <c r="C10" i="4"/>
  <c r="D10" i="4" s="1"/>
  <c r="C97" i="2" s="1"/>
  <c r="P97" i="2" s="1"/>
  <c r="C5" i="4"/>
  <c r="D5" i="4" s="1"/>
  <c r="E5" i="4" s="1"/>
  <c r="F5" i="4" s="1"/>
  <c r="J239" i="2"/>
  <c r="I239" i="2"/>
  <c r="H239" i="2"/>
  <c r="G239" i="2"/>
  <c r="F239" i="2"/>
  <c r="E239" i="2"/>
  <c r="D158" i="8"/>
  <c r="C157" i="8"/>
  <c r="Q157" i="8" s="1"/>
  <c r="C156" i="8"/>
  <c r="P156" i="8" s="1"/>
  <c r="C155" i="8"/>
  <c r="L155" i="8" s="1"/>
  <c r="C154" i="8"/>
  <c r="Q154" i="8" s="1"/>
  <c r="C153" i="8"/>
  <c r="L153" i="8" s="1"/>
  <c r="C152" i="8"/>
  <c r="K152" i="8" s="1"/>
  <c r="C151" i="8"/>
  <c r="Q151" i="8" s="1"/>
  <c r="C150" i="8"/>
  <c r="M150" i="8" s="1"/>
  <c r="C149" i="8"/>
  <c r="P149" i="8" s="1"/>
  <c r="C148" i="8"/>
  <c r="N148" i="8" s="1"/>
  <c r="C147" i="8"/>
  <c r="P147" i="8" s="1"/>
  <c r="C146" i="8"/>
  <c r="C145" i="8"/>
  <c r="Q145" i="8" s="1"/>
  <c r="C144" i="8"/>
  <c r="Q144" i="8" s="1"/>
  <c r="C143" i="8"/>
  <c r="M143" i="8" s="1"/>
  <c r="C142" i="8"/>
  <c r="M142" i="8" s="1"/>
  <c r="C141" i="8"/>
  <c r="M141" i="8" s="1"/>
  <c r="C140" i="8"/>
  <c r="L140" i="8" s="1"/>
  <c r="C139" i="8"/>
  <c r="O139" i="8" s="1"/>
  <c r="C138" i="8"/>
  <c r="M138" i="8" s="1"/>
  <c r="C137" i="8"/>
  <c r="Q137" i="8" s="1"/>
  <c r="C136" i="8"/>
  <c r="Q136" i="8" s="1"/>
  <c r="C135" i="8"/>
  <c r="K135" i="8" s="1"/>
  <c r="C134" i="8"/>
  <c r="Q134" i="8" s="1"/>
  <c r="C133" i="8"/>
  <c r="Q133" i="8" s="1"/>
  <c r="C132" i="8"/>
  <c r="Q132" i="8" s="1"/>
  <c r="C131" i="8"/>
  <c r="N131" i="8" s="1"/>
  <c r="C130" i="8"/>
  <c r="Q130" i="8" s="1"/>
  <c r="C129" i="8"/>
  <c r="Q129" i="8" s="1"/>
  <c r="C128" i="8"/>
  <c r="K128" i="8" s="1"/>
  <c r="C127" i="8"/>
  <c r="L127" i="8" s="1"/>
  <c r="C126" i="8"/>
  <c r="K126" i="8" s="1"/>
  <c r="C125" i="8"/>
  <c r="K125" i="8" s="1"/>
  <c r="C124" i="8"/>
  <c r="O124" i="8" s="1"/>
  <c r="C123" i="8"/>
  <c r="P123" i="8" s="1"/>
  <c r="C122" i="8"/>
  <c r="P122" i="8" s="1"/>
  <c r="C121" i="8"/>
  <c r="Q121" i="8" s="1"/>
  <c r="C120" i="8"/>
  <c r="N120" i="8" s="1"/>
  <c r="C119" i="8"/>
  <c r="P119" i="8" s="1"/>
  <c r="C118" i="8"/>
  <c r="M118" i="8" s="1"/>
  <c r="C117" i="8"/>
  <c r="Q117" i="8" s="1"/>
  <c r="C116" i="8"/>
  <c r="Q116" i="8" s="1"/>
  <c r="C115" i="8"/>
  <c r="M115" i="8" s="1"/>
  <c r="C114" i="8"/>
  <c r="M114" i="8" s="1"/>
  <c r="C113" i="8"/>
  <c r="M113" i="8" s="1"/>
  <c r="C112" i="8"/>
  <c r="L112" i="8" s="1"/>
  <c r="C111" i="8"/>
  <c r="L111" i="8" s="1"/>
  <c r="C110" i="8"/>
  <c r="M110" i="8" s="1"/>
  <c r="C109" i="8"/>
  <c r="C108" i="8"/>
  <c r="L108" i="8" s="1"/>
  <c r="C107" i="8"/>
  <c r="K107" i="8" s="1"/>
  <c r="C106" i="8"/>
  <c r="L106" i="8" s="1"/>
  <c r="C105" i="8"/>
  <c r="M105" i="8" s="1"/>
  <c r="C104" i="8"/>
  <c r="L104" i="8" s="1"/>
  <c r="C103" i="8"/>
  <c r="Q103" i="8" s="1"/>
  <c r="C102" i="8"/>
  <c r="Q102" i="8" s="1"/>
  <c r="C101" i="8"/>
  <c r="Q101" i="8" s="1"/>
  <c r="C100" i="8"/>
  <c r="L100" i="8" s="1"/>
  <c r="C99" i="8"/>
  <c r="L99" i="8" s="1"/>
  <c r="C98" i="8"/>
  <c r="P98" i="8" s="1"/>
  <c r="C97" i="8"/>
  <c r="K97" i="8" s="1"/>
  <c r="C96" i="8"/>
  <c r="K96" i="8" s="1"/>
  <c r="C95" i="8"/>
  <c r="M95" i="8" s="1"/>
  <c r="C94" i="8"/>
  <c r="M94" i="8" s="1"/>
  <c r="C93" i="8"/>
  <c r="K93" i="8" s="1"/>
  <c r="C92" i="8"/>
  <c r="N92" i="8" s="1"/>
  <c r="C91" i="8"/>
  <c r="P91" i="8" s="1"/>
  <c r="C90" i="8"/>
  <c r="Q90" i="8" s="1"/>
  <c r="C89" i="8"/>
  <c r="Q89" i="8" s="1"/>
  <c r="C88" i="8"/>
  <c r="Q88" i="8" s="1"/>
  <c r="C87" i="8"/>
  <c r="O87" i="8" s="1"/>
  <c r="C86" i="8"/>
  <c r="M86" i="8" s="1"/>
  <c r="C85" i="8"/>
  <c r="M85" i="8" s="1"/>
  <c r="C84" i="8"/>
  <c r="M84" i="8" s="1"/>
  <c r="C83" i="8"/>
  <c r="Q83" i="8" s="1"/>
  <c r="C82" i="8"/>
  <c r="M82" i="8" s="1"/>
  <c r="C81" i="8"/>
  <c r="C80" i="8"/>
  <c r="L80" i="8" s="1"/>
  <c r="C79" i="8"/>
  <c r="P79" i="8" s="1"/>
  <c r="C78" i="8"/>
  <c r="L78" i="8" s="1"/>
  <c r="C77" i="8"/>
  <c r="Q77" i="8" s="1"/>
  <c r="C76" i="8"/>
  <c r="Q76" i="8" s="1"/>
  <c r="C75" i="8"/>
  <c r="Q75" i="8" s="1"/>
  <c r="C74" i="8"/>
  <c r="Q74" i="8" s="1"/>
  <c r="C73" i="8"/>
  <c r="Q73" i="8" s="1"/>
  <c r="C72" i="8"/>
  <c r="K72" i="8" s="1"/>
  <c r="C71" i="8"/>
  <c r="L71" i="8" s="1"/>
  <c r="C70" i="8"/>
  <c r="N70" i="8" s="1"/>
  <c r="C69" i="8"/>
  <c r="L69" i="8" s="1"/>
  <c r="C68" i="8"/>
  <c r="K68" i="8" s="1"/>
  <c r="C67" i="8"/>
  <c r="P67" i="8" s="1"/>
  <c r="C66" i="8"/>
  <c r="P66" i="8" s="1"/>
  <c r="C65" i="8"/>
  <c r="M65" i="8" s="1"/>
  <c r="C64" i="8"/>
  <c r="N64" i="8" s="1"/>
  <c r="C63" i="8"/>
  <c r="P63" i="8" s="1"/>
  <c r="C62" i="8"/>
  <c r="M62" i="8" s="1"/>
  <c r="C61" i="8"/>
  <c r="Q61" i="8" s="1"/>
  <c r="C60" i="8"/>
  <c r="Q60" i="8" s="1"/>
  <c r="C59" i="8"/>
  <c r="O59" i="8" s="1"/>
  <c r="C58" i="8"/>
  <c r="M58" i="8" s="1"/>
  <c r="C57" i="8"/>
  <c r="M57" i="8" s="1"/>
  <c r="C56" i="8"/>
  <c r="C55" i="8"/>
  <c r="M55" i="8" s="1"/>
  <c r="C54" i="8"/>
  <c r="M54" i="8" s="1"/>
  <c r="C53" i="8"/>
  <c r="O53" i="8" s="1"/>
  <c r="C52" i="8"/>
  <c r="M52" i="8" s="1"/>
  <c r="C51" i="8"/>
  <c r="K51" i="8" s="1"/>
  <c r="C50" i="8"/>
  <c r="O50" i="8" s="1"/>
  <c r="C49" i="8"/>
  <c r="M49" i="8" s="1"/>
  <c r="C48" i="8"/>
  <c r="L48" i="8" s="1"/>
  <c r="C47" i="8"/>
  <c r="Q47" i="8" s="1"/>
  <c r="C46" i="8"/>
  <c r="Q46" i="8" s="1"/>
  <c r="C45" i="8"/>
  <c r="Q45" i="8" s="1"/>
  <c r="C44" i="8"/>
  <c r="L44" i="8" s="1"/>
  <c r="C43" i="8"/>
  <c r="L43" i="8" s="1"/>
  <c r="C42" i="8"/>
  <c r="P42" i="8" s="1"/>
  <c r="C41" i="8"/>
  <c r="P41" i="8" s="1"/>
  <c r="C40" i="8"/>
  <c r="O40" i="8" s="1"/>
  <c r="C39" i="8"/>
  <c r="M39" i="8" s="1"/>
  <c r="C38" i="8"/>
  <c r="M38" i="8" s="1"/>
  <c r="C37" i="8"/>
  <c r="M37" i="8" s="1"/>
  <c r="C36" i="8"/>
  <c r="N36" i="8" s="1"/>
  <c r="C35" i="8"/>
  <c r="P35" i="8" s="1"/>
  <c r="C34" i="8"/>
  <c r="O34" i="8" s="1"/>
  <c r="C33" i="8"/>
  <c r="Q33" i="8" s="1"/>
  <c r="C32" i="8"/>
  <c r="Q32" i="8" s="1"/>
  <c r="C31" i="8"/>
  <c r="M31" i="8" s="1"/>
  <c r="C30" i="8"/>
  <c r="M30" i="8" s="1"/>
  <c r="C29" i="8"/>
  <c r="M29" i="8" s="1"/>
  <c r="C28" i="8"/>
  <c r="L28" i="8" s="1"/>
  <c r="C27" i="8"/>
  <c r="M27" i="8" s="1"/>
  <c r="C26" i="8"/>
  <c r="C25" i="8"/>
  <c r="L25" i="8" s="1"/>
  <c r="C24" i="8"/>
  <c r="N24" i="8" s="1"/>
  <c r="C23" i="8"/>
  <c r="Q23" i="8" s="1"/>
  <c r="C22" i="8"/>
  <c r="O22" i="8" s="1"/>
  <c r="C21" i="8"/>
  <c r="L21" i="8" s="1"/>
  <c r="C20" i="8"/>
  <c r="Q20" i="8" s="1"/>
  <c r="C19" i="8"/>
  <c r="Q19" i="8" s="1"/>
  <c r="C18" i="8"/>
  <c r="Q18" i="8" s="1"/>
  <c r="C17" i="8"/>
  <c r="N17" i="8" s="1"/>
  <c r="C16" i="8"/>
  <c r="L16" i="8" s="1"/>
  <c r="C15" i="8"/>
  <c r="N15" i="8" s="1"/>
  <c r="C14" i="8"/>
  <c r="P14" i="8" s="1"/>
  <c r="C13" i="8"/>
  <c r="K13" i="8" s="1"/>
  <c r="C12" i="8"/>
  <c r="K12" i="8" s="1"/>
  <c r="C11" i="8"/>
  <c r="N11" i="8" s="1"/>
  <c r="C10" i="8"/>
  <c r="O10" i="8" s="1"/>
  <c r="C9" i="8"/>
  <c r="N9" i="8" s="1"/>
  <c r="C8" i="8"/>
  <c r="P8" i="8" s="1"/>
  <c r="C7" i="8"/>
  <c r="M7" i="8" s="1"/>
  <c r="C6" i="8"/>
  <c r="Q6" i="8" s="1"/>
  <c r="C5" i="8"/>
  <c r="Q5" i="8" s="1"/>
  <c r="C4" i="8"/>
  <c r="C3" i="8"/>
  <c r="M3" i="8" s="1"/>
  <c r="D239" i="2"/>
  <c r="C238" i="2"/>
  <c r="Q238" i="2" s="1"/>
  <c r="C237" i="2"/>
  <c r="L237" i="2" s="1"/>
  <c r="C236" i="2"/>
  <c r="L236" i="2" s="1"/>
  <c r="C235" i="2"/>
  <c r="L235" i="2" s="1"/>
  <c r="C234" i="2"/>
  <c r="C233" i="2"/>
  <c r="M233" i="2" s="1"/>
  <c r="C232" i="2"/>
  <c r="P232" i="2" s="1"/>
  <c r="C231" i="2"/>
  <c r="N231" i="2" s="1"/>
  <c r="C230" i="2"/>
  <c r="P230" i="2" s="1"/>
  <c r="C229" i="2"/>
  <c r="N229" i="2" s="1"/>
  <c r="X2" i="5"/>
  <c r="Y2" i="5"/>
  <c r="Z2" i="5"/>
  <c r="AA2" i="5"/>
  <c r="AB2" i="5"/>
  <c r="AC2" i="5"/>
  <c r="X3" i="5"/>
  <c r="Y3" i="5"/>
  <c r="Z3" i="5"/>
  <c r="AA3" i="5"/>
  <c r="AB3" i="5"/>
  <c r="AC3" i="5"/>
  <c r="X4" i="5"/>
  <c r="Y4" i="5"/>
  <c r="Z4" i="5"/>
  <c r="AA4" i="5"/>
  <c r="AB4" i="5"/>
  <c r="AC4" i="5"/>
  <c r="C3" i="2"/>
  <c r="M3" i="2" s="1"/>
  <c r="C23" i="4"/>
  <c r="D23" i="4" s="1"/>
  <c r="E23" i="4" s="1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C22" i="4"/>
  <c r="D22" i="4" s="1"/>
  <c r="E22" i="4" s="1"/>
  <c r="F22" i="4" s="1"/>
  <c r="G22" i="4" s="1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C21" i="4"/>
  <c r="D21" i="4" s="1"/>
  <c r="E21" i="4" s="1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C20" i="4"/>
  <c r="D20" i="4" s="1"/>
  <c r="E20" i="4" s="1"/>
  <c r="C19" i="4"/>
  <c r="D19" i="4" s="1"/>
  <c r="E19" i="4" s="1"/>
  <c r="C18" i="4"/>
  <c r="D18" i="4" s="1"/>
  <c r="E18" i="4" s="1"/>
  <c r="F18" i="4" s="1"/>
  <c r="G18" i="4" s="1"/>
  <c r="H18" i="4" s="1"/>
  <c r="I18" i="4" s="1"/>
  <c r="C17" i="4"/>
  <c r="D17" i="4" s="1"/>
  <c r="C173" i="2" s="1"/>
  <c r="L173" i="2" s="1"/>
  <c r="D15" i="9" l="1"/>
  <c r="P4" i="7"/>
  <c r="M4" i="7"/>
  <c r="K4" i="7"/>
  <c r="L4" i="7"/>
  <c r="N4" i="7"/>
  <c r="Q4" i="7"/>
  <c r="O4" i="7"/>
  <c r="C15" i="9"/>
  <c r="D24" i="12"/>
  <c r="C17" i="7" s="1"/>
  <c r="L5" i="7" s="1"/>
  <c r="G24" i="12"/>
  <c r="F17" i="7" s="1"/>
  <c r="O5" i="7" s="1"/>
  <c r="H24" i="12"/>
  <c r="G17" i="7" s="1"/>
  <c r="P5" i="7" s="1"/>
  <c r="I24" i="12"/>
  <c r="H17" i="7" s="1"/>
  <c r="Q5" i="7" s="1"/>
  <c r="C24" i="12"/>
  <c r="B17" i="7" s="1"/>
  <c r="K5" i="7" s="1"/>
  <c r="E24" i="12"/>
  <c r="D17" i="7" s="1"/>
  <c r="M5" i="7" s="1"/>
  <c r="F24" i="12"/>
  <c r="E17" i="7" s="1"/>
  <c r="N5" i="7" s="1"/>
  <c r="N6" i="9"/>
  <c r="F5" i="7" s="1"/>
  <c r="L6" i="9"/>
  <c r="D5" i="7" s="1"/>
  <c r="J9" i="12"/>
  <c r="B7" i="7" s="1"/>
  <c r="K9" i="12"/>
  <c r="C7" i="7" s="1"/>
  <c r="L9" i="12"/>
  <c r="D7" i="7" s="1"/>
  <c r="N9" i="12"/>
  <c r="F7" i="7" s="1"/>
  <c r="P9" i="12"/>
  <c r="H7" i="7" s="1"/>
  <c r="O9" i="12"/>
  <c r="G7" i="7" s="1"/>
  <c r="M9" i="12"/>
  <c r="E7" i="7" s="1"/>
  <c r="C96" i="2"/>
  <c r="P96" i="2" s="1"/>
  <c r="C225" i="2"/>
  <c r="P225" i="2" s="1"/>
  <c r="C226" i="2"/>
  <c r="K226" i="2" s="1"/>
  <c r="C227" i="2"/>
  <c r="L227" i="2" s="1"/>
  <c r="C220" i="2"/>
  <c r="P220" i="2" s="1"/>
  <c r="C221" i="2"/>
  <c r="K221" i="2" s="1"/>
  <c r="C222" i="2"/>
  <c r="K222" i="2" s="1"/>
  <c r="C223" i="2"/>
  <c r="N223" i="2" s="1"/>
  <c r="C224" i="2"/>
  <c r="O224" i="2" s="1"/>
  <c r="F20" i="4"/>
  <c r="C203" i="2"/>
  <c r="O203" i="2" s="1"/>
  <c r="T21" i="4"/>
  <c r="U21" i="4" s="1"/>
  <c r="C214" i="2"/>
  <c r="Q214" i="2" s="1"/>
  <c r="T22" i="4"/>
  <c r="U22" i="4" s="1"/>
  <c r="C217" i="2"/>
  <c r="Q217" i="2" s="1"/>
  <c r="J18" i="4"/>
  <c r="K18" i="4" s="1"/>
  <c r="C185" i="2"/>
  <c r="L185" i="2" s="1"/>
  <c r="F19" i="4"/>
  <c r="C193" i="2"/>
  <c r="K193" i="2" s="1"/>
  <c r="O3" i="11"/>
  <c r="P3" i="11"/>
  <c r="E17" i="4"/>
  <c r="E10" i="4"/>
  <c r="D12" i="4"/>
  <c r="C109" i="2"/>
  <c r="G5" i="4"/>
  <c r="C228" i="2"/>
  <c r="N228" i="2" s="1"/>
  <c r="K3" i="11"/>
  <c r="L3" i="11"/>
  <c r="M3" i="11"/>
  <c r="N3" i="11"/>
  <c r="J6" i="9"/>
  <c r="B5" i="7" s="1"/>
  <c r="M6" i="9"/>
  <c r="E5" i="7" s="1"/>
  <c r="P6" i="9"/>
  <c r="H5" i="7" s="1"/>
  <c r="K6" i="9"/>
  <c r="C5" i="7" s="1"/>
  <c r="K98" i="8"/>
  <c r="M22" i="8"/>
  <c r="M108" i="8"/>
  <c r="M147" i="8"/>
  <c r="M148" i="8"/>
  <c r="M151" i="8"/>
  <c r="N78" i="8"/>
  <c r="K40" i="8"/>
  <c r="K30" i="8"/>
  <c r="K101" i="8"/>
  <c r="K113" i="8"/>
  <c r="K129" i="8"/>
  <c r="L128" i="8"/>
  <c r="L129" i="8"/>
  <c r="L141" i="8"/>
  <c r="L142" i="8"/>
  <c r="K114" i="8"/>
  <c r="N128" i="8"/>
  <c r="N129" i="8"/>
  <c r="O130" i="8"/>
  <c r="O155" i="8"/>
  <c r="P18" i="8"/>
  <c r="K3" i="8"/>
  <c r="K18" i="8"/>
  <c r="K41" i="8"/>
  <c r="O31" i="8"/>
  <c r="M19" i="8"/>
  <c r="K44" i="8"/>
  <c r="O74" i="8"/>
  <c r="K89" i="8"/>
  <c r="M111" i="8"/>
  <c r="O113" i="8"/>
  <c r="O30" i="8"/>
  <c r="L157" i="8"/>
  <c r="K42" i="8"/>
  <c r="K43" i="8"/>
  <c r="O43" i="8"/>
  <c r="K57" i="8"/>
  <c r="M46" i="8"/>
  <c r="K58" i="8"/>
  <c r="O99" i="8"/>
  <c r="K92" i="8"/>
  <c r="O114" i="8"/>
  <c r="M155" i="8"/>
  <c r="K156" i="8"/>
  <c r="N3" i="8"/>
  <c r="P43" i="8"/>
  <c r="K157" i="8"/>
  <c r="N18" i="8"/>
  <c r="P44" i="8"/>
  <c r="L3" i="8"/>
  <c r="N19" i="8"/>
  <c r="P45" i="8"/>
  <c r="N71" i="8"/>
  <c r="P100" i="8"/>
  <c r="L57" i="8"/>
  <c r="N85" i="8"/>
  <c r="P129" i="8"/>
  <c r="L58" i="8"/>
  <c r="N86" i="8"/>
  <c r="P141" i="8"/>
  <c r="L30" i="8"/>
  <c r="N30" i="8"/>
  <c r="P73" i="8"/>
  <c r="L31" i="8"/>
  <c r="N31" i="8"/>
  <c r="P99" i="8"/>
  <c r="L45" i="8"/>
  <c r="P101" i="8"/>
  <c r="L73" i="8"/>
  <c r="N113" i="8"/>
  <c r="L125" i="8"/>
  <c r="N114" i="8"/>
  <c r="M5" i="8"/>
  <c r="K36" i="8"/>
  <c r="L120" i="8"/>
  <c r="O32" i="8"/>
  <c r="L6" i="8"/>
  <c r="N88" i="8"/>
  <c r="L8" i="8"/>
  <c r="M117" i="8"/>
  <c r="O60" i="8"/>
  <c r="L9" i="8"/>
  <c r="N91" i="8"/>
  <c r="P93" i="8"/>
  <c r="N94" i="8"/>
  <c r="K60" i="8"/>
  <c r="L144" i="8"/>
  <c r="P95" i="8"/>
  <c r="K85" i="8"/>
  <c r="L17" i="8"/>
  <c r="L148" i="8"/>
  <c r="M127" i="8"/>
  <c r="N99" i="8"/>
  <c r="O84" i="8"/>
  <c r="P96" i="8"/>
  <c r="O88" i="8"/>
  <c r="L116" i="8"/>
  <c r="L5" i="8"/>
  <c r="P60" i="8"/>
  <c r="L133" i="8"/>
  <c r="N89" i="8"/>
  <c r="O61" i="8"/>
  <c r="L11" i="8"/>
  <c r="M119" i="8"/>
  <c r="P94" i="8"/>
  <c r="L14" i="8"/>
  <c r="M120" i="8"/>
  <c r="N98" i="8"/>
  <c r="O83" i="8"/>
  <c r="K86" i="8"/>
  <c r="L18" i="8"/>
  <c r="L156" i="8"/>
  <c r="M130" i="8"/>
  <c r="N100" i="8"/>
  <c r="O85" i="8"/>
  <c r="P97" i="8"/>
  <c r="P116" i="8"/>
  <c r="M88" i="8"/>
  <c r="M116" i="8"/>
  <c r="K88" i="8"/>
  <c r="M144" i="8"/>
  <c r="N101" i="8"/>
  <c r="O86" i="8"/>
  <c r="L32" i="8"/>
  <c r="N144" i="8"/>
  <c r="K116" i="8"/>
  <c r="N5" i="8"/>
  <c r="L61" i="8"/>
  <c r="K124" i="8"/>
  <c r="Q21" i="8"/>
  <c r="P5" i="8"/>
  <c r="M60" i="8"/>
  <c r="N154" i="8"/>
  <c r="K127" i="8"/>
  <c r="P9" i="8"/>
  <c r="L92" i="8"/>
  <c r="M66" i="8"/>
  <c r="N32" i="8"/>
  <c r="N156" i="8"/>
  <c r="Q43" i="8"/>
  <c r="K31" i="8"/>
  <c r="K142" i="8"/>
  <c r="L97" i="8"/>
  <c r="M67" i="8"/>
  <c r="N45" i="8"/>
  <c r="N157" i="8"/>
  <c r="P30" i="8"/>
  <c r="Q96" i="8"/>
  <c r="O116" i="8"/>
  <c r="L60" i="8"/>
  <c r="N145" i="8"/>
  <c r="M35" i="8"/>
  <c r="M36" i="8"/>
  <c r="N150" i="8"/>
  <c r="L64" i="8"/>
  <c r="N151" i="8"/>
  <c r="Q37" i="8"/>
  <c r="K32" i="8"/>
  <c r="K144" i="8"/>
  <c r="M71" i="8"/>
  <c r="N58" i="8"/>
  <c r="P32" i="8"/>
  <c r="Q99" i="8"/>
  <c r="N116" i="8"/>
  <c r="M32" i="8"/>
  <c r="M33" i="8"/>
  <c r="M34" i="8"/>
  <c r="P144" i="8"/>
  <c r="K123" i="8"/>
  <c r="N147" i="8"/>
  <c r="L63" i="8"/>
  <c r="N22" i="8"/>
  <c r="Q22" i="8"/>
  <c r="K5" i="8"/>
  <c r="P6" i="8"/>
  <c r="L91" i="8"/>
  <c r="N155" i="8"/>
  <c r="Q40" i="8"/>
  <c r="K33" i="8"/>
  <c r="K155" i="8"/>
  <c r="L101" i="8"/>
  <c r="M74" i="8"/>
  <c r="N60" i="8"/>
  <c r="O3" i="8"/>
  <c r="K21" i="8"/>
  <c r="K24" i="8"/>
  <c r="M25" i="8"/>
  <c r="N21" i="8"/>
  <c r="Q34" i="8"/>
  <c r="L76" i="8"/>
  <c r="L77" i="8"/>
  <c r="N33" i="8"/>
  <c r="P33" i="8"/>
  <c r="Q49" i="8"/>
  <c r="P36" i="8"/>
  <c r="Q50" i="8"/>
  <c r="M133" i="8"/>
  <c r="O90" i="8"/>
  <c r="Q62" i="8"/>
  <c r="K120" i="8"/>
  <c r="L85" i="8"/>
  <c r="M136" i="8"/>
  <c r="N46" i="8"/>
  <c r="N102" i="8"/>
  <c r="O5" i="8"/>
  <c r="P38" i="8"/>
  <c r="Q71" i="8"/>
  <c r="L135" i="8"/>
  <c r="Q48" i="8"/>
  <c r="L136" i="8"/>
  <c r="L83" i="8"/>
  <c r="N35" i="8"/>
  <c r="O89" i="8"/>
  <c r="P107" i="8"/>
  <c r="K117" i="8"/>
  <c r="L84" i="8"/>
  <c r="M61" i="8"/>
  <c r="P37" i="8"/>
  <c r="P113" i="8"/>
  <c r="K121" i="8"/>
  <c r="L86" i="8"/>
  <c r="L145" i="8"/>
  <c r="M63" i="8"/>
  <c r="N47" i="8"/>
  <c r="N103" i="8"/>
  <c r="O6" i="8"/>
  <c r="O102" i="8"/>
  <c r="P39" i="8"/>
  <c r="P117" i="8"/>
  <c r="Q78" i="8"/>
  <c r="K45" i="8"/>
  <c r="K122" i="8"/>
  <c r="L22" i="8"/>
  <c r="L88" i="8"/>
  <c r="L147" i="8"/>
  <c r="M64" i="8"/>
  <c r="M145" i="8"/>
  <c r="N48" i="8"/>
  <c r="N104" i="8"/>
  <c r="O19" i="8"/>
  <c r="O105" i="8"/>
  <c r="P40" i="8"/>
  <c r="P120" i="8"/>
  <c r="L89" i="8"/>
  <c r="M68" i="8"/>
  <c r="M152" i="8"/>
  <c r="N57" i="8"/>
  <c r="O117" i="8"/>
  <c r="P145" i="8"/>
  <c r="Q104" i="8"/>
  <c r="N105" i="8"/>
  <c r="N51" i="8"/>
  <c r="K61" i="8"/>
  <c r="L33" i="8"/>
  <c r="O33" i="8"/>
  <c r="P148" i="8"/>
  <c r="Q105" i="8"/>
  <c r="N106" i="8"/>
  <c r="K64" i="8"/>
  <c r="L35" i="8"/>
  <c r="M6" i="8"/>
  <c r="N117" i="8"/>
  <c r="O133" i="8"/>
  <c r="P57" i="8"/>
  <c r="Q106" i="8"/>
  <c r="L134" i="8"/>
  <c r="N49" i="8"/>
  <c r="K67" i="8"/>
  <c r="K132" i="8"/>
  <c r="L36" i="8"/>
  <c r="M77" i="8"/>
  <c r="N61" i="8"/>
  <c r="N119" i="8"/>
  <c r="O37" i="8"/>
  <c r="P150" i="8"/>
  <c r="Q107" i="8"/>
  <c r="M8" i="8"/>
  <c r="N63" i="8"/>
  <c r="O140" i="8"/>
  <c r="P61" i="8"/>
  <c r="P151" i="8"/>
  <c r="Q108" i="8"/>
  <c r="O141" i="8"/>
  <c r="P64" i="8"/>
  <c r="P152" i="8"/>
  <c r="Q124" i="8"/>
  <c r="L132" i="8"/>
  <c r="L23" i="8"/>
  <c r="N50" i="8"/>
  <c r="P153" i="8"/>
  <c r="Q127" i="8"/>
  <c r="K48" i="8"/>
  <c r="K141" i="8"/>
  <c r="L105" i="8"/>
  <c r="M9" i="8"/>
  <c r="N6" i="8"/>
  <c r="K70" i="8"/>
  <c r="L113" i="8"/>
  <c r="M10" i="8"/>
  <c r="M89" i="8"/>
  <c r="N8" i="8"/>
  <c r="N130" i="8"/>
  <c r="O46" i="8"/>
  <c r="O142" i="8"/>
  <c r="K6" i="8"/>
  <c r="K71" i="8"/>
  <c r="K145" i="8"/>
  <c r="L49" i="8"/>
  <c r="L114" i="8"/>
  <c r="M11" i="8"/>
  <c r="M91" i="8"/>
  <c r="N72" i="8"/>
  <c r="N134" i="8"/>
  <c r="O49" i="8"/>
  <c r="O143" i="8"/>
  <c r="P85" i="8"/>
  <c r="P154" i="8"/>
  <c r="Q131" i="8"/>
  <c r="N23" i="8"/>
  <c r="M80" i="8"/>
  <c r="K148" i="8"/>
  <c r="L50" i="8"/>
  <c r="M12" i="8"/>
  <c r="M92" i="8"/>
  <c r="N73" i="8"/>
  <c r="N138" i="8"/>
  <c r="O144" i="8"/>
  <c r="P88" i="8"/>
  <c r="K69" i="8"/>
  <c r="K9" i="8"/>
  <c r="K16" i="8"/>
  <c r="K73" i="8"/>
  <c r="K151" i="8"/>
  <c r="L51" i="8"/>
  <c r="L117" i="8"/>
  <c r="M13" i="8"/>
  <c r="M102" i="8"/>
  <c r="N16" i="8"/>
  <c r="N74" i="8"/>
  <c r="N141" i="8"/>
  <c r="O57" i="8"/>
  <c r="O145" i="8"/>
  <c r="P89" i="8"/>
  <c r="P157" i="8"/>
  <c r="Q155" i="8"/>
  <c r="K17" i="8"/>
  <c r="K76" i="8"/>
  <c r="K154" i="8"/>
  <c r="L52" i="8"/>
  <c r="L119" i="8"/>
  <c r="M16" i="8"/>
  <c r="N76" i="8"/>
  <c r="N142" i="8"/>
  <c r="O58" i="8"/>
  <c r="O152" i="8"/>
  <c r="P92" i="8"/>
  <c r="P139" i="8"/>
  <c r="K139" i="8"/>
  <c r="N139" i="8"/>
  <c r="P115" i="8"/>
  <c r="K115" i="8"/>
  <c r="N115" i="8"/>
  <c r="Q115" i="8"/>
  <c r="L115" i="8"/>
  <c r="M109" i="8"/>
  <c r="P109" i="8"/>
  <c r="K109" i="8"/>
  <c r="N109" i="8"/>
  <c r="P56" i="8"/>
  <c r="K56" i="8"/>
  <c r="N56" i="8"/>
  <c r="Q56" i="8"/>
  <c r="L53" i="8"/>
  <c r="K79" i="8"/>
  <c r="L54" i="8"/>
  <c r="L94" i="8"/>
  <c r="L137" i="8"/>
  <c r="M121" i="8"/>
  <c r="O93" i="8"/>
  <c r="Q51" i="8"/>
  <c r="Q109" i="8"/>
  <c r="P7" i="8"/>
  <c r="K7" i="8"/>
  <c r="N7" i="8"/>
  <c r="L7" i="8"/>
  <c r="P34" i="8"/>
  <c r="K34" i="8"/>
  <c r="N34" i="8"/>
  <c r="L34" i="8"/>
  <c r="P62" i="8"/>
  <c r="K62" i="8"/>
  <c r="N62" i="8"/>
  <c r="L62" i="8"/>
  <c r="P90" i="8"/>
  <c r="K90" i="8"/>
  <c r="N90" i="8"/>
  <c r="L90" i="8"/>
  <c r="P118" i="8"/>
  <c r="K118" i="8"/>
  <c r="N118" i="8"/>
  <c r="L118" i="8"/>
  <c r="P146" i="8"/>
  <c r="K146" i="8"/>
  <c r="N146" i="8"/>
  <c r="L146" i="8"/>
  <c r="O146" i="8"/>
  <c r="K37" i="8"/>
  <c r="K82" i="8"/>
  <c r="L55" i="8"/>
  <c r="L138" i="8"/>
  <c r="M28" i="8"/>
  <c r="M122" i="8"/>
  <c r="O96" i="8"/>
  <c r="Q52" i="8"/>
  <c r="Q110" i="8"/>
  <c r="K38" i="8"/>
  <c r="L56" i="8"/>
  <c r="L139" i="8"/>
  <c r="M123" i="8"/>
  <c r="N107" i="8"/>
  <c r="P51" i="8"/>
  <c r="Q53" i="8"/>
  <c r="Q111" i="8"/>
  <c r="K39" i="8"/>
  <c r="M124" i="8"/>
  <c r="N20" i="8"/>
  <c r="N66" i="8"/>
  <c r="N110" i="8"/>
  <c r="P54" i="8"/>
  <c r="P155" i="8"/>
  <c r="Q54" i="8"/>
  <c r="Q118" i="8"/>
  <c r="N65" i="8"/>
  <c r="L65" i="8"/>
  <c r="M26" i="8"/>
  <c r="P26" i="8"/>
  <c r="K26" i="8"/>
  <c r="N26" i="8"/>
  <c r="O138" i="8"/>
  <c r="Q11" i="8"/>
  <c r="O11" i="8"/>
  <c r="K94" i="8"/>
  <c r="Q15" i="8"/>
  <c r="L15" i="8"/>
  <c r="O15" i="8"/>
  <c r="M15" i="8"/>
  <c r="Q42" i="8"/>
  <c r="L42" i="8"/>
  <c r="O42" i="8"/>
  <c r="M42" i="8"/>
  <c r="Q70" i="8"/>
  <c r="L70" i="8"/>
  <c r="O70" i="8"/>
  <c r="M70" i="8"/>
  <c r="Q98" i="8"/>
  <c r="L98" i="8"/>
  <c r="O98" i="8"/>
  <c r="M98" i="8"/>
  <c r="Q126" i="8"/>
  <c r="L126" i="8"/>
  <c r="O126" i="8"/>
  <c r="M126" i="8"/>
  <c r="K95" i="8"/>
  <c r="L27" i="8"/>
  <c r="L66" i="8"/>
  <c r="L109" i="8"/>
  <c r="N75" i="8"/>
  <c r="N122" i="8"/>
  <c r="O7" i="8"/>
  <c r="P13" i="8"/>
  <c r="Q13" i="8"/>
  <c r="O55" i="8"/>
  <c r="N68" i="8"/>
  <c r="L68" i="8"/>
  <c r="P11" i="8"/>
  <c r="N125" i="8"/>
  <c r="Q125" i="8"/>
  <c r="O125" i="8"/>
  <c r="M125" i="8"/>
  <c r="L26" i="8"/>
  <c r="Q10" i="8"/>
  <c r="L110" i="8"/>
  <c r="L150" i="8"/>
  <c r="M90" i="8"/>
  <c r="N126" i="8"/>
  <c r="P121" i="8"/>
  <c r="Q16" i="8"/>
  <c r="P29" i="8"/>
  <c r="K29" i="8"/>
  <c r="N29" i="8"/>
  <c r="Q29" i="8"/>
  <c r="Q38" i="8"/>
  <c r="O38" i="8"/>
  <c r="M83" i="8"/>
  <c r="O112" i="8"/>
  <c r="Q17" i="8"/>
  <c r="O17" i="8"/>
  <c r="M17" i="8"/>
  <c r="Q44" i="8"/>
  <c r="O44" i="8"/>
  <c r="M44" i="8"/>
  <c r="Q72" i="8"/>
  <c r="O72" i="8"/>
  <c r="M72" i="8"/>
  <c r="Q100" i="8"/>
  <c r="O100" i="8"/>
  <c r="M100" i="8"/>
  <c r="Q128" i="8"/>
  <c r="O128" i="8"/>
  <c r="M128" i="8"/>
  <c r="Q156" i="8"/>
  <c r="O156" i="8"/>
  <c r="M156" i="8"/>
  <c r="L29" i="8"/>
  <c r="L72" i="8"/>
  <c r="N77" i="8"/>
  <c r="N127" i="8"/>
  <c r="O13" i="8"/>
  <c r="O115" i="8"/>
  <c r="P15" i="8"/>
  <c r="P68" i="8"/>
  <c r="Q135" i="8"/>
  <c r="P4" i="8"/>
  <c r="K4" i="8"/>
  <c r="N4" i="8"/>
  <c r="Q4" i="8"/>
  <c r="L4" i="8"/>
  <c r="P111" i="8"/>
  <c r="K111" i="8"/>
  <c r="N111" i="8"/>
  <c r="N54" i="8"/>
  <c r="N40" i="8"/>
  <c r="L40" i="8"/>
  <c r="O111" i="8"/>
  <c r="N41" i="8"/>
  <c r="Q41" i="8"/>
  <c r="O41" i="8"/>
  <c r="M41" i="8"/>
  <c r="L20" i="8"/>
  <c r="O20" i="8"/>
  <c r="M20" i="8"/>
  <c r="P20" i="8"/>
  <c r="K20" i="8"/>
  <c r="K150" i="8"/>
  <c r="N38" i="8"/>
  <c r="N82" i="8"/>
  <c r="O68" i="8"/>
  <c r="O118" i="8"/>
  <c r="P71" i="8"/>
  <c r="P125" i="8"/>
  <c r="Q80" i="8"/>
  <c r="Q138" i="8"/>
  <c r="M81" i="8"/>
  <c r="P81" i="8"/>
  <c r="K81" i="8"/>
  <c r="N81" i="8"/>
  <c r="P138" i="8"/>
  <c r="N10" i="8"/>
  <c r="L10" i="8"/>
  <c r="N149" i="8"/>
  <c r="Q149" i="8"/>
  <c r="L149" i="8"/>
  <c r="O149" i="8"/>
  <c r="Q122" i="8"/>
  <c r="O122" i="8"/>
  <c r="N39" i="8"/>
  <c r="Q39" i="8"/>
  <c r="L39" i="8"/>
  <c r="O39" i="8"/>
  <c r="L24" i="8"/>
  <c r="O56" i="8"/>
  <c r="N96" i="8"/>
  <c r="L96" i="8"/>
  <c r="K138" i="8"/>
  <c r="L107" i="8"/>
  <c r="N97" i="8"/>
  <c r="Q97" i="8"/>
  <c r="O97" i="8"/>
  <c r="M97" i="8"/>
  <c r="N27" i="8"/>
  <c r="O16" i="8"/>
  <c r="P16" i="8"/>
  <c r="K149" i="8"/>
  <c r="O65" i="8"/>
  <c r="P70" i="8"/>
  <c r="Q79" i="8"/>
  <c r="L47" i="8"/>
  <c r="O47" i="8"/>
  <c r="M47" i="8"/>
  <c r="P47" i="8"/>
  <c r="K47" i="8"/>
  <c r="L103" i="8"/>
  <c r="O103" i="8"/>
  <c r="M103" i="8"/>
  <c r="P103" i="8"/>
  <c r="K103" i="8"/>
  <c r="O21" i="8"/>
  <c r="M21" i="8"/>
  <c r="P21" i="8"/>
  <c r="O48" i="8"/>
  <c r="M48" i="8"/>
  <c r="P48" i="8"/>
  <c r="O76" i="8"/>
  <c r="M76" i="8"/>
  <c r="P76" i="8"/>
  <c r="O104" i="8"/>
  <c r="M104" i="8"/>
  <c r="P104" i="8"/>
  <c r="O132" i="8"/>
  <c r="M132" i="8"/>
  <c r="P132" i="8"/>
  <c r="M4" i="8"/>
  <c r="M149" i="8"/>
  <c r="N42" i="8"/>
  <c r="O26" i="8"/>
  <c r="O71" i="8"/>
  <c r="P24" i="8"/>
  <c r="P72" i="8"/>
  <c r="P126" i="8"/>
  <c r="Q24" i="8"/>
  <c r="Q81" i="8"/>
  <c r="Q139" i="8"/>
  <c r="M53" i="8"/>
  <c r="P53" i="8"/>
  <c r="K53" i="8"/>
  <c r="N53" i="8"/>
  <c r="P87" i="8"/>
  <c r="K87" i="8"/>
  <c r="N87" i="8"/>
  <c r="Q87" i="8"/>
  <c r="L87" i="8"/>
  <c r="N37" i="8"/>
  <c r="L37" i="8"/>
  <c r="N121" i="8"/>
  <c r="L121" i="8"/>
  <c r="O121" i="8"/>
  <c r="O54" i="8"/>
  <c r="Q55" i="8"/>
  <c r="Q94" i="8"/>
  <c r="O94" i="8"/>
  <c r="P110" i="8"/>
  <c r="N12" i="8"/>
  <c r="Q12" i="8"/>
  <c r="L12" i="8"/>
  <c r="O12" i="8"/>
  <c r="N95" i="8"/>
  <c r="Q95" i="8"/>
  <c r="L95" i="8"/>
  <c r="O95" i="8"/>
  <c r="O4" i="8"/>
  <c r="P10" i="8"/>
  <c r="Q65" i="8"/>
  <c r="N124" i="8"/>
  <c r="L124" i="8"/>
  <c r="M87" i="8"/>
  <c r="Q7" i="8"/>
  <c r="N14" i="8"/>
  <c r="Q14" i="8"/>
  <c r="O14" i="8"/>
  <c r="M14" i="8"/>
  <c r="N69" i="8"/>
  <c r="Q69" i="8"/>
  <c r="O69" i="8"/>
  <c r="M69" i="8"/>
  <c r="M139" i="8"/>
  <c r="P12" i="8"/>
  <c r="K10" i="8"/>
  <c r="M146" i="8"/>
  <c r="O62" i="8"/>
  <c r="P69" i="8"/>
  <c r="M43" i="8"/>
  <c r="P17" i="8"/>
  <c r="L131" i="8"/>
  <c r="O131" i="8"/>
  <c r="M131" i="8"/>
  <c r="P131" i="8"/>
  <c r="K131" i="8"/>
  <c r="K100" i="8"/>
  <c r="P22" i="8"/>
  <c r="K22" i="8"/>
  <c r="P49" i="8"/>
  <c r="K49" i="8"/>
  <c r="P77" i="8"/>
  <c r="K77" i="8"/>
  <c r="P105" i="8"/>
  <c r="K105" i="8"/>
  <c r="P133" i="8"/>
  <c r="K133" i="8"/>
  <c r="K14" i="8"/>
  <c r="K104" i="8"/>
  <c r="L79" i="8"/>
  <c r="M96" i="8"/>
  <c r="N43" i="8"/>
  <c r="N132" i="8"/>
  <c r="O27" i="8"/>
  <c r="O127" i="8"/>
  <c r="P27" i="8"/>
  <c r="P127" i="8"/>
  <c r="Q25" i="8"/>
  <c r="Q82" i="8"/>
  <c r="Q146" i="8"/>
  <c r="P28" i="8"/>
  <c r="K28" i="8"/>
  <c r="N28" i="8"/>
  <c r="M140" i="8"/>
  <c r="P140" i="8"/>
  <c r="K140" i="8"/>
  <c r="N140" i="8"/>
  <c r="Q140" i="8"/>
  <c r="K27" i="8"/>
  <c r="P143" i="8"/>
  <c r="K143" i="8"/>
  <c r="N143" i="8"/>
  <c r="Q143" i="8"/>
  <c r="L143" i="8"/>
  <c r="N93" i="8"/>
  <c r="L93" i="8"/>
  <c r="Q66" i="8"/>
  <c r="O66" i="8"/>
  <c r="N67" i="8"/>
  <c r="Q67" i="8"/>
  <c r="L67" i="8"/>
  <c r="O67" i="8"/>
  <c r="N123" i="8"/>
  <c r="Q123" i="8"/>
  <c r="L123" i="8"/>
  <c r="O123" i="8"/>
  <c r="O110" i="8"/>
  <c r="N13" i="8"/>
  <c r="L13" i="8"/>
  <c r="N152" i="8"/>
  <c r="L152" i="8"/>
  <c r="Q68" i="8"/>
  <c r="N153" i="8"/>
  <c r="Q153" i="8"/>
  <c r="O153" i="8"/>
  <c r="M153" i="8"/>
  <c r="P65" i="8"/>
  <c r="K54" i="8"/>
  <c r="M40" i="8"/>
  <c r="K11" i="8"/>
  <c r="K99" i="8"/>
  <c r="M93" i="8"/>
  <c r="N79" i="8"/>
  <c r="P124" i="8"/>
  <c r="L75" i="8"/>
  <c r="O75" i="8"/>
  <c r="M75" i="8"/>
  <c r="P75" i="8"/>
  <c r="K75" i="8"/>
  <c r="O23" i="8"/>
  <c r="M23" i="8"/>
  <c r="P23" i="8"/>
  <c r="K23" i="8"/>
  <c r="M50" i="8"/>
  <c r="P50" i="8"/>
  <c r="K50" i="8"/>
  <c r="O78" i="8"/>
  <c r="M78" i="8"/>
  <c r="P78" i="8"/>
  <c r="K78" i="8"/>
  <c r="O106" i="8"/>
  <c r="M106" i="8"/>
  <c r="P106" i="8"/>
  <c r="K106" i="8"/>
  <c r="O134" i="8"/>
  <c r="M134" i="8"/>
  <c r="P134" i="8"/>
  <c r="K134" i="8"/>
  <c r="K15" i="8"/>
  <c r="K153" i="8"/>
  <c r="M99" i="8"/>
  <c r="N44" i="8"/>
  <c r="N133" i="8"/>
  <c r="O28" i="8"/>
  <c r="O77" i="8"/>
  <c r="P128" i="8"/>
  <c r="Q26" i="8"/>
  <c r="Q152" i="8"/>
  <c r="P55" i="8"/>
  <c r="K55" i="8"/>
  <c r="N55" i="8"/>
  <c r="M112" i="8"/>
  <c r="P112" i="8"/>
  <c r="K112" i="8"/>
  <c r="N112" i="8"/>
  <c r="Q112" i="8"/>
  <c r="O24" i="8"/>
  <c r="M24" i="8"/>
  <c r="M137" i="8"/>
  <c r="P137" i="8"/>
  <c r="K137" i="8"/>
  <c r="N137" i="8"/>
  <c r="P83" i="8"/>
  <c r="K83" i="8"/>
  <c r="N83" i="8"/>
  <c r="P84" i="8"/>
  <c r="K84" i="8"/>
  <c r="N84" i="8"/>
  <c r="Q84" i="8"/>
  <c r="P59" i="8"/>
  <c r="K59" i="8"/>
  <c r="N59" i="8"/>
  <c r="Q59" i="8"/>
  <c r="L59" i="8"/>
  <c r="Q150" i="8"/>
  <c r="O150" i="8"/>
  <c r="O109" i="8"/>
  <c r="O51" i="8"/>
  <c r="M51" i="8"/>
  <c r="O79" i="8"/>
  <c r="M79" i="8"/>
  <c r="O107" i="8"/>
  <c r="M107" i="8"/>
  <c r="O135" i="8"/>
  <c r="M135" i="8"/>
  <c r="K65" i="8"/>
  <c r="K110" i="8"/>
  <c r="L38" i="8"/>
  <c r="L81" i="8"/>
  <c r="M56" i="8"/>
  <c r="O29" i="8"/>
  <c r="O81" i="8"/>
  <c r="P82" i="8"/>
  <c r="Q27" i="8"/>
  <c r="O25" i="8"/>
  <c r="P25" i="8"/>
  <c r="K25" i="8"/>
  <c r="N25" i="8"/>
  <c r="O52" i="8"/>
  <c r="P52" i="8"/>
  <c r="K52" i="8"/>
  <c r="N52" i="8"/>
  <c r="O80" i="8"/>
  <c r="P80" i="8"/>
  <c r="K80" i="8"/>
  <c r="N80" i="8"/>
  <c r="O108" i="8"/>
  <c r="P108" i="8"/>
  <c r="K108" i="8"/>
  <c r="N108" i="8"/>
  <c r="O136" i="8"/>
  <c r="P136" i="8"/>
  <c r="K136" i="8"/>
  <c r="N136" i="8"/>
  <c r="K66" i="8"/>
  <c r="L41" i="8"/>
  <c r="L82" i="8"/>
  <c r="L122" i="8"/>
  <c r="M59" i="8"/>
  <c r="N135" i="8"/>
  <c r="O82" i="8"/>
  <c r="O137" i="8"/>
  <c r="P135" i="8"/>
  <c r="Q28" i="8"/>
  <c r="Q93" i="8"/>
  <c r="K19" i="8"/>
  <c r="K46" i="8"/>
  <c r="K74" i="8"/>
  <c r="K102" i="8"/>
  <c r="K130" i="8"/>
  <c r="O8" i="8"/>
  <c r="O35" i="8"/>
  <c r="O63" i="8"/>
  <c r="O91" i="8"/>
  <c r="O119" i="8"/>
  <c r="O147" i="8"/>
  <c r="P19" i="8"/>
  <c r="P46" i="8"/>
  <c r="P74" i="8"/>
  <c r="P102" i="8"/>
  <c r="P130" i="8"/>
  <c r="Q30" i="8"/>
  <c r="Q57" i="8"/>
  <c r="Q85" i="8"/>
  <c r="Q113" i="8"/>
  <c r="Q141" i="8"/>
  <c r="M154" i="8"/>
  <c r="O9" i="8"/>
  <c r="O36" i="8"/>
  <c r="O64" i="8"/>
  <c r="O92" i="8"/>
  <c r="O120" i="8"/>
  <c r="O148" i="8"/>
  <c r="Q3" i="8"/>
  <c r="Q31" i="8"/>
  <c r="Q58" i="8"/>
  <c r="Q86" i="8"/>
  <c r="Q114" i="8"/>
  <c r="Q142" i="8"/>
  <c r="M18" i="8"/>
  <c r="M45" i="8"/>
  <c r="M73" i="8"/>
  <c r="M101" i="8"/>
  <c r="M129" i="8"/>
  <c r="M157" i="8"/>
  <c r="O151" i="8"/>
  <c r="Q8" i="8"/>
  <c r="Q35" i="8"/>
  <c r="Q63" i="8"/>
  <c r="Q91" i="8"/>
  <c r="Q119" i="8"/>
  <c r="Q147" i="8"/>
  <c r="O154" i="8"/>
  <c r="Q9" i="8"/>
  <c r="Q36" i="8"/>
  <c r="Q64" i="8"/>
  <c r="Q92" i="8"/>
  <c r="Q120" i="8"/>
  <c r="Q148" i="8"/>
  <c r="L151" i="8"/>
  <c r="O18" i="8"/>
  <c r="O45" i="8"/>
  <c r="O73" i="8"/>
  <c r="O101" i="8"/>
  <c r="O129" i="8"/>
  <c r="O157" i="8"/>
  <c r="L154" i="8"/>
  <c r="P3" i="8"/>
  <c r="P31" i="8"/>
  <c r="P58" i="8"/>
  <c r="P86" i="8"/>
  <c r="P114" i="8"/>
  <c r="P142" i="8"/>
  <c r="L19" i="8"/>
  <c r="L46" i="8"/>
  <c r="L74" i="8"/>
  <c r="L102" i="8"/>
  <c r="L130" i="8"/>
  <c r="K8" i="8"/>
  <c r="K35" i="8"/>
  <c r="K63" i="8"/>
  <c r="K91" i="8"/>
  <c r="K119" i="8"/>
  <c r="K147" i="8"/>
  <c r="M173" i="2"/>
  <c r="N173" i="2"/>
  <c r="Q173" i="2"/>
  <c r="O173" i="2"/>
  <c r="P173" i="2"/>
  <c r="P185" i="2"/>
  <c r="K173" i="2"/>
  <c r="C49" i="2"/>
  <c r="O49" i="2" s="1"/>
  <c r="C51" i="2"/>
  <c r="O51" i="2" s="1"/>
  <c r="C48" i="2"/>
  <c r="M48" i="2" s="1"/>
  <c r="C50" i="2"/>
  <c r="Q50" i="2" s="1"/>
  <c r="P229" i="2"/>
  <c r="O229" i="2"/>
  <c r="O231" i="2"/>
  <c r="P3" i="2"/>
  <c r="K227" i="2"/>
  <c r="P227" i="2"/>
  <c r="K229" i="2"/>
  <c r="L3" i="2"/>
  <c r="O230" i="2"/>
  <c r="L229" i="2"/>
  <c r="K3" i="2"/>
  <c r="L238" i="2"/>
  <c r="N235" i="2"/>
  <c r="N236" i="2"/>
  <c r="N237" i="2"/>
  <c r="K238" i="2"/>
  <c r="N238" i="2"/>
  <c r="K237" i="2"/>
  <c r="P226" i="2"/>
  <c r="N226" i="2"/>
  <c r="L226" i="2"/>
  <c r="O226" i="2"/>
  <c r="M226" i="2"/>
  <c r="M224" i="2"/>
  <c r="M235" i="2"/>
  <c r="P231" i="2"/>
  <c r="N97" i="2"/>
  <c r="L231" i="2"/>
  <c r="P233" i="2"/>
  <c r="Q3" i="2"/>
  <c r="N230" i="2"/>
  <c r="L230" i="2"/>
  <c r="Q230" i="2"/>
  <c r="M230" i="2"/>
  <c r="L232" i="2"/>
  <c r="Q232" i="2"/>
  <c r="O232" i="2"/>
  <c r="K232" i="2"/>
  <c r="L234" i="2"/>
  <c r="Q234" i="2"/>
  <c r="O234" i="2"/>
  <c r="K234" i="2"/>
  <c r="P234" i="2"/>
  <c r="M234" i="2"/>
  <c r="O235" i="2"/>
  <c r="P235" i="2"/>
  <c r="Q237" i="2"/>
  <c r="O237" i="2"/>
  <c r="M237" i="2"/>
  <c r="P237" i="2"/>
  <c r="Q224" i="2"/>
  <c r="M231" i="2"/>
  <c r="M232" i="2"/>
  <c r="K230" i="2"/>
  <c r="N3" i="2"/>
  <c r="O3" i="2"/>
  <c r="Q231" i="2"/>
  <c r="K231" i="2"/>
  <c r="L233" i="2"/>
  <c r="Q233" i="2"/>
  <c r="O233" i="2"/>
  <c r="K233" i="2"/>
  <c r="Q236" i="2"/>
  <c r="O236" i="2"/>
  <c r="M236" i="2"/>
  <c r="P236" i="2"/>
  <c r="K235" i="2"/>
  <c r="N232" i="2"/>
  <c r="Q226" i="2"/>
  <c r="K236" i="2"/>
  <c r="N233" i="2"/>
  <c r="L97" i="2"/>
  <c r="Q97" i="2"/>
  <c r="O97" i="2"/>
  <c r="K97" i="2"/>
  <c r="M97" i="2"/>
  <c r="N234" i="2"/>
  <c r="Q235" i="2"/>
  <c r="M229" i="2"/>
  <c r="P238" i="2"/>
  <c r="Q229" i="2"/>
  <c r="M238" i="2"/>
  <c r="O238" i="2"/>
  <c r="C3" i="5"/>
  <c r="D3" i="5" s="1"/>
  <c r="E3" i="5" s="1"/>
  <c r="F3" i="5" s="1"/>
  <c r="G3" i="5" s="1"/>
  <c r="H3" i="5" s="1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1" i="6"/>
  <c r="E20" i="6"/>
  <c r="E19" i="6"/>
  <c r="E18" i="6"/>
  <c r="E17" i="6"/>
  <c r="B4" i="5"/>
  <c r="E3" i="6"/>
  <c r="E2" i="6"/>
  <c r="E5" i="6"/>
  <c r="E4" i="6"/>
  <c r="E7" i="6"/>
  <c r="E6" i="6"/>
  <c r="E9" i="6"/>
  <c r="E8" i="6"/>
  <c r="E11" i="6"/>
  <c r="E10" i="6"/>
  <c r="E13" i="6"/>
  <c r="E12" i="6"/>
  <c r="E14" i="6"/>
  <c r="E15" i="6"/>
  <c r="E1" i="6"/>
  <c r="U4" i="5"/>
  <c r="V4" i="5" s="1"/>
  <c r="W4" i="5" s="1"/>
  <c r="G2" i="5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C47" i="4"/>
  <c r="D47" i="4" s="1"/>
  <c r="E47" i="4" s="1"/>
  <c r="F47" i="4" s="1"/>
  <c r="G47" i="4" s="1"/>
  <c r="H47" i="4" s="1"/>
  <c r="I47" i="4" s="1"/>
  <c r="J47" i="4" s="1"/>
  <c r="K47" i="4" s="1"/>
  <c r="L47" i="4" s="1"/>
  <c r="M47" i="4" s="1"/>
  <c r="N47" i="4" s="1"/>
  <c r="O47" i="4" s="1"/>
  <c r="P47" i="4" s="1"/>
  <c r="Q47" i="4" s="1"/>
  <c r="R47" i="4" s="1"/>
  <c r="S47" i="4" s="1"/>
  <c r="T47" i="4" s="1"/>
  <c r="U47" i="4" s="1"/>
  <c r="V47" i="4" s="1"/>
  <c r="W47" i="4" s="1"/>
  <c r="O221" i="2" l="1"/>
  <c r="N225" i="2"/>
  <c r="N221" i="2"/>
  <c r="M225" i="2"/>
  <c r="L225" i="2"/>
  <c r="O96" i="2"/>
  <c r="L222" i="2"/>
  <c r="N220" i="2"/>
  <c r="Q96" i="2"/>
  <c r="M223" i="2"/>
  <c r="K225" i="2"/>
  <c r="M96" i="2"/>
  <c r="L221" i="2"/>
  <c r="N222" i="2"/>
  <c r="K96" i="2"/>
  <c r="N227" i="2"/>
  <c r="L96" i="2"/>
  <c r="M227" i="2"/>
  <c r="L220" i="2"/>
  <c r="O225" i="2"/>
  <c r="K220" i="2"/>
  <c r="O220" i="2"/>
  <c r="Q225" i="2"/>
  <c r="Q228" i="2"/>
  <c r="K228" i="2"/>
  <c r="N96" i="2"/>
  <c r="K223" i="2"/>
  <c r="O223" i="2"/>
  <c r="P203" i="2"/>
  <c r="M203" i="2"/>
  <c r="M193" i="2"/>
  <c r="K224" i="2"/>
  <c r="P224" i="2"/>
  <c r="Q227" i="2"/>
  <c r="L224" i="2"/>
  <c r="N224" i="2"/>
  <c r="L223" i="2"/>
  <c r="O227" i="2"/>
  <c r="Q222" i="2"/>
  <c r="Q220" i="2"/>
  <c r="M220" i="2"/>
  <c r="M221" i="2"/>
  <c r="Q221" i="2"/>
  <c r="M222" i="2"/>
  <c r="O222" i="2"/>
  <c r="L217" i="2"/>
  <c r="P217" i="2"/>
  <c r="M217" i="2"/>
  <c r="Q223" i="2"/>
  <c r="L203" i="2"/>
  <c r="L214" i="2"/>
  <c r="O217" i="2"/>
  <c r="O228" i="2"/>
  <c r="N214" i="2"/>
  <c r="K217" i="2"/>
  <c r="K214" i="2"/>
  <c r="P222" i="2"/>
  <c r="K203" i="2"/>
  <c r="M214" i="2"/>
  <c r="P223" i="2"/>
  <c r="Q203" i="2"/>
  <c r="O214" i="2"/>
  <c r="P214" i="2"/>
  <c r="P221" i="2"/>
  <c r="N217" i="2"/>
  <c r="N203" i="2"/>
  <c r="F17" i="4"/>
  <c r="C174" i="2"/>
  <c r="L228" i="2"/>
  <c r="P228" i="2"/>
  <c r="M228" i="2"/>
  <c r="K109" i="2"/>
  <c r="Q109" i="2"/>
  <c r="M109" i="2"/>
  <c r="L109" i="2"/>
  <c r="P109" i="2"/>
  <c r="O109" i="2"/>
  <c r="P193" i="2"/>
  <c r="N193" i="2"/>
  <c r="L193" i="2"/>
  <c r="O193" i="2"/>
  <c r="Q193" i="2"/>
  <c r="Q185" i="2"/>
  <c r="M185" i="2"/>
  <c r="N185" i="2"/>
  <c r="K185" i="2"/>
  <c r="O185" i="2"/>
  <c r="H5" i="4"/>
  <c r="I5" i="4" s="1"/>
  <c r="G19" i="4"/>
  <c r="C194" i="2"/>
  <c r="C52" i="2"/>
  <c r="Q52" i="2" s="1"/>
  <c r="N109" i="2"/>
  <c r="E12" i="4"/>
  <c r="F12" i="4" s="1"/>
  <c r="G12" i="4" s="1"/>
  <c r="H12" i="4" s="1"/>
  <c r="I12" i="4" s="1"/>
  <c r="C110" i="2"/>
  <c r="L18" i="4"/>
  <c r="M18" i="4" s="1"/>
  <c r="C186" i="2"/>
  <c r="V22" i="4"/>
  <c r="W22" i="4" s="1"/>
  <c r="C218" i="2"/>
  <c r="V21" i="4"/>
  <c r="W21" i="4" s="1"/>
  <c r="C215" i="2"/>
  <c r="F10" i="4"/>
  <c r="C98" i="2"/>
  <c r="G20" i="4"/>
  <c r="C204" i="2"/>
  <c r="M158" i="8"/>
  <c r="L158" i="8"/>
  <c r="K158" i="8"/>
  <c r="N158" i="8"/>
  <c r="O158" i="8"/>
  <c r="P158" i="8"/>
  <c r="Q158" i="8"/>
  <c r="N50" i="2"/>
  <c r="K50" i="2"/>
  <c r="K51" i="2"/>
  <c r="Q49" i="2"/>
  <c r="M49" i="2"/>
  <c r="P51" i="2"/>
  <c r="N49" i="2"/>
  <c r="L49" i="2"/>
  <c r="K49" i="2"/>
  <c r="Q51" i="2"/>
  <c r="L51" i="2"/>
  <c r="N51" i="2"/>
  <c r="Q48" i="2"/>
  <c r="K48" i="2"/>
  <c r="P49" i="2"/>
  <c r="M51" i="2"/>
  <c r="N48" i="2"/>
  <c r="P48" i="2"/>
  <c r="L48" i="2"/>
  <c r="M50" i="2"/>
  <c r="P50" i="2"/>
  <c r="O50" i="2"/>
  <c r="L50" i="2"/>
  <c r="O48" i="2"/>
  <c r="C45" i="4"/>
  <c r="D45" i="4" s="1"/>
  <c r="E45" i="4" s="1"/>
  <c r="F45" i="4" s="1"/>
  <c r="G45" i="4" s="1"/>
  <c r="H45" i="4" s="1"/>
  <c r="I45" i="4" s="1"/>
  <c r="J45" i="4" s="1"/>
  <c r="K45" i="4" s="1"/>
  <c r="L45" i="4" s="1"/>
  <c r="M45" i="4" s="1"/>
  <c r="N45" i="4" s="1"/>
  <c r="O45" i="4" s="1"/>
  <c r="P45" i="4" s="1"/>
  <c r="Q45" i="4" s="1"/>
  <c r="R45" i="4" s="1"/>
  <c r="S45" i="4" s="1"/>
  <c r="T45" i="4" s="1"/>
  <c r="U45" i="4" s="1"/>
  <c r="V45" i="4" s="1"/>
  <c r="W45" i="4" s="1"/>
  <c r="C44" i="4"/>
  <c r="D44" i="4" s="1"/>
  <c r="E44" i="4" s="1"/>
  <c r="F44" i="4" s="1"/>
  <c r="G44" i="4" s="1"/>
  <c r="H44" i="4" s="1"/>
  <c r="I44" i="4" s="1"/>
  <c r="J44" i="4" s="1"/>
  <c r="K44" i="4" s="1"/>
  <c r="L44" i="4" s="1"/>
  <c r="M44" i="4" s="1"/>
  <c r="N44" i="4" s="1"/>
  <c r="O44" i="4" s="1"/>
  <c r="P44" i="4" s="1"/>
  <c r="Q44" i="4" s="1"/>
  <c r="R44" i="4" s="1"/>
  <c r="S44" i="4" s="1"/>
  <c r="T44" i="4" s="1"/>
  <c r="U44" i="4" s="1"/>
  <c r="V44" i="4" s="1"/>
  <c r="W44" i="4" s="1"/>
  <c r="C43" i="4"/>
  <c r="D43" i="4" s="1"/>
  <c r="E43" i="4" s="1"/>
  <c r="F43" i="4" s="1"/>
  <c r="G43" i="4" s="1"/>
  <c r="H43" i="4" s="1"/>
  <c r="I43" i="4" s="1"/>
  <c r="J43" i="4" s="1"/>
  <c r="K43" i="4" s="1"/>
  <c r="L43" i="4" s="1"/>
  <c r="M43" i="4" s="1"/>
  <c r="N43" i="4" s="1"/>
  <c r="O43" i="4" s="1"/>
  <c r="P43" i="4" s="1"/>
  <c r="Q43" i="4" s="1"/>
  <c r="R43" i="4" s="1"/>
  <c r="S43" i="4" s="1"/>
  <c r="T43" i="4" s="1"/>
  <c r="U43" i="4" s="1"/>
  <c r="V43" i="4" s="1"/>
  <c r="W43" i="4" s="1"/>
  <c r="C42" i="4"/>
  <c r="D42" i="4" s="1"/>
  <c r="E42" i="4" s="1"/>
  <c r="F42" i="4" s="1"/>
  <c r="G42" i="4" s="1"/>
  <c r="H42" i="4" s="1"/>
  <c r="I42" i="4" s="1"/>
  <c r="J42" i="4" s="1"/>
  <c r="K42" i="4" s="1"/>
  <c r="L42" i="4" s="1"/>
  <c r="M42" i="4" s="1"/>
  <c r="N42" i="4" s="1"/>
  <c r="O42" i="4" s="1"/>
  <c r="P42" i="4" s="1"/>
  <c r="Q42" i="4" s="1"/>
  <c r="R42" i="4" s="1"/>
  <c r="S42" i="4" s="1"/>
  <c r="T42" i="4" s="1"/>
  <c r="U42" i="4" s="1"/>
  <c r="V42" i="4" s="1"/>
  <c r="W42" i="4" s="1"/>
  <c r="C41" i="4"/>
  <c r="D41" i="4" s="1"/>
  <c r="E41" i="4" s="1"/>
  <c r="F41" i="4" s="1"/>
  <c r="G41" i="4" s="1"/>
  <c r="H41" i="4" s="1"/>
  <c r="I41" i="4" s="1"/>
  <c r="J41" i="4" s="1"/>
  <c r="K41" i="4" s="1"/>
  <c r="L41" i="4" s="1"/>
  <c r="M41" i="4" s="1"/>
  <c r="N41" i="4" s="1"/>
  <c r="O41" i="4" s="1"/>
  <c r="P41" i="4" s="1"/>
  <c r="Q41" i="4" s="1"/>
  <c r="R41" i="4" s="1"/>
  <c r="S41" i="4" s="1"/>
  <c r="T41" i="4" s="1"/>
  <c r="U41" i="4" s="1"/>
  <c r="V41" i="4" s="1"/>
  <c r="W41" i="4" s="1"/>
  <c r="C40" i="4"/>
  <c r="D40" i="4" s="1"/>
  <c r="E40" i="4" s="1"/>
  <c r="F40" i="4" s="1"/>
  <c r="G40" i="4" s="1"/>
  <c r="H40" i="4" s="1"/>
  <c r="I40" i="4" s="1"/>
  <c r="J40" i="4" s="1"/>
  <c r="K40" i="4" s="1"/>
  <c r="L40" i="4" s="1"/>
  <c r="M40" i="4" s="1"/>
  <c r="N40" i="4" s="1"/>
  <c r="O40" i="4" s="1"/>
  <c r="P40" i="4" s="1"/>
  <c r="Q40" i="4" s="1"/>
  <c r="R40" i="4" s="1"/>
  <c r="S40" i="4" s="1"/>
  <c r="T40" i="4" s="1"/>
  <c r="U40" i="4" s="1"/>
  <c r="V40" i="4" s="1"/>
  <c r="W40" i="4" s="1"/>
  <c r="C38" i="4"/>
  <c r="D38" i="4" s="1"/>
  <c r="E38" i="4" s="1"/>
  <c r="F38" i="4" s="1"/>
  <c r="G38" i="4" s="1"/>
  <c r="H38" i="4" s="1"/>
  <c r="I38" i="4" s="1"/>
  <c r="J38" i="4" s="1"/>
  <c r="K38" i="4" s="1"/>
  <c r="L38" i="4" s="1"/>
  <c r="M38" i="4" s="1"/>
  <c r="N38" i="4" s="1"/>
  <c r="O38" i="4" s="1"/>
  <c r="P38" i="4" s="1"/>
  <c r="Q38" i="4" s="1"/>
  <c r="R38" i="4" s="1"/>
  <c r="S38" i="4" s="1"/>
  <c r="T38" i="4" s="1"/>
  <c r="U38" i="4" s="1"/>
  <c r="V38" i="4" s="1"/>
  <c r="W38" i="4" s="1"/>
  <c r="C37" i="4"/>
  <c r="D37" i="4" s="1"/>
  <c r="E37" i="4" s="1"/>
  <c r="F37" i="4" s="1"/>
  <c r="G37" i="4" s="1"/>
  <c r="H37" i="4" s="1"/>
  <c r="I37" i="4" s="1"/>
  <c r="J37" i="4" s="1"/>
  <c r="K37" i="4" s="1"/>
  <c r="L37" i="4" s="1"/>
  <c r="M37" i="4" s="1"/>
  <c r="N37" i="4" s="1"/>
  <c r="O37" i="4" s="1"/>
  <c r="P37" i="4" s="1"/>
  <c r="Q37" i="4" s="1"/>
  <c r="R37" i="4" s="1"/>
  <c r="S37" i="4" s="1"/>
  <c r="T37" i="4" s="1"/>
  <c r="U37" i="4" s="1"/>
  <c r="V37" i="4" s="1"/>
  <c r="W37" i="4" s="1"/>
  <c r="C35" i="4"/>
  <c r="D35" i="4" s="1"/>
  <c r="E35" i="4" s="1"/>
  <c r="F35" i="4" s="1"/>
  <c r="G35" i="4" s="1"/>
  <c r="H35" i="4" s="1"/>
  <c r="I35" i="4" s="1"/>
  <c r="J35" i="4" s="1"/>
  <c r="K35" i="4" s="1"/>
  <c r="L35" i="4" s="1"/>
  <c r="M35" i="4" s="1"/>
  <c r="N35" i="4" s="1"/>
  <c r="O35" i="4" s="1"/>
  <c r="P35" i="4" s="1"/>
  <c r="Q35" i="4" s="1"/>
  <c r="R35" i="4" s="1"/>
  <c r="S35" i="4" s="1"/>
  <c r="T35" i="4" s="1"/>
  <c r="U35" i="4" s="1"/>
  <c r="V35" i="4" s="1"/>
  <c r="W35" i="4" s="1"/>
  <c r="C34" i="4"/>
  <c r="D34" i="4" s="1"/>
  <c r="E34" i="4" s="1"/>
  <c r="F34" i="4" s="1"/>
  <c r="G34" i="4" s="1"/>
  <c r="H34" i="4" s="1"/>
  <c r="I34" i="4" s="1"/>
  <c r="J34" i="4" s="1"/>
  <c r="K34" i="4" s="1"/>
  <c r="L34" i="4" s="1"/>
  <c r="M34" i="4" s="1"/>
  <c r="N34" i="4" s="1"/>
  <c r="O34" i="4" s="1"/>
  <c r="P34" i="4" s="1"/>
  <c r="Q34" i="4" s="1"/>
  <c r="R34" i="4" s="1"/>
  <c r="S34" i="4" s="1"/>
  <c r="T34" i="4" s="1"/>
  <c r="U34" i="4" s="1"/>
  <c r="V34" i="4" s="1"/>
  <c r="W34" i="4" s="1"/>
  <c r="C33" i="4"/>
  <c r="D33" i="4" s="1"/>
  <c r="E33" i="4" s="1"/>
  <c r="F33" i="4" s="1"/>
  <c r="G33" i="4" s="1"/>
  <c r="H33" i="4" s="1"/>
  <c r="I33" i="4" s="1"/>
  <c r="J33" i="4" s="1"/>
  <c r="K33" i="4" s="1"/>
  <c r="L33" i="4" s="1"/>
  <c r="M33" i="4" s="1"/>
  <c r="N33" i="4" s="1"/>
  <c r="O33" i="4" s="1"/>
  <c r="P33" i="4" s="1"/>
  <c r="Q33" i="4" s="1"/>
  <c r="R33" i="4" s="1"/>
  <c r="S33" i="4" s="1"/>
  <c r="T33" i="4" s="1"/>
  <c r="U33" i="4" s="1"/>
  <c r="V33" i="4" s="1"/>
  <c r="W33" i="4" s="1"/>
  <c r="C30" i="4"/>
  <c r="D30" i="4" s="1"/>
  <c r="E30" i="4" s="1"/>
  <c r="F30" i="4" s="1"/>
  <c r="G30" i="4" s="1"/>
  <c r="H30" i="4" s="1"/>
  <c r="I30" i="4" s="1"/>
  <c r="J30" i="4" s="1"/>
  <c r="K30" i="4" s="1"/>
  <c r="L30" i="4" s="1"/>
  <c r="M30" i="4" s="1"/>
  <c r="N30" i="4" s="1"/>
  <c r="O30" i="4" s="1"/>
  <c r="P30" i="4" s="1"/>
  <c r="Q30" i="4" s="1"/>
  <c r="R30" i="4" s="1"/>
  <c r="S30" i="4" s="1"/>
  <c r="T30" i="4" s="1"/>
  <c r="U30" i="4" s="1"/>
  <c r="V30" i="4" s="1"/>
  <c r="W30" i="4" s="1"/>
  <c r="C3" i="4"/>
  <c r="C4" i="4"/>
  <c r="C6" i="4"/>
  <c r="C7" i="4"/>
  <c r="D7" i="4" s="1"/>
  <c r="E7" i="4" s="1"/>
  <c r="F7" i="4" s="1"/>
  <c r="G7" i="4" s="1"/>
  <c r="H7" i="4" s="1"/>
  <c r="I7" i="4" s="1"/>
  <c r="J7" i="4" s="1"/>
  <c r="K7" i="4" s="1"/>
  <c r="L7" i="4" s="1"/>
  <c r="M7" i="4" s="1"/>
  <c r="N7" i="4" s="1"/>
  <c r="O7" i="4" s="1"/>
  <c r="P7" i="4" s="1"/>
  <c r="Q7" i="4" s="1"/>
  <c r="R7" i="4" s="1"/>
  <c r="S7" i="4" s="1"/>
  <c r="T7" i="4" s="1"/>
  <c r="U7" i="4" s="1"/>
  <c r="V7" i="4" s="1"/>
  <c r="W7" i="4" s="1"/>
  <c r="X7" i="4" s="1"/>
  <c r="Y7" i="4" s="1"/>
  <c r="Z7" i="4" s="1"/>
  <c r="AA7" i="4" s="1"/>
  <c r="AB7" i="4" s="1"/>
  <c r="AC7" i="4" s="1"/>
  <c r="C8" i="4"/>
  <c r="C9" i="4"/>
  <c r="C11" i="4"/>
  <c r="D11" i="4" s="1"/>
  <c r="E11" i="4" s="1"/>
  <c r="F11" i="4" s="1"/>
  <c r="G11" i="4" s="1"/>
  <c r="H11" i="4" s="1"/>
  <c r="I11" i="4" s="1"/>
  <c r="J11" i="4" s="1"/>
  <c r="K11" i="4" s="1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C13" i="4"/>
  <c r="C14" i="4"/>
  <c r="D14" i="4" s="1"/>
  <c r="C15" i="4"/>
  <c r="D15" i="4" s="1"/>
  <c r="C16" i="4"/>
  <c r="D16" i="4" s="1"/>
  <c r="C2" i="4"/>
  <c r="N52" i="2" l="1"/>
  <c r="M218" i="2"/>
  <c r="N218" i="2"/>
  <c r="K218" i="2"/>
  <c r="O218" i="2"/>
  <c r="P218" i="2"/>
  <c r="Q218" i="2"/>
  <c r="L218" i="2"/>
  <c r="P52" i="2"/>
  <c r="Q186" i="2"/>
  <c r="K186" i="2"/>
  <c r="P186" i="2"/>
  <c r="L186" i="2"/>
  <c r="M186" i="2"/>
  <c r="O186" i="2"/>
  <c r="N186" i="2"/>
  <c r="O110" i="2"/>
  <c r="N110" i="2"/>
  <c r="L110" i="2"/>
  <c r="Q110" i="2"/>
  <c r="M110" i="2"/>
  <c r="P110" i="2"/>
  <c r="K110" i="2"/>
  <c r="O4" i="11"/>
  <c r="Q4" i="11"/>
  <c r="N4" i="11"/>
  <c r="K4" i="11"/>
  <c r="L4" i="11"/>
  <c r="P4" i="11"/>
  <c r="M4" i="11"/>
  <c r="E15" i="4"/>
  <c r="C149" i="2"/>
  <c r="E14" i="4"/>
  <c r="C134" i="2"/>
  <c r="O215" i="2"/>
  <c r="N215" i="2"/>
  <c r="L215" i="2"/>
  <c r="M215" i="2"/>
  <c r="Q215" i="2"/>
  <c r="K215" i="2"/>
  <c r="P215" i="2"/>
  <c r="G17" i="4"/>
  <c r="C175" i="2"/>
  <c r="P204" i="2"/>
  <c r="K204" i="2"/>
  <c r="N204" i="2"/>
  <c r="L204" i="2"/>
  <c r="O204" i="2"/>
  <c r="Q204" i="2"/>
  <c r="M204" i="2"/>
  <c r="P20" i="11"/>
  <c r="Q20" i="11"/>
  <c r="L20" i="11"/>
  <c r="N20" i="11"/>
  <c r="K20" i="11"/>
  <c r="M20" i="11"/>
  <c r="O20" i="11"/>
  <c r="L52" i="2"/>
  <c r="N18" i="4"/>
  <c r="O18" i="4" s="1"/>
  <c r="C187" i="2"/>
  <c r="J12" i="4"/>
  <c r="K12" i="4" s="1"/>
  <c r="C111" i="2"/>
  <c r="E16" i="4"/>
  <c r="C161" i="2"/>
  <c r="C35" i="2"/>
  <c r="L35" i="2" s="1"/>
  <c r="L194" i="2"/>
  <c r="P194" i="2"/>
  <c r="Q194" i="2"/>
  <c r="O194" i="2"/>
  <c r="M194" i="2"/>
  <c r="K194" i="2"/>
  <c r="N194" i="2"/>
  <c r="M52" i="2"/>
  <c r="D13" i="4"/>
  <c r="C118" i="2"/>
  <c r="K52" i="2"/>
  <c r="G10" i="4"/>
  <c r="C99" i="2"/>
  <c r="X22" i="4"/>
  <c r="Y22" i="4" s="1"/>
  <c r="Z22" i="4" s="1"/>
  <c r="AA22" i="4" s="1"/>
  <c r="AB22" i="4" s="1"/>
  <c r="AC22" i="4" s="1"/>
  <c r="C219" i="2"/>
  <c r="O52" i="2"/>
  <c r="J5" i="4"/>
  <c r="K5" i="4" s="1"/>
  <c r="C53" i="2"/>
  <c r="H20" i="4"/>
  <c r="I20" i="4" s="1"/>
  <c r="C205" i="2"/>
  <c r="H19" i="4"/>
  <c r="I19" i="4" s="1"/>
  <c r="C195" i="2"/>
  <c r="N98" i="2"/>
  <c r="L98" i="2"/>
  <c r="P98" i="2"/>
  <c r="Q98" i="2"/>
  <c r="O98" i="2"/>
  <c r="K98" i="2"/>
  <c r="M98" i="2"/>
  <c r="M174" i="2"/>
  <c r="K174" i="2"/>
  <c r="P174" i="2"/>
  <c r="O174" i="2"/>
  <c r="N174" i="2"/>
  <c r="Q174" i="2"/>
  <c r="L174" i="2"/>
  <c r="X21" i="4"/>
  <c r="Y21" i="4" s="1"/>
  <c r="Z21" i="4" s="1"/>
  <c r="AA21" i="4" s="1"/>
  <c r="AB21" i="4" s="1"/>
  <c r="AC21" i="4" s="1"/>
  <c r="C216" i="2"/>
  <c r="D4" i="4"/>
  <c r="D9" i="4"/>
  <c r="C84" i="2"/>
  <c r="D8" i="4"/>
  <c r="C72" i="2"/>
  <c r="E4" i="4"/>
  <c r="C36" i="2"/>
  <c r="D6" i="4"/>
  <c r="C60" i="2"/>
  <c r="D2" i="4"/>
  <c r="C4" i="2"/>
  <c r="D3" i="4"/>
  <c r="C20" i="2"/>
  <c r="D14" i="1"/>
  <c r="D17" i="1" s="1"/>
  <c r="D15" i="1"/>
  <c r="D18" i="1" s="1"/>
  <c r="D16" i="1"/>
  <c r="D19" i="1" s="1"/>
  <c r="T34" i="1"/>
  <c r="N37" i="1"/>
  <c r="M37" i="1"/>
  <c r="L37" i="1"/>
  <c r="K37" i="1"/>
  <c r="J37" i="1"/>
  <c r="I37" i="1"/>
  <c r="H37" i="1"/>
  <c r="G37" i="1"/>
  <c r="N36" i="1"/>
  <c r="M36" i="1"/>
  <c r="L36" i="1"/>
  <c r="K36" i="1"/>
  <c r="I36" i="1"/>
  <c r="N35" i="1"/>
  <c r="M35" i="1"/>
  <c r="L35" i="1"/>
  <c r="K35" i="1"/>
  <c r="J35" i="1"/>
  <c r="I35" i="1"/>
  <c r="O31" i="1"/>
  <c r="P31" i="1" s="1"/>
  <c r="Q31" i="1" s="1"/>
  <c r="R31" i="1" s="1"/>
  <c r="S31" i="1" s="1"/>
  <c r="T31" i="1" s="1"/>
  <c r="O30" i="1"/>
  <c r="P30" i="1" s="1"/>
  <c r="Q30" i="1" s="1"/>
  <c r="R30" i="1" s="1"/>
  <c r="S30" i="1" s="1"/>
  <c r="T30" i="1" s="1"/>
  <c r="T36" i="1" s="1"/>
  <c r="O29" i="1"/>
  <c r="P29" i="1" s="1"/>
  <c r="Q29" i="1" s="1"/>
  <c r="R29" i="1" s="1"/>
  <c r="S29" i="1" s="1"/>
  <c r="T29" i="1" s="1"/>
  <c r="T35" i="1" s="1"/>
  <c r="T28" i="1"/>
  <c r="T27" i="1"/>
  <c r="T26" i="1"/>
  <c r="Q25" i="1"/>
  <c r="R25" i="1" s="1"/>
  <c r="S25" i="1" s="1"/>
  <c r="T25" i="1" s="1"/>
  <c r="Q24" i="1"/>
  <c r="R24" i="1" s="1"/>
  <c r="S24" i="1" s="1"/>
  <c r="T24" i="1" s="1"/>
  <c r="Q23" i="1"/>
  <c r="R23" i="1" s="1"/>
  <c r="S23" i="1" s="1"/>
  <c r="T23" i="1" s="1"/>
  <c r="Q22" i="1"/>
  <c r="R22" i="1" s="1"/>
  <c r="S22" i="1" s="1"/>
  <c r="T22" i="1" s="1"/>
  <c r="O21" i="1"/>
  <c r="P21" i="1" s="1"/>
  <c r="Q21" i="1" s="1"/>
  <c r="R21" i="1" s="1"/>
  <c r="S21" i="1" s="1"/>
  <c r="T21" i="1" s="1"/>
  <c r="O20" i="1"/>
  <c r="P20" i="1" s="1"/>
  <c r="Q20" i="1" s="1"/>
  <c r="R20" i="1" s="1"/>
  <c r="S20" i="1" s="1"/>
  <c r="T20" i="1" s="1"/>
  <c r="I19" i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K18" i="1"/>
  <c r="L18" i="1" s="1"/>
  <c r="M18" i="1" s="1"/>
  <c r="N18" i="1" s="1"/>
  <c r="O18" i="1" s="1"/>
  <c r="P18" i="1" s="1"/>
  <c r="Q18" i="1" s="1"/>
  <c r="R18" i="1" s="1"/>
  <c r="S18" i="1" s="1"/>
  <c r="T18" i="1" s="1"/>
  <c r="K17" i="1"/>
  <c r="L17" i="1" s="1"/>
  <c r="M17" i="1" s="1"/>
  <c r="N17" i="1" s="1"/>
  <c r="O17" i="1" s="1"/>
  <c r="P17" i="1" s="1"/>
  <c r="M15" i="1"/>
  <c r="N15" i="1" s="1"/>
  <c r="O15" i="1" s="1"/>
  <c r="P15" i="1" s="1"/>
  <c r="Q15" i="1" s="1"/>
  <c r="R15" i="1" s="1"/>
  <c r="S15" i="1" s="1"/>
  <c r="T15" i="1" s="1"/>
  <c r="M14" i="1"/>
  <c r="N14" i="1" s="1"/>
  <c r="O14" i="1" s="1"/>
  <c r="P14" i="1" s="1"/>
  <c r="Q14" i="1" s="1"/>
  <c r="R14" i="1" s="1"/>
  <c r="S14" i="1" s="1"/>
  <c r="T14" i="1" s="1"/>
  <c r="Q16" i="1"/>
  <c r="R16" i="1" s="1"/>
  <c r="S16" i="1" s="1"/>
  <c r="T16" i="1" s="1"/>
  <c r="Q13" i="1"/>
  <c r="R13" i="1" s="1"/>
  <c r="S13" i="1" s="1"/>
  <c r="T13" i="1" s="1"/>
  <c r="M12" i="1"/>
  <c r="N12" i="1" s="1"/>
  <c r="O12" i="1" s="1"/>
  <c r="P12" i="1" s="1"/>
  <c r="Q12" i="1" s="1"/>
  <c r="R12" i="1" s="1"/>
  <c r="S12" i="1" s="1"/>
  <c r="T12" i="1" s="1"/>
  <c r="M11" i="1"/>
  <c r="N11" i="1" s="1"/>
  <c r="O11" i="1" s="1"/>
  <c r="P11" i="1" s="1"/>
  <c r="Q11" i="1" s="1"/>
  <c r="R11" i="1" s="1"/>
  <c r="S11" i="1" s="1"/>
  <c r="T11" i="1" s="1"/>
  <c r="Q10" i="1"/>
  <c r="R10" i="1" s="1"/>
  <c r="S10" i="1" s="1"/>
  <c r="T10" i="1" s="1"/>
  <c r="L9" i="1"/>
  <c r="M9" i="1" s="1"/>
  <c r="N9" i="1" s="1"/>
  <c r="O9" i="1" s="1"/>
  <c r="P9" i="1" s="1"/>
  <c r="Q9" i="1" s="1"/>
  <c r="R9" i="1" s="1"/>
  <c r="S9" i="1" s="1"/>
  <c r="T9" i="1" s="1"/>
  <c r="L8" i="1"/>
  <c r="M8" i="1" s="1"/>
  <c r="N8" i="1" s="1"/>
  <c r="O8" i="1" s="1"/>
  <c r="P8" i="1" s="1"/>
  <c r="Q8" i="1" s="1"/>
  <c r="R8" i="1" s="1"/>
  <c r="S8" i="1" s="1"/>
  <c r="T8" i="1" s="1"/>
  <c r="Q7" i="1"/>
  <c r="R7" i="1" s="1"/>
  <c r="S7" i="1" s="1"/>
  <c r="T7" i="1" s="1"/>
  <c r="M6" i="1"/>
  <c r="N6" i="1" s="1"/>
  <c r="O6" i="1" s="1"/>
  <c r="P6" i="1" s="1"/>
  <c r="Q6" i="1" s="1"/>
  <c r="R6" i="1" s="1"/>
  <c r="S6" i="1" s="1"/>
  <c r="T6" i="1" s="1"/>
  <c r="M5" i="1"/>
  <c r="N5" i="1" s="1"/>
  <c r="O5" i="1" s="1"/>
  <c r="P5" i="1" s="1"/>
  <c r="Q5" i="1" s="1"/>
  <c r="R5" i="1" s="1"/>
  <c r="S5" i="1" s="1"/>
  <c r="T5" i="1" s="1"/>
  <c r="Q4" i="1"/>
  <c r="R4" i="1" s="1"/>
  <c r="S4" i="1" s="1"/>
  <c r="T4" i="1" s="1"/>
  <c r="P3" i="1"/>
  <c r="Q3" i="1" s="1"/>
  <c r="R3" i="1" s="1"/>
  <c r="S3" i="1" s="1"/>
  <c r="T3" i="1" s="1"/>
  <c r="P2" i="1"/>
  <c r="Q2" i="1" s="1"/>
  <c r="R2" i="1" s="1"/>
  <c r="S2" i="1" s="1"/>
  <c r="J33" i="1"/>
  <c r="J36" i="1" s="1"/>
  <c r="H33" i="1"/>
  <c r="G33" i="1" s="1"/>
  <c r="F33" i="1" s="1"/>
  <c r="E33" i="1" s="1"/>
  <c r="E36" i="1" s="1"/>
  <c r="H32" i="1"/>
  <c r="H35" i="1" s="1"/>
  <c r="F34" i="1"/>
  <c r="E34" i="1" s="1"/>
  <c r="E37" i="1" s="1"/>
  <c r="E25" i="1"/>
  <c r="D25" i="1" s="1"/>
  <c r="D28" i="1" s="1"/>
  <c r="D31" i="1" s="1"/>
  <c r="E24" i="1"/>
  <c r="D24" i="1" s="1"/>
  <c r="D27" i="1" s="1"/>
  <c r="D30" i="1" s="1"/>
  <c r="E23" i="1"/>
  <c r="D23" i="1" s="1"/>
  <c r="D26" i="1" s="1"/>
  <c r="D29" i="1" s="1"/>
  <c r="F16" i="1"/>
  <c r="E16" i="1"/>
  <c r="C7" i="1"/>
  <c r="C10" i="1" s="1"/>
  <c r="C13" i="1" s="1"/>
  <c r="C6" i="1"/>
  <c r="C9" i="1" s="1"/>
  <c r="C12" i="1" s="1"/>
  <c r="C5" i="1"/>
  <c r="C8" i="1" s="1"/>
  <c r="C11" i="1" s="1"/>
  <c r="P35" i="2" l="1"/>
  <c r="K35" i="2"/>
  <c r="Q35" i="2"/>
  <c r="N35" i="2"/>
  <c r="M35" i="2"/>
  <c r="O35" i="2"/>
  <c r="Q161" i="2"/>
  <c r="L161" i="2"/>
  <c r="O161" i="2"/>
  <c r="K161" i="2"/>
  <c r="P161" i="2"/>
  <c r="M161" i="2"/>
  <c r="N161" i="2"/>
  <c r="F15" i="4"/>
  <c r="C150" i="2"/>
  <c r="J20" i="4"/>
  <c r="K20" i="4" s="1"/>
  <c r="C206" i="2"/>
  <c r="E13" i="4"/>
  <c r="C119" i="2"/>
  <c r="P149" i="2"/>
  <c r="Q149" i="2"/>
  <c r="L149" i="2"/>
  <c r="O149" i="2"/>
  <c r="K149" i="2"/>
  <c r="M149" i="2"/>
  <c r="N149" i="2"/>
  <c r="L187" i="2"/>
  <c r="Q187" i="2"/>
  <c r="K187" i="2"/>
  <c r="M187" i="2"/>
  <c r="N187" i="2"/>
  <c r="P187" i="2"/>
  <c r="O187" i="2"/>
  <c r="J19" i="4"/>
  <c r="K19" i="4" s="1"/>
  <c r="C196" i="2"/>
  <c r="P18" i="4"/>
  <c r="Q18" i="4" s="1"/>
  <c r="C188" i="2"/>
  <c r="F14" i="4"/>
  <c r="C135" i="2"/>
  <c r="K21" i="11"/>
  <c r="M21" i="11"/>
  <c r="P21" i="11"/>
  <c r="N21" i="11"/>
  <c r="L21" i="11"/>
  <c r="O21" i="11"/>
  <c r="Q21" i="11"/>
  <c r="L12" i="4"/>
  <c r="M12" i="4" s="1"/>
  <c r="C112" i="2"/>
  <c r="N205" i="2"/>
  <c r="O205" i="2"/>
  <c r="K205" i="2"/>
  <c r="L205" i="2"/>
  <c r="Q205" i="2"/>
  <c r="P205" i="2"/>
  <c r="M205" i="2"/>
  <c r="N53" i="2"/>
  <c r="L53" i="2"/>
  <c r="P53" i="2"/>
  <c r="M53" i="2"/>
  <c r="Q53" i="2"/>
  <c r="O53" i="2"/>
  <c r="K53" i="2"/>
  <c r="K36" i="11"/>
  <c r="M36" i="11"/>
  <c r="O36" i="11"/>
  <c r="Q36" i="11"/>
  <c r="P36" i="11"/>
  <c r="N36" i="11"/>
  <c r="L36" i="11"/>
  <c r="Q216" i="2"/>
  <c r="P216" i="2"/>
  <c r="M216" i="2"/>
  <c r="O216" i="2"/>
  <c r="L216" i="2"/>
  <c r="K216" i="2"/>
  <c r="N216" i="2"/>
  <c r="P111" i="2"/>
  <c r="Q111" i="2"/>
  <c r="K111" i="2"/>
  <c r="O111" i="2"/>
  <c r="L111" i="2"/>
  <c r="M111" i="2"/>
  <c r="N111" i="2"/>
  <c r="K5" i="11"/>
  <c r="Q5" i="11"/>
  <c r="P5" i="11"/>
  <c r="L5" i="11"/>
  <c r="M5" i="11"/>
  <c r="O5" i="11"/>
  <c r="N5" i="11"/>
  <c r="P219" i="2"/>
  <c r="M219" i="2"/>
  <c r="N219" i="2"/>
  <c r="K219" i="2"/>
  <c r="O219" i="2"/>
  <c r="Q219" i="2"/>
  <c r="L219" i="2"/>
  <c r="Q175" i="2"/>
  <c r="O175" i="2"/>
  <c r="L175" i="2"/>
  <c r="M175" i="2"/>
  <c r="K175" i="2"/>
  <c r="P175" i="2"/>
  <c r="N175" i="2"/>
  <c r="N99" i="2"/>
  <c r="Q99" i="2"/>
  <c r="O99" i="2"/>
  <c r="L99" i="2"/>
  <c r="P99" i="2"/>
  <c r="K99" i="2"/>
  <c r="M99" i="2"/>
  <c r="Q195" i="2"/>
  <c r="O195" i="2"/>
  <c r="P195" i="2"/>
  <c r="K195" i="2"/>
  <c r="N195" i="2"/>
  <c r="L195" i="2"/>
  <c r="M195" i="2"/>
  <c r="Q35" i="11"/>
  <c r="K35" i="11"/>
  <c r="P35" i="11"/>
  <c r="M35" i="11"/>
  <c r="O35" i="11"/>
  <c r="N35" i="11"/>
  <c r="L35" i="11"/>
  <c r="F16" i="4"/>
  <c r="C162" i="2"/>
  <c r="O118" i="2"/>
  <c r="K118" i="2"/>
  <c r="M118" i="2"/>
  <c r="P118" i="2"/>
  <c r="L118" i="2"/>
  <c r="Q118" i="2"/>
  <c r="N118" i="2"/>
  <c r="L5" i="4"/>
  <c r="M5" i="4" s="1"/>
  <c r="C54" i="2"/>
  <c r="M37" i="11"/>
  <c r="L37" i="11"/>
  <c r="K37" i="11"/>
  <c r="P37" i="11"/>
  <c r="N37" i="11"/>
  <c r="Q37" i="11"/>
  <c r="O37" i="11"/>
  <c r="H17" i="4"/>
  <c r="I17" i="4" s="1"/>
  <c r="C176" i="2"/>
  <c r="H10" i="4"/>
  <c r="I10" i="4" s="1"/>
  <c r="C100" i="2"/>
  <c r="K134" i="2"/>
  <c r="P134" i="2"/>
  <c r="N134" i="2"/>
  <c r="L134" i="2"/>
  <c r="M134" i="2"/>
  <c r="Q134" i="2"/>
  <c r="O134" i="2"/>
  <c r="L72" i="2"/>
  <c r="M72" i="2"/>
  <c r="N72" i="2"/>
  <c r="K72" i="2"/>
  <c r="P72" i="2"/>
  <c r="Q72" i="2"/>
  <c r="O72" i="2"/>
  <c r="K60" i="2"/>
  <c r="P60" i="2"/>
  <c r="N60" i="2"/>
  <c r="L60" i="2"/>
  <c r="O60" i="2"/>
  <c r="M60" i="2"/>
  <c r="Q60" i="2"/>
  <c r="E6" i="4"/>
  <c r="C61" i="2"/>
  <c r="E8" i="4"/>
  <c r="C73" i="2"/>
  <c r="P84" i="2"/>
  <c r="K84" i="2"/>
  <c r="O84" i="2"/>
  <c r="Q84" i="2"/>
  <c r="L84" i="2"/>
  <c r="M84" i="2"/>
  <c r="N84" i="2"/>
  <c r="L36" i="2"/>
  <c r="Q36" i="2"/>
  <c r="P36" i="2"/>
  <c r="M36" i="2"/>
  <c r="N36" i="2"/>
  <c r="O36" i="2"/>
  <c r="K36" i="2"/>
  <c r="F4" i="4"/>
  <c r="C37" i="2"/>
  <c r="E9" i="4"/>
  <c r="C85" i="2"/>
  <c r="M20" i="2"/>
  <c r="P20" i="2"/>
  <c r="O20" i="2"/>
  <c r="Q20" i="2"/>
  <c r="L20" i="2"/>
  <c r="N20" i="2"/>
  <c r="K20" i="2"/>
  <c r="E3" i="4"/>
  <c r="C21" i="2"/>
  <c r="M4" i="2"/>
  <c r="O4" i="2"/>
  <c r="Q4" i="2"/>
  <c r="K4" i="2"/>
  <c r="N4" i="2"/>
  <c r="P4" i="2"/>
  <c r="L4" i="2"/>
  <c r="E2" i="4"/>
  <c r="C5" i="2"/>
  <c r="Q17" i="1"/>
  <c r="R17" i="1" s="1"/>
  <c r="S17" i="1" s="1"/>
  <c r="T17" i="1" s="1"/>
  <c r="C15" i="1"/>
  <c r="T37" i="1"/>
  <c r="F37" i="1"/>
  <c r="P37" i="1"/>
  <c r="O35" i="1"/>
  <c r="P35" i="1"/>
  <c r="Q35" i="1"/>
  <c r="S35" i="1"/>
  <c r="Q37" i="1"/>
  <c r="O37" i="1"/>
  <c r="R37" i="1"/>
  <c r="S37" i="1"/>
  <c r="R35" i="1"/>
  <c r="G32" i="1"/>
  <c r="T2" i="1"/>
  <c r="F36" i="1"/>
  <c r="G36" i="1"/>
  <c r="H36" i="1"/>
  <c r="Q36" i="1"/>
  <c r="O36" i="1"/>
  <c r="P36" i="1"/>
  <c r="R36" i="1"/>
  <c r="S36" i="1"/>
  <c r="D33" i="1"/>
  <c r="D34" i="1"/>
  <c r="C16" i="1"/>
  <c r="C19" i="1" s="1"/>
  <c r="C22" i="1" s="1"/>
  <c r="C14" i="1"/>
  <c r="Q38" i="11" l="1"/>
  <c r="K38" i="11"/>
  <c r="L38" i="11"/>
  <c r="M38" i="11"/>
  <c r="N38" i="11"/>
  <c r="O38" i="11"/>
  <c r="P38" i="11"/>
  <c r="P162" i="2"/>
  <c r="O162" i="2"/>
  <c r="L162" i="2"/>
  <c r="M162" i="2"/>
  <c r="N162" i="2"/>
  <c r="K162" i="2"/>
  <c r="Q162" i="2"/>
  <c r="G15" i="4"/>
  <c r="C151" i="2"/>
  <c r="R18" i="4"/>
  <c r="S18" i="4" s="1"/>
  <c r="C189" i="2"/>
  <c r="L19" i="4"/>
  <c r="M19" i="4" s="1"/>
  <c r="C197" i="2"/>
  <c r="K6" i="11"/>
  <c r="N6" i="11"/>
  <c r="L6" i="11"/>
  <c r="P6" i="11"/>
  <c r="Q6" i="11"/>
  <c r="O6" i="11"/>
  <c r="M6" i="11"/>
  <c r="P135" i="2"/>
  <c r="O135" i="2"/>
  <c r="L135" i="2"/>
  <c r="Q135" i="2"/>
  <c r="K135" i="2"/>
  <c r="M135" i="2"/>
  <c r="N135" i="2"/>
  <c r="K100" i="2"/>
  <c r="Q100" i="2"/>
  <c r="O100" i="2"/>
  <c r="M100" i="2"/>
  <c r="P100" i="2"/>
  <c r="N100" i="2"/>
  <c r="L100" i="2"/>
  <c r="Q150" i="2"/>
  <c r="N150" i="2"/>
  <c r="O150" i="2"/>
  <c r="K150" i="2"/>
  <c r="M150" i="2"/>
  <c r="P150" i="2"/>
  <c r="L150" i="2"/>
  <c r="L20" i="4"/>
  <c r="M20" i="4" s="1"/>
  <c r="C207" i="2"/>
  <c r="M54" i="2"/>
  <c r="N54" i="2"/>
  <c r="O54" i="2"/>
  <c r="P54" i="2"/>
  <c r="L54" i="2"/>
  <c r="Q54" i="2"/>
  <c r="K54" i="2"/>
  <c r="G16" i="4"/>
  <c r="C163" i="2"/>
  <c r="P176" i="2"/>
  <c r="M176" i="2"/>
  <c r="O176" i="2"/>
  <c r="K176" i="2"/>
  <c r="L176" i="2"/>
  <c r="N176" i="2"/>
  <c r="Q176" i="2"/>
  <c r="G14" i="4"/>
  <c r="C136" i="2"/>
  <c r="M119" i="2"/>
  <c r="P119" i="2"/>
  <c r="Q119" i="2"/>
  <c r="K119" i="2"/>
  <c r="L119" i="2"/>
  <c r="N119" i="2"/>
  <c r="O119" i="2"/>
  <c r="N206" i="2"/>
  <c r="Q206" i="2"/>
  <c r="O206" i="2"/>
  <c r="P206" i="2"/>
  <c r="K206" i="2"/>
  <c r="M206" i="2"/>
  <c r="L206" i="2"/>
  <c r="P112" i="2"/>
  <c r="Q112" i="2"/>
  <c r="O112" i="2"/>
  <c r="M112" i="2"/>
  <c r="K112" i="2"/>
  <c r="L112" i="2"/>
  <c r="N112" i="2"/>
  <c r="N12" i="4"/>
  <c r="O12" i="4" s="1"/>
  <c r="C113" i="2"/>
  <c r="K22" i="11"/>
  <c r="P22" i="11"/>
  <c r="N22" i="11"/>
  <c r="L22" i="11"/>
  <c r="Q22" i="11"/>
  <c r="O22" i="11"/>
  <c r="M22" i="11"/>
  <c r="Q188" i="2"/>
  <c r="P188" i="2"/>
  <c r="K188" i="2"/>
  <c r="L188" i="2"/>
  <c r="N188" i="2"/>
  <c r="M188" i="2"/>
  <c r="O188" i="2"/>
  <c r="Q196" i="2"/>
  <c r="O196" i="2"/>
  <c r="N196" i="2"/>
  <c r="L196" i="2"/>
  <c r="M196" i="2"/>
  <c r="K196" i="2"/>
  <c r="P196" i="2"/>
  <c r="N5" i="4"/>
  <c r="O5" i="4" s="1"/>
  <c r="C55" i="2"/>
  <c r="J10" i="4"/>
  <c r="K10" i="4" s="1"/>
  <c r="C101" i="2"/>
  <c r="J17" i="4"/>
  <c r="K17" i="4" s="1"/>
  <c r="C177" i="2"/>
  <c r="F13" i="4"/>
  <c r="C120" i="2"/>
  <c r="F6" i="4"/>
  <c r="C62" i="2"/>
  <c r="F8" i="4"/>
  <c r="C74" i="2"/>
  <c r="F9" i="4"/>
  <c r="C86" i="2"/>
  <c r="K73" i="2"/>
  <c r="Q73" i="2"/>
  <c r="M73" i="2"/>
  <c r="O73" i="2"/>
  <c r="P73" i="2"/>
  <c r="L73" i="2"/>
  <c r="N73" i="2"/>
  <c r="K85" i="2"/>
  <c r="O85" i="2"/>
  <c r="Q85" i="2"/>
  <c r="P85" i="2"/>
  <c r="L85" i="2"/>
  <c r="M85" i="2"/>
  <c r="N85" i="2"/>
  <c r="N37" i="2"/>
  <c r="O37" i="2"/>
  <c r="K37" i="2"/>
  <c r="Q37" i="2"/>
  <c r="M37" i="2"/>
  <c r="L37" i="2"/>
  <c r="P37" i="2"/>
  <c r="G4" i="4"/>
  <c r="C38" i="2"/>
  <c r="P61" i="2"/>
  <c r="K61" i="2"/>
  <c r="L61" i="2"/>
  <c r="N61" i="2"/>
  <c r="M61" i="2"/>
  <c r="Q61" i="2"/>
  <c r="O61" i="2"/>
  <c r="P5" i="2"/>
  <c r="N5" i="2"/>
  <c r="M5" i="2"/>
  <c r="L5" i="2"/>
  <c r="Q5" i="2"/>
  <c r="K5" i="2"/>
  <c r="O5" i="2"/>
  <c r="F2" i="4"/>
  <c r="C6" i="2"/>
  <c r="O21" i="2"/>
  <c r="N21" i="2"/>
  <c r="L21" i="2"/>
  <c r="K21" i="2"/>
  <c r="M21" i="2"/>
  <c r="Q21" i="2"/>
  <c r="P21" i="2"/>
  <c r="F3" i="4"/>
  <c r="C22" i="2"/>
  <c r="C17" i="1"/>
  <c r="C25" i="1"/>
  <c r="C18" i="1"/>
  <c r="D37" i="1"/>
  <c r="D36" i="1"/>
  <c r="G35" i="1"/>
  <c r="F32" i="1"/>
  <c r="L17" i="4" l="1"/>
  <c r="M17" i="4" s="1"/>
  <c r="C178" i="2"/>
  <c r="L10" i="4"/>
  <c r="M10" i="4" s="1"/>
  <c r="C102" i="2"/>
  <c r="M7" i="11"/>
  <c r="Q7" i="11"/>
  <c r="P7" i="11"/>
  <c r="L7" i="11"/>
  <c r="O7" i="11"/>
  <c r="K7" i="11"/>
  <c r="N7" i="11"/>
  <c r="H16" i="4"/>
  <c r="I16" i="4" s="1"/>
  <c r="C164" i="2"/>
  <c r="P12" i="4"/>
  <c r="Q12" i="4" s="1"/>
  <c r="C114" i="2"/>
  <c r="P197" i="2"/>
  <c r="Q197" i="2"/>
  <c r="M197" i="2"/>
  <c r="K197" i="2"/>
  <c r="O197" i="2"/>
  <c r="L197" i="2"/>
  <c r="N197" i="2"/>
  <c r="Q189" i="2"/>
  <c r="M189" i="2"/>
  <c r="K189" i="2"/>
  <c r="O189" i="2"/>
  <c r="P189" i="2"/>
  <c r="L189" i="2"/>
  <c r="N189" i="2"/>
  <c r="K113" i="2"/>
  <c r="N113" i="2"/>
  <c r="O113" i="2"/>
  <c r="L113" i="2"/>
  <c r="P113" i="2"/>
  <c r="M113" i="2"/>
  <c r="Q113" i="2"/>
  <c r="M163" i="2"/>
  <c r="O163" i="2"/>
  <c r="L163" i="2"/>
  <c r="K163" i="2"/>
  <c r="N163" i="2"/>
  <c r="P163" i="2"/>
  <c r="Q163" i="2"/>
  <c r="T18" i="4"/>
  <c r="U18" i="4" s="1"/>
  <c r="C190" i="2"/>
  <c r="N20" i="4"/>
  <c r="O20" i="4" s="1"/>
  <c r="C208" i="2"/>
  <c r="P55" i="2"/>
  <c r="N55" i="2"/>
  <c r="M55" i="2"/>
  <c r="Q55" i="2"/>
  <c r="K55" i="2"/>
  <c r="O55" i="2"/>
  <c r="L55" i="2"/>
  <c r="P5" i="4"/>
  <c r="Q5" i="4" s="1"/>
  <c r="C56" i="2"/>
  <c r="N19" i="4"/>
  <c r="O19" i="4" s="1"/>
  <c r="C198" i="2"/>
  <c r="L39" i="11"/>
  <c r="K39" i="11"/>
  <c r="O39" i="11"/>
  <c r="Q39" i="11"/>
  <c r="M39" i="11"/>
  <c r="P39" i="11"/>
  <c r="N39" i="11"/>
  <c r="N207" i="2"/>
  <c r="Q207" i="2"/>
  <c r="O207" i="2"/>
  <c r="P207" i="2"/>
  <c r="K207" i="2"/>
  <c r="M207" i="2"/>
  <c r="L207" i="2"/>
  <c r="G13" i="4"/>
  <c r="C121" i="2"/>
  <c r="N151" i="2"/>
  <c r="O151" i="2"/>
  <c r="Q151" i="2"/>
  <c r="P151" i="2"/>
  <c r="K151" i="2"/>
  <c r="L151" i="2"/>
  <c r="M151" i="2"/>
  <c r="O177" i="2"/>
  <c r="L177" i="2"/>
  <c r="M177" i="2"/>
  <c r="Q177" i="2"/>
  <c r="P177" i="2"/>
  <c r="N177" i="2"/>
  <c r="K177" i="2"/>
  <c r="N101" i="2"/>
  <c r="K101" i="2"/>
  <c r="L101" i="2"/>
  <c r="P101" i="2"/>
  <c r="Q101" i="2"/>
  <c r="O101" i="2"/>
  <c r="M101" i="2"/>
  <c r="N120" i="2"/>
  <c r="P120" i="2"/>
  <c r="O120" i="2"/>
  <c r="M120" i="2"/>
  <c r="Q120" i="2"/>
  <c r="K120" i="2"/>
  <c r="L120" i="2"/>
  <c r="Q136" i="2"/>
  <c r="M136" i="2"/>
  <c r="K136" i="2"/>
  <c r="O136" i="2"/>
  <c r="N136" i="2"/>
  <c r="L136" i="2"/>
  <c r="P136" i="2"/>
  <c r="P23" i="11"/>
  <c r="N23" i="11"/>
  <c r="O23" i="11"/>
  <c r="L23" i="11"/>
  <c r="M23" i="11"/>
  <c r="Q23" i="11"/>
  <c r="K23" i="11"/>
  <c r="H14" i="4"/>
  <c r="I14" i="4" s="1"/>
  <c r="C137" i="2"/>
  <c r="H15" i="4"/>
  <c r="I15" i="4" s="1"/>
  <c r="C152" i="2"/>
  <c r="Q74" i="2"/>
  <c r="O74" i="2"/>
  <c r="L74" i="2"/>
  <c r="N74" i="2"/>
  <c r="K74" i="2"/>
  <c r="P74" i="2"/>
  <c r="M74" i="2"/>
  <c r="H4" i="4"/>
  <c r="I4" i="4" s="1"/>
  <c r="C39" i="2"/>
  <c r="K86" i="2"/>
  <c r="P86" i="2"/>
  <c r="O86" i="2"/>
  <c r="M86" i="2"/>
  <c r="L86" i="2"/>
  <c r="Q86" i="2"/>
  <c r="N86" i="2"/>
  <c r="M62" i="2"/>
  <c r="O62" i="2"/>
  <c r="K62" i="2"/>
  <c r="N62" i="2"/>
  <c r="L62" i="2"/>
  <c r="P62" i="2"/>
  <c r="Q62" i="2"/>
  <c r="G9" i="4"/>
  <c r="C87" i="2"/>
  <c r="G8" i="4"/>
  <c r="C75" i="2"/>
  <c r="O38" i="2"/>
  <c r="P38" i="2"/>
  <c r="N38" i="2"/>
  <c r="Q38" i="2"/>
  <c r="L38" i="2"/>
  <c r="M38" i="2"/>
  <c r="K38" i="2"/>
  <c r="G6" i="4"/>
  <c r="C63" i="2"/>
  <c r="L22" i="2"/>
  <c r="Q22" i="2"/>
  <c r="P22" i="2"/>
  <c r="N22" i="2"/>
  <c r="O22" i="2"/>
  <c r="M22" i="2"/>
  <c r="K22" i="2"/>
  <c r="G3" i="4"/>
  <c r="C23" i="2"/>
  <c r="M6" i="2"/>
  <c r="P6" i="2"/>
  <c r="K6" i="2"/>
  <c r="N6" i="2"/>
  <c r="L6" i="2"/>
  <c r="O6" i="2"/>
  <c r="Q6" i="2"/>
  <c r="G2" i="4"/>
  <c r="C7" i="2"/>
  <c r="C21" i="1"/>
  <c r="C28" i="1"/>
  <c r="C20" i="1"/>
  <c r="F35" i="1"/>
  <c r="E32" i="1"/>
  <c r="P190" i="2" l="1"/>
  <c r="M190" i="2"/>
  <c r="L190" i="2"/>
  <c r="Q190" i="2"/>
  <c r="K190" i="2"/>
  <c r="O190" i="2"/>
  <c r="N190" i="2"/>
  <c r="O178" i="2"/>
  <c r="N178" i="2"/>
  <c r="P178" i="2"/>
  <c r="K178" i="2"/>
  <c r="L178" i="2"/>
  <c r="Q178" i="2"/>
  <c r="M178" i="2"/>
  <c r="J16" i="4"/>
  <c r="K16" i="4" s="1"/>
  <c r="C165" i="2"/>
  <c r="V18" i="4"/>
  <c r="W18" i="4" s="1"/>
  <c r="C191" i="2"/>
  <c r="N208" i="2"/>
  <c r="L208" i="2"/>
  <c r="Q208" i="2"/>
  <c r="O208" i="2"/>
  <c r="M208" i="2"/>
  <c r="P208" i="2"/>
  <c r="K208" i="2"/>
  <c r="R5" i="4"/>
  <c r="S5" i="4" s="1"/>
  <c r="C57" i="2"/>
  <c r="N17" i="4"/>
  <c r="O17" i="4" s="1"/>
  <c r="C179" i="2"/>
  <c r="K114" i="2"/>
  <c r="N114" i="2"/>
  <c r="M114" i="2"/>
  <c r="P114" i="2"/>
  <c r="O114" i="2"/>
  <c r="Q114" i="2"/>
  <c r="L114" i="2"/>
  <c r="Q24" i="11"/>
  <c r="P24" i="11"/>
  <c r="O24" i="11"/>
  <c r="L24" i="11"/>
  <c r="N24" i="11"/>
  <c r="M24" i="11"/>
  <c r="K24" i="11"/>
  <c r="P56" i="2"/>
  <c r="Q56" i="2"/>
  <c r="L56" i="2"/>
  <c r="M56" i="2"/>
  <c r="N56" i="2"/>
  <c r="K56" i="2"/>
  <c r="O56" i="2"/>
  <c r="Q102" i="2"/>
  <c r="M102" i="2"/>
  <c r="L102" i="2"/>
  <c r="O102" i="2"/>
  <c r="K102" i="2"/>
  <c r="P102" i="2"/>
  <c r="N102" i="2"/>
  <c r="Q164" i="2"/>
  <c r="N164" i="2"/>
  <c r="O164" i="2"/>
  <c r="L164" i="2"/>
  <c r="P164" i="2"/>
  <c r="K164" i="2"/>
  <c r="M164" i="2"/>
  <c r="O137" i="2"/>
  <c r="P137" i="2"/>
  <c r="K137" i="2"/>
  <c r="Q137" i="2"/>
  <c r="M137" i="2"/>
  <c r="N137" i="2"/>
  <c r="L137" i="2"/>
  <c r="P19" i="4"/>
  <c r="Q19" i="4" s="1"/>
  <c r="C199" i="2"/>
  <c r="P20" i="4"/>
  <c r="Q20" i="4" s="1"/>
  <c r="C209" i="2"/>
  <c r="K8" i="11"/>
  <c r="L8" i="11"/>
  <c r="Q8" i="11"/>
  <c r="M8" i="11"/>
  <c r="O8" i="11"/>
  <c r="N8" i="11"/>
  <c r="P8" i="11"/>
  <c r="R12" i="4"/>
  <c r="S12" i="4" s="1"/>
  <c r="C115" i="2"/>
  <c r="Q198" i="2"/>
  <c r="K198" i="2"/>
  <c r="O198" i="2"/>
  <c r="M198" i="2"/>
  <c r="P198" i="2"/>
  <c r="L198" i="2"/>
  <c r="N198" i="2"/>
  <c r="Q121" i="2"/>
  <c r="N121" i="2"/>
  <c r="K121" i="2"/>
  <c r="P121" i="2"/>
  <c r="O121" i="2"/>
  <c r="L121" i="2"/>
  <c r="M121" i="2"/>
  <c r="N10" i="4"/>
  <c r="O10" i="4" s="1"/>
  <c r="C103" i="2"/>
  <c r="K152" i="2"/>
  <c r="P152" i="2"/>
  <c r="M152" i="2"/>
  <c r="N152" i="2"/>
  <c r="O152" i="2"/>
  <c r="L152" i="2"/>
  <c r="Q152" i="2"/>
  <c r="J15" i="4"/>
  <c r="K15" i="4" s="1"/>
  <c r="C153" i="2"/>
  <c r="J14" i="4"/>
  <c r="K14" i="4" s="1"/>
  <c r="C138" i="2"/>
  <c r="H13" i="4"/>
  <c r="I13" i="4" s="1"/>
  <c r="C122" i="2"/>
  <c r="L39" i="2"/>
  <c r="Q39" i="2"/>
  <c r="K39" i="2"/>
  <c r="O39" i="2"/>
  <c r="P39" i="2"/>
  <c r="M39" i="2"/>
  <c r="N39" i="2"/>
  <c r="N87" i="2"/>
  <c r="L87" i="2"/>
  <c r="O87" i="2"/>
  <c r="K87" i="2"/>
  <c r="P87" i="2"/>
  <c r="Q87" i="2"/>
  <c r="M87" i="2"/>
  <c r="L63" i="2"/>
  <c r="O63" i="2"/>
  <c r="K63" i="2"/>
  <c r="N63" i="2"/>
  <c r="P63" i="2"/>
  <c r="M63" i="2"/>
  <c r="Q63" i="2"/>
  <c r="M75" i="2"/>
  <c r="Q75" i="2"/>
  <c r="N75" i="2"/>
  <c r="K75" i="2"/>
  <c r="L75" i="2"/>
  <c r="O75" i="2"/>
  <c r="P75" i="2"/>
  <c r="H8" i="4"/>
  <c r="I8" i="4" s="1"/>
  <c r="C76" i="2"/>
  <c r="H9" i="4"/>
  <c r="I9" i="4" s="1"/>
  <c r="C88" i="2"/>
  <c r="J4" i="4"/>
  <c r="K4" i="4" s="1"/>
  <c r="C40" i="2"/>
  <c r="H6" i="4"/>
  <c r="I6" i="4" s="1"/>
  <c r="C64" i="2"/>
  <c r="H2" i="4"/>
  <c r="I2" i="4" s="1"/>
  <c r="C8" i="2"/>
  <c r="H3" i="4"/>
  <c r="I3" i="4" s="1"/>
  <c r="C24" i="2"/>
  <c r="L7" i="2"/>
  <c r="N7" i="2"/>
  <c r="K7" i="2"/>
  <c r="M7" i="2"/>
  <c r="Q7" i="2"/>
  <c r="O7" i="2"/>
  <c r="P7" i="2"/>
  <c r="P23" i="2"/>
  <c r="N23" i="2"/>
  <c r="K23" i="2"/>
  <c r="L23" i="2"/>
  <c r="M23" i="2"/>
  <c r="Q23" i="2"/>
  <c r="O23" i="2"/>
  <c r="C23" i="1"/>
  <c r="C31" i="1"/>
  <c r="C24" i="1"/>
  <c r="E35" i="1"/>
  <c r="D32" i="1"/>
  <c r="T5" i="4" l="1"/>
  <c r="U5" i="4" s="1"/>
  <c r="C58" i="2"/>
  <c r="M165" i="2"/>
  <c r="K165" i="2"/>
  <c r="L165" i="2"/>
  <c r="Q165" i="2"/>
  <c r="O165" i="2"/>
  <c r="N165" i="2"/>
  <c r="P165" i="2"/>
  <c r="L199" i="2"/>
  <c r="O199" i="2"/>
  <c r="N199" i="2"/>
  <c r="Q199" i="2"/>
  <c r="M199" i="2"/>
  <c r="P199" i="2"/>
  <c r="K199" i="2"/>
  <c r="K209" i="2"/>
  <c r="M209" i="2"/>
  <c r="P209" i="2"/>
  <c r="N209" i="2"/>
  <c r="L209" i="2"/>
  <c r="O209" i="2"/>
  <c r="Q209" i="2"/>
  <c r="Q179" i="2"/>
  <c r="K179" i="2"/>
  <c r="O179" i="2"/>
  <c r="L179" i="2"/>
  <c r="P179" i="2"/>
  <c r="M179" i="2"/>
  <c r="N179" i="2"/>
  <c r="M103" i="2"/>
  <c r="P103" i="2"/>
  <c r="Q103" i="2"/>
  <c r="L103" i="2"/>
  <c r="N103" i="2"/>
  <c r="K103" i="2"/>
  <c r="O103" i="2"/>
  <c r="P17" i="4"/>
  <c r="Q17" i="4" s="1"/>
  <c r="C180" i="2"/>
  <c r="T12" i="4"/>
  <c r="U12" i="4" s="1"/>
  <c r="C116" i="2"/>
  <c r="P10" i="4"/>
  <c r="Q10" i="4" s="1"/>
  <c r="C104" i="2"/>
  <c r="O153" i="2"/>
  <c r="Q153" i="2"/>
  <c r="K153" i="2"/>
  <c r="N153" i="2"/>
  <c r="L153" i="2"/>
  <c r="P153" i="2"/>
  <c r="M153" i="2"/>
  <c r="R20" i="4"/>
  <c r="S20" i="4" s="1"/>
  <c r="C210" i="2"/>
  <c r="L16" i="4"/>
  <c r="M16" i="4" s="1"/>
  <c r="C166" i="2"/>
  <c r="Q122" i="2"/>
  <c r="N122" i="2"/>
  <c r="O122" i="2"/>
  <c r="L122" i="2"/>
  <c r="K122" i="2"/>
  <c r="M122" i="2"/>
  <c r="P122" i="2"/>
  <c r="K25" i="11"/>
  <c r="L25" i="11"/>
  <c r="O25" i="11"/>
  <c r="M25" i="11"/>
  <c r="N25" i="11"/>
  <c r="P25" i="11"/>
  <c r="Q25" i="11"/>
  <c r="R19" i="4"/>
  <c r="S19" i="4" s="1"/>
  <c r="C200" i="2"/>
  <c r="Q138" i="2"/>
  <c r="O138" i="2"/>
  <c r="N138" i="2"/>
  <c r="P138" i="2"/>
  <c r="L138" i="2"/>
  <c r="M138" i="2"/>
  <c r="K138" i="2"/>
  <c r="Q9" i="11"/>
  <c r="N9" i="11"/>
  <c r="L9" i="11"/>
  <c r="M9" i="11"/>
  <c r="K9" i="11"/>
  <c r="O9" i="11"/>
  <c r="P9" i="11"/>
  <c r="J13" i="4"/>
  <c r="K13" i="4" s="1"/>
  <c r="C123" i="2"/>
  <c r="L14" i="4"/>
  <c r="M14" i="4" s="1"/>
  <c r="C139" i="2"/>
  <c r="N115" i="2"/>
  <c r="P115" i="2"/>
  <c r="Q115" i="2"/>
  <c r="L115" i="2"/>
  <c r="M115" i="2"/>
  <c r="K115" i="2"/>
  <c r="O115" i="2"/>
  <c r="X18" i="4"/>
  <c r="Y18" i="4" s="1"/>
  <c r="Z18" i="4" s="1"/>
  <c r="AA18" i="4" s="1"/>
  <c r="AB18" i="4" s="1"/>
  <c r="AC18" i="4" s="1"/>
  <c r="C192" i="2"/>
  <c r="K57" i="2"/>
  <c r="O57" i="2"/>
  <c r="M57" i="2"/>
  <c r="N57" i="2"/>
  <c r="P57" i="2"/>
  <c r="L57" i="2"/>
  <c r="Q57" i="2"/>
  <c r="L15" i="4"/>
  <c r="M15" i="4" s="1"/>
  <c r="C154" i="2"/>
  <c r="K191" i="2"/>
  <c r="L191" i="2"/>
  <c r="N191" i="2"/>
  <c r="O191" i="2"/>
  <c r="P191" i="2"/>
  <c r="M191" i="2"/>
  <c r="Q191" i="2"/>
  <c r="J8" i="4"/>
  <c r="K8" i="4" s="1"/>
  <c r="C77" i="2"/>
  <c r="J6" i="4"/>
  <c r="K6" i="4" s="1"/>
  <c r="C65" i="2"/>
  <c r="Q88" i="2"/>
  <c r="P88" i="2"/>
  <c r="N88" i="2"/>
  <c r="L88" i="2"/>
  <c r="O88" i="2"/>
  <c r="K88" i="2"/>
  <c r="M88" i="2"/>
  <c r="L64" i="2"/>
  <c r="Q64" i="2"/>
  <c r="N64" i="2"/>
  <c r="K64" i="2"/>
  <c r="P64" i="2"/>
  <c r="M64" i="2"/>
  <c r="O64" i="2"/>
  <c r="N40" i="2"/>
  <c r="P40" i="2"/>
  <c r="Q40" i="2"/>
  <c r="L40" i="2"/>
  <c r="O40" i="2"/>
  <c r="M40" i="2"/>
  <c r="K40" i="2"/>
  <c r="L4" i="4"/>
  <c r="M4" i="4" s="1"/>
  <c r="C41" i="2"/>
  <c r="J9" i="4"/>
  <c r="K9" i="4" s="1"/>
  <c r="C89" i="2"/>
  <c r="M76" i="2"/>
  <c r="N76" i="2"/>
  <c r="O76" i="2"/>
  <c r="L76" i="2"/>
  <c r="P76" i="2"/>
  <c r="K76" i="2"/>
  <c r="Q76" i="2"/>
  <c r="N24" i="2"/>
  <c r="K24" i="2"/>
  <c r="M24" i="2"/>
  <c r="Q24" i="2"/>
  <c r="O24" i="2"/>
  <c r="P24" i="2"/>
  <c r="L24" i="2"/>
  <c r="L8" i="2"/>
  <c r="M8" i="2"/>
  <c r="K8" i="2"/>
  <c r="Q8" i="2"/>
  <c r="P8" i="2"/>
  <c r="N8" i="2"/>
  <c r="O8" i="2"/>
  <c r="J2" i="4"/>
  <c r="K2" i="4" s="1"/>
  <c r="C9" i="2"/>
  <c r="J3" i="4"/>
  <c r="K3" i="4" s="1"/>
  <c r="C25" i="2"/>
  <c r="C34" i="1"/>
  <c r="C27" i="1"/>
  <c r="C26" i="1"/>
  <c r="D35" i="1"/>
  <c r="R17" i="4" l="1"/>
  <c r="S17" i="4" s="1"/>
  <c r="C181" i="2"/>
  <c r="L180" i="2"/>
  <c r="Q180" i="2"/>
  <c r="N180" i="2"/>
  <c r="P180" i="2"/>
  <c r="O180" i="2"/>
  <c r="K180" i="2"/>
  <c r="M180" i="2"/>
  <c r="T19" i="4"/>
  <c r="U19" i="4" s="1"/>
  <c r="V19" i="4" s="1"/>
  <c r="W19" i="4" s="1"/>
  <c r="C201" i="2"/>
  <c r="L13" i="4"/>
  <c r="M13" i="4" s="1"/>
  <c r="C124" i="2"/>
  <c r="N16" i="4"/>
  <c r="O16" i="4" s="1"/>
  <c r="C167" i="2"/>
  <c r="O139" i="2"/>
  <c r="Q139" i="2"/>
  <c r="K139" i="2"/>
  <c r="L139" i="2"/>
  <c r="M139" i="2"/>
  <c r="P139" i="2"/>
  <c r="N139" i="2"/>
  <c r="R10" i="4"/>
  <c r="S10" i="4" s="1"/>
  <c r="C105" i="2"/>
  <c r="L200" i="2"/>
  <c r="N200" i="2"/>
  <c r="O200" i="2"/>
  <c r="P200" i="2"/>
  <c r="M200" i="2"/>
  <c r="Q200" i="2"/>
  <c r="K200" i="2"/>
  <c r="Q123" i="2"/>
  <c r="P123" i="2"/>
  <c r="O123" i="2"/>
  <c r="N123" i="2"/>
  <c r="L123" i="2"/>
  <c r="K123" i="2"/>
  <c r="M123" i="2"/>
  <c r="M154" i="2"/>
  <c r="P154" i="2"/>
  <c r="K154" i="2"/>
  <c r="Q154" i="2"/>
  <c r="N154" i="2"/>
  <c r="O154" i="2"/>
  <c r="L154" i="2"/>
  <c r="M104" i="2"/>
  <c r="P104" i="2"/>
  <c r="K104" i="2"/>
  <c r="L104" i="2"/>
  <c r="O104" i="2"/>
  <c r="Q104" i="2"/>
  <c r="N104" i="2"/>
  <c r="M26" i="11"/>
  <c r="L26" i="11"/>
  <c r="O26" i="11"/>
  <c r="N26" i="11"/>
  <c r="P26" i="11"/>
  <c r="K26" i="11"/>
  <c r="Q26" i="11"/>
  <c r="N192" i="2"/>
  <c r="O192" i="2"/>
  <c r="L192" i="2"/>
  <c r="M192" i="2"/>
  <c r="Q192" i="2"/>
  <c r="P192" i="2"/>
  <c r="K192" i="2"/>
  <c r="K116" i="2"/>
  <c r="Q116" i="2"/>
  <c r="N116" i="2"/>
  <c r="P116" i="2"/>
  <c r="L116" i="2"/>
  <c r="O116" i="2"/>
  <c r="M116" i="2"/>
  <c r="K58" i="2"/>
  <c r="N58" i="2"/>
  <c r="O58" i="2"/>
  <c r="Q58" i="2"/>
  <c r="M58" i="2"/>
  <c r="L58" i="2"/>
  <c r="P58" i="2"/>
  <c r="N14" i="4"/>
  <c r="O14" i="4" s="1"/>
  <c r="C140" i="2"/>
  <c r="L166" i="2"/>
  <c r="K166" i="2"/>
  <c r="M166" i="2"/>
  <c r="N166" i="2"/>
  <c r="P166" i="2"/>
  <c r="Q166" i="2"/>
  <c r="O166" i="2"/>
  <c r="N15" i="4"/>
  <c r="O15" i="4" s="1"/>
  <c r="C155" i="2"/>
  <c r="Q210" i="2"/>
  <c r="K210" i="2"/>
  <c r="M210" i="2"/>
  <c r="N210" i="2"/>
  <c r="O210" i="2"/>
  <c r="L210" i="2"/>
  <c r="P210" i="2"/>
  <c r="T20" i="4"/>
  <c r="U20" i="4" s="1"/>
  <c r="C211" i="2"/>
  <c r="K10" i="11"/>
  <c r="N10" i="11"/>
  <c r="M10" i="11"/>
  <c r="O10" i="11"/>
  <c r="L10" i="11"/>
  <c r="P10" i="11"/>
  <c r="Q10" i="11"/>
  <c r="V12" i="4"/>
  <c r="W12" i="4" s="1"/>
  <c r="X12" i="4" s="1"/>
  <c r="Y12" i="4" s="1"/>
  <c r="Z12" i="4" s="1"/>
  <c r="AA12" i="4" s="1"/>
  <c r="AB12" i="4" s="1"/>
  <c r="AC12" i="4" s="1"/>
  <c r="C117" i="2"/>
  <c r="V5" i="4"/>
  <c r="W5" i="4" s="1"/>
  <c r="X5" i="4" s="1"/>
  <c r="Y5" i="4" s="1"/>
  <c r="Z5" i="4" s="1"/>
  <c r="AA5" i="4" s="1"/>
  <c r="AB5" i="4" s="1"/>
  <c r="AC5" i="4" s="1"/>
  <c r="C59" i="2"/>
  <c r="L6" i="4"/>
  <c r="M6" i="4" s="1"/>
  <c r="C66" i="2"/>
  <c r="N41" i="2"/>
  <c r="L41" i="2"/>
  <c r="O41" i="2"/>
  <c r="Q41" i="2"/>
  <c r="P41" i="2"/>
  <c r="M41" i="2"/>
  <c r="K41" i="2"/>
  <c r="N4" i="4"/>
  <c r="O4" i="4" s="1"/>
  <c r="C42" i="2"/>
  <c r="N65" i="2"/>
  <c r="P65" i="2"/>
  <c r="K65" i="2"/>
  <c r="Q65" i="2"/>
  <c r="L65" i="2"/>
  <c r="M65" i="2"/>
  <c r="O65" i="2"/>
  <c r="O77" i="2"/>
  <c r="M77" i="2"/>
  <c r="Q77" i="2"/>
  <c r="L77" i="2"/>
  <c r="P77" i="2"/>
  <c r="K77" i="2"/>
  <c r="N77" i="2"/>
  <c r="L9" i="4"/>
  <c r="M9" i="4" s="1"/>
  <c r="C90" i="2"/>
  <c r="P89" i="2"/>
  <c r="M89" i="2"/>
  <c r="O89" i="2"/>
  <c r="N89" i="2"/>
  <c r="L89" i="2"/>
  <c r="K89" i="2"/>
  <c r="Q89" i="2"/>
  <c r="L8" i="4"/>
  <c r="M8" i="4" s="1"/>
  <c r="C78" i="2"/>
  <c r="Q25" i="2"/>
  <c r="O25" i="2"/>
  <c r="L25" i="2"/>
  <c r="K25" i="2"/>
  <c r="P25" i="2"/>
  <c r="M25" i="2"/>
  <c r="N25" i="2"/>
  <c r="L2" i="4"/>
  <c r="M2" i="4" s="1"/>
  <c r="C10" i="2"/>
  <c r="N9" i="2"/>
  <c r="L9" i="2"/>
  <c r="P9" i="2"/>
  <c r="Q9" i="2"/>
  <c r="K9" i="2"/>
  <c r="O9" i="2"/>
  <c r="M9" i="2"/>
  <c r="L3" i="4"/>
  <c r="M3" i="4" s="1"/>
  <c r="C26" i="2"/>
  <c r="C30" i="1"/>
  <c r="C29" i="1"/>
  <c r="C37" i="1"/>
  <c r="P15" i="4" l="1"/>
  <c r="Q15" i="4" s="1"/>
  <c r="R15" i="4" s="1"/>
  <c r="S15" i="4" s="1"/>
  <c r="C156" i="2"/>
  <c r="P14" i="4"/>
  <c r="Q14" i="4" s="1"/>
  <c r="C141" i="2"/>
  <c r="N201" i="2"/>
  <c r="M201" i="2"/>
  <c r="Q201" i="2"/>
  <c r="P201" i="2"/>
  <c r="K201" i="2"/>
  <c r="O201" i="2"/>
  <c r="L201" i="2"/>
  <c r="O11" i="11"/>
  <c r="Q11" i="11"/>
  <c r="M11" i="11"/>
  <c r="N11" i="11"/>
  <c r="P11" i="11"/>
  <c r="L11" i="11"/>
  <c r="K11" i="11"/>
  <c r="N13" i="4"/>
  <c r="O13" i="4" s="1"/>
  <c r="C125" i="2"/>
  <c r="M140" i="2"/>
  <c r="Q140" i="2"/>
  <c r="P140" i="2"/>
  <c r="O140" i="2"/>
  <c r="N140" i="2"/>
  <c r="L140" i="2"/>
  <c r="K140" i="2"/>
  <c r="O105" i="2"/>
  <c r="N105" i="2"/>
  <c r="M105" i="2"/>
  <c r="Q105" i="2"/>
  <c r="P105" i="2"/>
  <c r="L105" i="2"/>
  <c r="K105" i="2"/>
  <c r="T10" i="4"/>
  <c r="U10" i="4" s="1"/>
  <c r="C106" i="2"/>
  <c r="P117" i="2"/>
  <c r="O117" i="2"/>
  <c r="K117" i="2"/>
  <c r="N117" i="2"/>
  <c r="M117" i="2"/>
  <c r="L117" i="2"/>
  <c r="Q117" i="2"/>
  <c r="Q167" i="2"/>
  <c r="K167" i="2"/>
  <c r="L167" i="2"/>
  <c r="P167" i="2"/>
  <c r="M167" i="2"/>
  <c r="N167" i="2"/>
  <c r="O167" i="2"/>
  <c r="N59" i="2"/>
  <c r="P59" i="2"/>
  <c r="K59" i="2"/>
  <c r="Q59" i="2"/>
  <c r="L59" i="2"/>
  <c r="M59" i="2"/>
  <c r="O59" i="2"/>
  <c r="O155" i="2"/>
  <c r="N155" i="2"/>
  <c r="K155" i="2"/>
  <c r="P155" i="2"/>
  <c r="L155" i="2"/>
  <c r="M155" i="2"/>
  <c r="Q155" i="2"/>
  <c r="Q124" i="2"/>
  <c r="N124" i="2"/>
  <c r="O124" i="2"/>
  <c r="L124" i="2"/>
  <c r="M124" i="2"/>
  <c r="P124" i="2"/>
  <c r="K124" i="2"/>
  <c r="X19" i="4"/>
  <c r="Y19" i="4" s="1"/>
  <c r="Z19" i="4" s="1"/>
  <c r="AA19" i="4" s="1"/>
  <c r="AB19" i="4" s="1"/>
  <c r="AC19" i="4" s="1"/>
  <c r="C202" i="2"/>
  <c r="Q181" i="2"/>
  <c r="O181" i="2"/>
  <c r="K181" i="2"/>
  <c r="P181" i="2"/>
  <c r="L181" i="2"/>
  <c r="N181" i="2"/>
  <c r="M181" i="2"/>
  <c r="M27" i="11"/>
  <c r="K27" i="11"/>
  <c r="L27" i="11"/>
  <c r="P27" i="11"/>
  <c r="N27" i="11"/>
  <c r="O27" i="11"/>
  <c r="Q27" i="11"/>
  <c r="P16" i="4"/>
  <c r="Q16" i="4" s="1"/>
  <c r="C168" i="2"/>
  <c r="M211" i="2"/>
  <c r="O211" i="2"/>
  <c r="P211" i="2"/>
  <c r="N211" i="2"/>
  <c r="K211" i="2"/>
  <c r="Q211" i="2"/>
  <c r="L211" i="2"/>
  <c r="V20" i="4"/>
  <c r="W20" i="4" s="1"/>
  <c r="C212" i="2"/>
  <c r="T17" i="4"/>
  <c r="U17" i="4" s="1"/>
  <c r="C182" i="2"/>
  <c r="Q90" i="2"/>
  <c r="P90" i="2"/>
  <c r="L90" i="2"/>
  <c r="N90" i="2"/>
  <c r="O90" i="2"/>
  <c r="M90" i="2"/>
  <c r="K90" i="2"/>
  <c r="N9" i="4"/>
  <c r="O9" i="4" s="1"/>
  <c r="C91" i="2"/>
  <c r="N42" i="2"/>
  <c r="P42" i="2"/>
  <c r="K42" i="2"/>
  <c r="Q42" i="2"/>
  <c r="O42" i="2"/>
  <c r="M42" i="2"/>
  <c r="L42" i="2"/>
  <c r="P4" i="4"/>
  <c r="Q4" i="4" s="1"/>
  <c r="C43" i="2"/>
  <c r="O66" i="2"/>
  <c r="K66" i="2"/>
  <c r="N66" i="2"/>
  <c r="M66" i="2"/>
  <c r="L66" i="2"/>
  <c r="Q66" i="2"/>
  <c r="P66" i="2"/>
  <c r="P78" i="2"/>
  <c r="Q78" i="2"/>
  <c r="O78" i="2"/>
  <c r="M78" i="2"/>
  <c r="L78" i="2"/>
  <c r="K78" i="2"/>
  <c r="N78" i="2"/>
  <c r="N8" i="4"/>
  <c r="O8" i="4" s="1"/>
  <c r="C79" i="2"/>
  <c r="N6" i="4"/>
  <c r="O6" i="4" s="1"/>
  <c r="C67" i="2"/>
  <c r="O26" i="2"/>
  <c r="N26" i="2"/>
  <c r="M26" i="2"/>
  <c r="K26" i="2"/>
  <c r="P26" i="2"/>
  <c r="L26" i="2"/>
  <c r="Q26" i="2"/>
  <c r="N3" i="4"/>
  <c r="O3" i="4" s="1"/>
  <c r="C27" i="2"/>
  <c r="P10" i="2"/>
  <c r="K10" i="2"/>
  <c r="N10" i="2"/>
  <c r="L10" i="2"/>
  <c r="Q10" i="2"/>
  <c r="M10" i="2"/>
  <c r="O10" i="2"/>
  <c r="N2" i="4"/>
  <c r="O2" i="4" s="1"/>
  <c r="C11" i="2"/>
  <c r="C32" i="1"/>
  <c r="C33" i="1"/>
  <c r="L141" i="2" l="1"/>
  <c r="P141" i="2"/>
  <c r="N141" i="2"/>
  <c r="M141" i="2"/>
  <c r="Q141" i="2"/>
  <c r="O141" i="2"/>
  <c r="K141" i="2"/>
  <c r="Q106" i="2"/>
  <c r="P106" i="2"/>
  <c r="O106" i="2"/>
  <c r="M106" i="2"/>
  <c r="K106" i="2"/>
  <c r="L106" i="2"/>
  <c r="N106" i="2"/>
  <c r="X20" i="4"/>
  <c r="Y20" i="4" s="1"/>
  <c r="Z20" i="4" s="1"/>
  <c r="AA20" i="4" s="1"/>
  <c r="AB20" i="4" s="1"/>
  <c r="AC20" i="4" s="1"/>
  <c r="C213" i="2"/>
  <c r="V10" i="4"/>
  <c r="W10" i="4" s="1"/>
  <c r="C107" i="2"/>
  <c r="K168" i="2"/>
  <c r="O168" i="2"/>
  <c r="L168" i="2"/>
  <c r="N168" i="2"/>
  <c r="M168" i="2"/>
  <c r="Q168" i="2"/>
  <c r="P168" i="2"/>
  <c r="R16" i="4"/>
  <c r="S16" i="4" s="1"/>
  <c r="C169" i="2"/>
  <c r="P156" i="2"/>
  <c r="O156" i="2"/>
  <c r="M156" i="2"/>
  <c r="K156" i="2"/>
  <c r="L156" i="2"/>
  <c r="Q156" i="2"/>
  <c r="N156" i="2"/>
  <c r="K202" i="2"/>
  <c r="N202" i="2"/>
  <c r="Q202" i="2"/>
  <c r="M202" i="2"/>
  <c r="L202" i="2"/>
  <c r="P202" i="2"/>
  <c r="O202" i="2"/>
  <c r="O12" i="11"/>
  <c r="P12" i="11"/>
  <c r="N12" i="11"/>
  <c r="M12" i="11"/>
  <c r="K12" i="11"/>
  <c r="Q12" i="11"/>
  <c r="L12" i="11"/>
  <c r="M28" i="11"/>
  <c r="P28" i="11"/>
  <c r="O28" i="11"/>
  <c r="N28" i="11"/>
  <c r="Q28" i="11"/>
  <c r="L28" i="11"/>
  <c r="K28" i="11"/>
  <c r="Q182" i="2"/>
  <c r="M182" i="2"/>
  <c r="O182" i="2"/>
  <c r="K182" i="2"/>
  <c r="L182" i="2"/>
  <c r="N182" i="2"/>
  <c r="P182" i="2"/>
  <c r="V17" i="4"/>
  <c r="W17" i="4" s="1"/>
  <c r="C183" i="2"/>
  <c r="T15" i="4"/>
  <c r="U15" i="4" s="1"/>
  <c r="C157" i="2"/>
  <c r="L125" i="2"/>
  <c r="M125" i="2"/>
  <c r="O125" i="2"/>
  <c r="Q125" i="2"/>
  <c r="P125" i="2"/>
  <c r="N125" i="2"/>
  <c r="K125" i="2"/>
  <c r="R14" i="4"/>
  <c r="S14" i="4" s="1"/>
  <c r="C142" i="2"/>
  <c r="M212" i="2"/>
  <c r="Q212" i="2"/>
  <c r="O212" i="2"/>
  <c r="N212" i="2"/>
  <c r="K212" i="2"/>
  <c r="P212" i="2"/>
  <c r="L212" i="2"/>
  <c r="P13" i="4"/>
  <c r="Q13" i="4" s="1"/>
  <c r="C126" i="2"/>
  <c r="L43" i="2"/>
  <c r="M43" i="2"/>
  <c r="Q43" i="2"/>
  <c r="O43" i="2"/>
  <c r="P43" i="2"/>
  <c r="N43" i="2"/>
  <c r="K43" i="2"/>
  <c r="L91" i="2"/>
  <c r="Q91" i="2"/>
  <c r="K91" i="2"/>
  <c r="P91" i="2"/>
  <c r="M91" i="2"/>
  <c r="O91" i="2"/>
  <c r="N91" i="2"/>
  <c r="N79" i="2"/>
  <c r="L79" i="2"/>
  <c r="Q79" i="2"/>
  <c r="K79" i="2"/>
  <c r="M79" i="2"/>
  <c r="O79" i="2"/>
  <c r="P79" i="2"/>
  <c r="R4" i="4"/>
  <c r="S4" i="4" s="1"/>
  <c r="C44" i="2"/>
  <c r="P67" i="2"/>
  <c r="N67" i="2"/>
  <c r="M67" i="2"/>
  <c r="Q67" i="2"/>
  <c r="L67" i="2"/>
  <c r="K67" i="2"/>
  <c r="O67" i="2"/>
  <c r="P9" i="4"/>
  <c r="Q9" i="4" s="1"/>
  <c r="C92" i="2"/>
  <c r="P6" i="4"/>
  <c r="Q6" i="4" s="1"/>
  <c r="C68" i="2"/>
  <c r="P8" i="4"/>
  <c r="Q8" i="4" s="1"/>
  <c r="C80" i="2"/>
  <c r="P27" i="2"/>
  <c r="N27" i="2"/>
  <c r="O27" i="2"/>
  <c r="Q27" i="2"/>
  <c r="M27" i="2"/>
  <c r="L27" i="2"/>
  <c r="K27" i="2"/>
  <c r="P2" i="4"/>
  <c r="Q2" i="4" s="1"/>
  <c r="C12" i="2"/>
  <c r="P3" i="4"/>
  <c r="Q3" i="4" s="1"/>
  <c r="C28" i="2"/>
  <c r="N11" i="2"/>
  <c r="Q11" i="2"/>
  <c r="K11" i="2"/>
  <c r="L11" i="2"/>
  <c r="M11" i="2"/>
  <c r="P11" i="2"/>
  <c r="O11" i="2"/>
  <c r="C36" i="1"/>
  <c r="C35" i="1"/>
  <c r="X10" i="4" l="1"/>
  <c r="Y10" i="4" s="1"/>
  <c r="Z10" i="4" s="1"/>
  <c r="AA10" i="4" s="1"/>
  <c r="AB10" i="4" s="1"/>
  <c r="AC10" i="4" s="1"/>
  <c r="C108" i="2"/>
  <c r="P169" i="2"/>
  <c r="Q169" i="2"/>
  <c r="O169" i="2"/>
  <c r="K169" i="2"/>
  <c r="L169" i="2"/>
  <c r="M169" i="2"/>
  <c r="N169" i="2"/>
  <c r="O107" i="2"/>
  <c r="P107" i="2"/>
  <c r="M107" i="2"/>
  <c r="K107" i="2"/>
  <c r="L107" i="2"/>
  <c r="Q107" i="2"/>
  <c r="N107" i="2"/>
  <c r="V15" i="4"/>
  <c r="W15" i="4" s="1"/>
  <c r="C158" i="2"/>
  <c r="O213" i="2"/>
  <c r="N213" i="2"/>
  <c r="K213" i="2"/>
  <c r="Q213" i="2"/>
  <c r="L213" i="2"/>
  <c r="M213" i="2"/>
  <c r="P213" i="2"/>
  <c r="R13" i="4"/>
  <c r="S13" i="4" s="1"/>
  <c r="C127" i="2"/>
  <c r="P13" i="11"/>
  <c r="O13" i="11"/>
  <c r="N13" i="11"/>
  <c r="Q13" i="11"/>
  <c r="M13" i="11"/>
  <c r="K13" i="11"/>
  <c r="L13" i="11"/>
  <c r="Q157" i="2"/>
  <c r="N157" i="2"/>
  <c r="M157" i="2"/>
  <c r="L157" i="2"/>
  <c r="K157" i="2"/>
  <c r="P157" i="2"/>
  <c r="O157" i="2"/>
  <c r="P29" i="11"/>
  <c r="M29" i="11"/>
  <c r="Q29" i="11"/>
  <c r="N29" i="11"/>
  <c r="L29" i="11"/>
  <c r="K29" i="11"/>
  <c r="O29" i="11"/>
  <c r="X17" i="4"/>
  <c r="Y17" i="4" s="1"/>
  <c r="Z17" i="4" s="1"/>
  <c r="AA17" i="4" s="1"/>
  <c r="AB17" i="4" s="1"/>
  <c r="AC17" i="4" s="1"/>
  <c r="C184" i="2"/>
  <c r="M126" i="2"/>
  <c r="N126" i="2"/>
  <c r="O126" i="2"/>
  <c r="P126" i="2"/>
  <c r="K126" i="2"/>
  <c r="L126" i="2"/>
  <c r="Q126" i="2"/>
  <c r="T16" i="4"/>
  <c r="U16" i="4" s="1"/>
  <c r="C170" i="2"/>
  <c r="P142" i="2"/>
  <c r="L142" i="2"/>
  <c r="Q142" i="2"/>
  <c r="O142" i="2"/>
  <c r="M142" i="2"/>
  <c r="N142" i="2"/>
  <c r="K142" i="2"/>
  <c r="P183" i="2"/>
  <c r="M183" i="2"/>
  <c r="Q183" i="2"/>
  <c r="K183" i="2"/>
  <c r="L183" i="2"/>
  <c r="N183" i="2"/>
  <c r="O183" i="2"/>
  <c r="T14" i="4"/>
  <c r="U14" i="4" s="1"/>
  <c r="C143" i="2"/>
  <c r="L44" i="2"/>
  <c r="N44" i="2"/>
  <c r="Q44" i="2"/>
  <c r="M44" i="2"/>
  <c r="K44" i="2"/>
  <c r="O44" i="2"/>
  <c r="P44" i="2"/>
  <c r="N80" i="2"/>
  <c r="Q80" i="2"/>
  <c r="M80" i="2"/>
  <c r="K80" i="2"/>
  <c r="P80" i="2"/>
  <c r="L80" i="2"/>
  <c r="O80" i="2"/>
  <c r="R8" i="4"/>
  <c r="S8" i="4" s="1"/>
  <c r="C81" i="2"/>
  <c r="T4" i="4"/>
  <c r="U4" i="4" s="1"/>
  <c r="C45" i="2"/>
  <c r="L92" i="2"/>
  <c r="M92" i="2"/>
  <c r="Q92" i="2"/>
  <c r="P92" i="2"/>
  <c r="N92" i="2"/>
  <c r="K92" i="2"/>
  <c r="O92" i="2"/>
  <c r="P68" i="2"/>
  <c r="K68" i="2"/>
  <c r="M68" i="2"/>
  <c r="N68" i="2"/>
  <c r="L68" i="2"/>
  <c r="Q68" i="2"/>
  <c r="O68" i="2"/>
  <c r="R6" i="4"/>
  <c r="S6" i="4" s="1"/>
  <c r="C69" i="2"/>
  <c r="R9" i="4"/>
  <c r="S9" i="4" s="1"/>
  <c r="C93" i="2"/>
  <c r="R3" i="4"/>
  <c r="S3" i="4" s="1"/>
  <c r="C29" i="2"/>
  <c r="K28" i="2"/>
  <c r="P28" i="2"/>
  <c r="Q28" i="2"/>
  <c r="L28" i="2"/>
  <c r="O28" i="2"/>
  <c r="N28" i="2"/>
  <c r="M28" i="2"/>
  <c r="N12" i="2"/>
  <c r="P12" i="2"/>
  <c r="L12" i="2"/>
  <c r="Q12" i="2"/>
  <c r="O12" i="2"/>
  <c r="K12" i="2"/>
  <c r="M12" i="2"/>
  <c r="R2" i="4"/>
  <c r="S2" i="4" s="1"/>
  <c r="C13" i="2"/>
  <c r="L184" i="2" l="1"/>
  <c r="N184" i="2"/>
  <c r="O184" i="2"/>
  <c r="P184" i="2"/>
  <c r="K184" i="2"/>
  <c r="M184" i="2"/>
  <c r="Q184" i="2"/>
  <c r="P127" i="2"/>
  <c r="N127" i="2"/>
  <c r="L127" i="2"/>
  <c r="Q127" i="2"/>
  <c r="M127" i="2"/>
  <c r="K127" i="2"/>
  <c r="O127" i="2"/>
  <c r="Q158" i="2"/>
  <c r="K158" i="2"/>
  <c r="O158" i="2"/>
  <c r="L158" i="2"/>
  <c r="M158" i="2"/>
  <c r="N158" i="2"/>
  <c r="P158" i="2"/>
  <c r="Q30" i="11"/>
  <c r="N30" i="11"/>
  <c r="L30" i="11"/>
  <c r="M30" i="11"/>
  <c r="K30" i="11"/>
  <c r="P30" i="11"/>
  <c r="O30" i="11"/>
  <c r="L14" i="11"/>
  <c r="O14" i="11"/>
  <c r="P14" i="11"/>
  <c r="M14" i="11"/>
  <c r="Q14" i="11"/>
  <c r="K14" i="11"/>
  <c r="N14" i="11"/>
  <c r="Q170" i="2"/>
  <c r="O170" i="2"/>
  <c r="P170" i="2"/>
  <c r="L170" i="2"/>
  <c r="K170" i="2"/>
  <c r="N170" i="2"/>
  <c r="M170" i="2"/>
  <c r="X15" i="4"/>
  <c r="Y15" i="4" s="1"/>
  <c r="C159" i="2"/>
  <c r="V14" i="4"/>
  <c r="W14" i="4" s="1"/>
  <c r="C144" i="2"/>
  <c r="Q108" i="2"/>
  <c r="M108" i="2"/>
  <c r="P108" i="2"/>
  <c r="K108" i="2"/>
  <c r="L108" i="2"/>
  <c r="N108" i="2"/>
  <c r="O108" i="2"/>
  <c r="T13" i="4"/>
  <c r="U13" i="4" s="1"/>
  <c r="C128" i="2"/>
  <c r="V16" i="4"/>
  <c r="W16" i="4" s="1"/>
  <c r="C171" i="2"/>
  <c r="Q143" i="2"/>
  <c r="M143" i="2"/>
  <c r="P143" i="2"/>
  <c r="N143" i="2"/>
  <c r="L143" i="2"/>
  <c r="O143" i="2"/>
  <c r="K143" i="2"/>
  <c r="Q81" i="2"/>
  <c r="K81" i="2"/>
  <c r="O81" i="2"/>
  <c r="M81" i="2"/>
  <c r="N81" i="2"/>
  <c r="P81" i="2"/>
  <c r="L81" i="2"/>
  <c r="T9" i="4"/>
  <c r="U9" i="4" s="1"/>
  <c r="C94" i="2"/>
  <c r="K45" i="2"/>
  <c r="O45" i="2"/>
  <c r="L45" i="2"/>
  <c r="Q45" i="2"/>
  <c r="M45" i="2"/>
  <c r="P45" i="2"/>
  <c r="N45" i="2"/>
  <c r="P69" i="2"/>
  <c r="N69" i="2"/>
  <c r="O69" i="2"/>
  <c r="M69" i="2"/>
  <c r="L69" i="2"/>
  <c r="Q69" i="2"/>
  <c r="K69" i="2"/>
  <c r="V4" i="4"/>
  <c r="W4" i="4" s="1"/>
  <c r="C46" i="2"/>
  <c r="T8" i="4"/>
  <c r="U8" i="4" s="1"/>
  <c r="C82" i="2"/>
  <c r="N93" i="2"/>
  <c r="K93" i="2"/>
  <c r="P93" i="2"/>
  <c r="L93" i="2"/>
  <c r="Q93" i="2"/>
  <c r="O93" i="2"/>
  <c r="M93" i="2"/>
  <c r="T6" i="4"/>
  <c r="U6" i="4" s="1"/>
  <c r="C70" i="2"/>
  <c r="T2" i="4"/>
  <c r="U2" i="4" s="1"/>
  <c r="C14" i="2"/>
  <c r="K29" i="2"/>
  <c r="P29" i="2"/>
  <c r="N29" i="2"/>
  <c r="O29" i="2"/>
  <c r="Q29" i="2"/>
  <c r="L29" i="2"/>
  <c r="M29" i="2"/>
  <c r="M13" i="2"/>
  <c r="L13" i="2"/>
  <c r="Q13" i="2"/>
  <c r="O13" i="2"/>
  <c r="K13" i="2"/>
  <c r="N13" i="2"/>
  <c r="P13" i="2"/>
  <c r="T3" i="4"/>
  <c r="U3" i="4" s="1"/>
  <c r="C30" i="2"/>
  <c r="X14" i="4" l="1"/>
  <c r="Y14" i="4" s="1"/>
  <c r="C145" i="2"/>
  <c r="K15" i="11"/>
  <c r="Q15" i="11"/>
  <c r="N15" i="11"/>
  <c r="L15" i="11"/>
  <c r="M15" i="11"/>
  <c r="O15" i="11"/>
  <c r="P15" i="11"/>
  <c r="Q171" i="2"/>
  <c r="M171" i="2"/>
  <c r="O171" i="2"/>
  <c r="N171" i="2"/>
  <c r="P171" i="2"/>
  <c r="L171" i="2"/>
  <c r="K171" i="2"/>
  <c r="L159" i="2"/>
  <c r="N159" i="2"/>
  <c r="K159" i="2"/>
  <c r="O159" i="2"/>
  <c r="M159" i="2"/>
  <c r="Q159" i="2"/>
  <c r="P159" i="2"/>
  <c r="V13" i="4"/>
  <c r="W13" i="4" s="1"/>
  <c r="C129" i="2"/>
  <c r="Z15" i="4"/>
  <c r="AA15" i="4" s="1"/>
  <c r="AB15" i="4" s="1"/>
  <c r="AC15" i="4" s="1"/>
  <c r="C160" i="2"/>
  <c r="K31" i="11"/>
  <c r="P31" i="11"/>
  <c r="O31" i="11"/>
  <c r="N31" i="11"/>
  <c r="M31" i="11"/>
  <c r="L31" i="11"/>
  <c r="Q31" i="11"/>
  <c r="Q128" i="2"/>
  <c r="L128" i="2"/>
  <c r="O128" i="2"/>
  <c r="N128" i="2"/>
  <c r="K128" i="2"/>
  <c r="M128" i="2"/>
  <c r="P128" i="2"/>
  <c r="Q144" i="2"/>
  <c r="N144" i="2"/>
  <c r="L144" i="2"/>
  <c r="M144" i="2"/>
  <c r="K144" i="2"/>
  <c r="O144" i="2"/>
  <c r="P144" i="2"/>
  <c r="X16" i="4"/>
  <c r="Y16" i="4" s="1"/>
  <c r="Z16" i="4" s="1"/>
  <c r="AA16" i="4" s="1"/>
  <c r="AB16" i="4" s="1"/>
  <c r="AC16" i="4" s="1"/>
  <c r="C172" i="2"/>
  <c r="Q46" i="2"/>
  <c r="O46" i="2"/>
  <c r="P46" i="2"/>
  <c r="N46" i="2"/>
  <c r="L46" i="2"/>
  <c r="M46" i="2"/>
  <c r="K46" i="2"/>
  <c r="X4" i="4"/>
  <c r="Y4" i="4" s="1"/>
  <c r="Z4" i="4" s="1"/>
  <c r="AA4" i="4" s="1"/>
  <c r="AB4" i="4" s="1"/>
  <c r="AC4" i="4" s="1"/>
  <c r="C47" i="2"/>
  <c r="O82" i="2"/>
  <c r="P82" i="2"/>
  <c r="L82" i="2"/>
  <c r="M82" i="2"/>
  <c r="K82" i="2"/>
  <c r="Q82" i="2"/>
  <c r="N82" i="2"/>
  <c r="P94" i="2"/>
  <c r="O94" i="2"/>
  <c r="M94" i="2"/>
  <c r="K94" i="2"/>
  <c r="N94" i="2"/>
  <c r="L94" i="2"/>
  <c r="Q94" i="2"/>
  <c r="V8" i="4"/>
  <c r="W8" i="4" s="1"/>
  <c r="X8" i="4" s="1"/>
  <c r="Y8" i="4" s="1"/>
  <c r="Z8" i="4" s="1"/>
  <c r="AA8" i="4" s="1"/>
  <c r="AB8" i="4" s="1"/>
  <c r="AC8" i="4" s="1"/>
  <c r="C83" i="2"/>
  <c r="M70" i="2"/>
  <c r="L70" i="2"/>
  <c r="Q70" i="2"/>
  <c r="O70" i="2"/>
  <c r="K70" i="2"/>
  <c r="N70" i="2"/>
  <c r="P70" i="2"/>
  <c r="V9" i="4"/>
  <c r="W9" i="4" s="1"/>
  <c r="X9" i="4" s="1"/>
  <c r="Y9" i="4" s="1"/>
  <c r="Z9" i="4" s="1"/>
  <c r="AA9" i="4" s="1"/>
  <c r="AB9" i="4" s="1"/>
  <c r="AC9" i="4" s="1"/>
  <c r="C95" i="2"/>
  <c r="V6" i="4"/>
  <c r="W6" i="4" s="1"/>
  <c r="X6" i="4" s="1"/>
  <c r="Y6" i="4" s="1"/>
  <c r="Z6" i="4" s="1"/>
  <c r="AA6" i="4" s="1"/>
  <c r="AB6" i="4" s="1"/>
  <c r="AC6" i="4" s="1"/>
  <c r="C71" i="2"/>
  <c r="K30" i="2"/>
  <c r="M30" i="2"/>
  <c r="Q30" i="2"/>
  <c r="O30" i="2"/>
  <c r="L30" i="2"/>
  <c r="P30" i="2"/>
  <c r="N30" i="2"/>
  <c r="V3" i="4"/>
  <c r="W3" i="4" s="1"/>
  <c r="C31" i="2"/>
  <c r="N14" i="2"/>
  <c r="L14" i="2"/>
  <c r="Q14" i="2"/>
  <c r="O14" i="2"/>
  <c r="K14" i="2"/>
  <c r="P14" i="2"/>
  <c r="M14" i="2"/>
  <c r="V2" i="4"/>
  <c r="W2" i="4" s="1"/>
  <c r="C15" i="2"/>
  <c r="Q172" i="2" l="1"/>
  <c r="K172" i="2"/>
  <c r="L172" i="2"/>
  <c r="O172" i="2"/>
  <c r="M172" i="2"/>
  <c r="P172" i="2"/>
  <c r="N172" i="2"/>
  <c r="O32" i="11"/>
  <c r="N32" i="11"/>
  <c r="M32" i="11"/>
  <c r="Q32" i="11"/>
  <c r="P32" i="11"/>
  <c r="L32" i="11"/>
  <c r="K32" i="11"/>
  <c r="Q145" i="2"/>
  <c r="P145" i="2"/>
  <c r="L145" i="2"/>
  <c r="K145" i="2"/>
  <c r="N145" i="2"/>
  <c r="M145" i="2"/>
  <c r="O145" i="2"/>
  <c r="Q160" i="2"/>
  <c r="K160" i="2"/>
  <c r="P160" i="2"/>
  <c r="L160" i="2"/>
  <c r="N160" i="2"/>
  <c r="M160" i="2"/>
  <c r="O160" i="2"/>
  <c r="Q129" i="2"/>
  <c r="M129" i="2"/>
  <c r="N129" i="2"/>
  <c r="K129" i="2"/>
  <c r="O129" i="2"/>
  <c r="P129" i="2"/>
  <c r="L129" i="2"/>
  <c r="X13" i="4"/>
  <c r="Y13" i="4" s="1"/>
  <c r="C130" i="2"/>
  <c r="Z14" i="4"/>
  <c r="AA14" i="4" s="1"/>
  <c r="C146" i="2"/>
  <c r="M16" i="11"/>
  <c r="P16" i="11"/>
  <c r="L16" i="11"/>
  <c r="Q16" i="11"/>
  <c r="K16" i="11"/>
  <c r="O16" i="11"/>
  <c r="N16" i="11"/>
  <c r="P83" i="2"/>
  <c r="Q83" i="2"/>
  <c r="K83" i="2"/>
  <c r="L83" i="2"/>
  <c r="M83" i="2"/>
  <c r="N83" i="2"/>
  <c r="O83" i="2"/>
  <c r="M47" i="2"/>
  <c r="O47" i="2"/>
  <c r="P47" i="2"/>
  <c r="K47" i="2"/>
  <c r="L47" i="2"/>
  <c r="Q47" i="2"/>
  <c r="N47" i="2"/>
  <c r="P95" i="2"/>
  <c r="O95" i="2"/>
  <c r="L95" i="2"/>
  <c r="Q95" i="2"/>
  <c r="K95" i="2"/>
  <c r="N95" i="2"/>
  <c r="M95" i="2"/>
  <c r="M71" i="2"/>
  <c r="K71" i="2"/>
  <c r="P71" i="2"/>
  <c r="O71" i="2"/>
  <c r="Q71" i="2"/>
  <c r="N71" i="2"/>
  <c r="L71" i="2"/>
  <c r="L15" i="2"/>
  <c r="M15" i="2"/>
  <c r="K15" i="2"/>
  <c r="N15" i="2"/>
  <c r="Q15" i="2"/>
  <c r="O15" i="2"/>
  <c r="P15" i="2"/>
  <c r="N31" i="2"/>
  <c r="K31" i="2"/>
  <c r="L31" i="2"/>
  <c r="Q31" i="2"/>
  <c r="P31" i="2"/>
  <c r="M31" i="2"/>
  <c r="O31" i="2"/>
  <c r="X2" i="4"/>
  <c r="Y2" i="4" s="1"/>
  <c r="C16" i="2"/>
  <c r="C32" i="2"/>
  <c r="X3" i="4"/>
  <c r="Y3" i="4" s="1"/>
  <c r="M146" i="2" l="1"/>
  <c r="K146" i="2"/>
  <c r="Q146" i="2"/>
  <c r="L146" i="2"/>
  <c r="O146" i="2"/>
  <c r="N146" i="2"/>
  <c r="P146" i="2"/>
  <c r="Z13" i="4"/>
  <c r="AA13" i="4" s="1"/>
  <c r="C131" i="2"/>
  <c r="Q130" i="2"/>
  <c r="O130" i="2"/>
  <c r="M130" i="2"/>
  <c r="K130" i="2"/>
  <c r="N130" i="2"/>
  <c r="L130" i="2"/>
  <c r="P130" i="2"/>
  <c r="M17" i="11"/>
  <c r="L17" i="11"/>
  <c r="P17" i="11"/>
  <c r="O17" i="11"/>
  <c r="Q17" i="11"/>
  <c r="K17" i="11"/>
  <c r="N17" i="11"/>
  <c r="Q33" i="11"/>
  <c r="P33" i="11"/>
  <c r="O33" i="11"/>
  <c r="M33" i="11"/>
  <c r="N33" i="11"/>
  <c r="L33" i="11"/>
  <c r="K33" i="11"/>
  <c r="AB14" i="4"/>
  <c r="AC14" i="4" s="1"/>
  <c r="C147" i="2"/>
  <c r="Z3" i="4"/>
  <c r="AA3" i="4" s="1"/>
  <c r="C33" i="2"/>
  <c r="Q32" i="2"/>
  <c r="P32" i="2"/>
  <c r="K32" i="2"/>
  <c r="N32" i="2"/>
  <c r="L32" i="2"/>
  <c r="O32" i="2"/>
  <c r="M32" i="2"/>
  <c r="L16" i="2"/>
  <c r="N16" i="2"/>
  <c r="P16" i="2"/>
  <c r="K16" i="2"/>
  <c r="Q16" i="2"/>
  <c r="M16" i="2"/>
  <c r="O16" i="2"/>
  <c r="C17" i="2"/>
  <c r="Z2" i="4"/>
  <c r="AA2" i="4" s="1"/>
  <c r="M147" i="2" l="1"/>
  <c r="P147" i="2"/>
  <c r="Q147" i="2"/>
  <c r="L147" i="2"/>
  <c r="N147" i="2"/>
  <c r="O147" i="2"/>
  <c r="K147" i="2"/>
  <c r="C148" i="2"/>
  <c r="Q34" i="11"/>
  <c r="M34" i="11"/>
  <c r="K34" i="11"/>
  <c r="P34" i="11"/>
  <c r="L34" i="11"/>
  <c r="O34" i="11"/>
  <c r="N34" i="11"/>
  <c r="O18" i="11"/>
  <c r="M18" i="11"/>
  <c r="L18" i="11"/>
  <c r="Q18" i="11"/>
  <c r="P18" i="11"/>
  <c r="N18" i="11"/>
  <c r="K18" i="11"/>
  <c r="K131" i="2"/>
  <c r="P131" i="2"/>
  <c r="L131" i="2"/>
  <c r="O131" i="2"/>
  <c r="M131" i="2"/>
  <c r="Q131" i="2"/>
  <c r="N131" i="2"/>
  <c r="AB13" i="4"/>
  <c r="AC13" i="4" s="1"/>
  <c r="C132" i="2"/>
  <c r="L17" i="2"/>
  <c r="Q17" i="2"/>
  <c r="O17" i="2"/>
  <c r="N17" i="2"/>
  <c r="M17" i="2"/>
  <c r="P17" i="2"/>
  <c r="K17" i="2"/>
  <c r="C18" i="2"/>
  <c r="AB2" i="4"/>
  <c r="AC2" i="4" s="1"/>
  <c r="P33" i="2"/>
  <c r="K33" i="2"/>
  <c r="M33" i="2"/>
  <c r="L33" i="2"/>
  <c r="Q33" i="2"/>
  <c r="O33" i="2"/>
  <c r="N33" i="2"/>
  <c r="AB3" i="4"/>
  <c r="AC3" i="4" s="1"/>
  <c r="C34" i="2"/>
  <c r="L132" i="2" l="1"/>
  <c r="Q132" i="2"/>
  <c r="K132" i="2"/>
  <c r="M132" i="2"/>
  <c r="O132" i="2"/>
  <c r="P132" i="2"/>
  <c r="N132" i="2"/>
  <c r="C133" i="2"/>
  <c r="P19" i="11"/>
  <c r="Q19" i="11"/>
  <c r="N19" i="11"/>
  <c r="L19" i="11"/>
  <c r="O19" i="11"/>
  <c r="M19" i="11"/>
  <c r="K19" i="11"/>
  <c r="P148" i="2"/>
  <c r="M148" i="2"/>
  <c r="Q148" i="2"/>
  <c r="L148" i="2"/>
  <c r="O148" i="2"/>
  <c r="K148" i="2"/>
  <c r="N148" i="2"/>
  <c r="Q34" i="2"/>
  <c r="M34" i="2"/>
  <c r="P34" i="2"/>
  <c r="K34" i="2"/>
  <c r="N34" i="2"/>
  <c r="L34" i="2"/>
  <c r="O34" i="2"/>
  <c r="C19" i="2"/>
  <c r="Q18" i="2"/>
  <c r="L18" i="2"/>
  <c r="K18" i="2"/>
  <c r="P18" i="2"/>
  <c r="O18" i="2"/>
  <c r="N18" i="2"/>
  <c r="M18" i="2"/>
  <c r="M133" i="2" l="1"/>
  <c r="K133" i="2"/>
  <c r="L133" i="2"/>
  <c r="Q133" i="2"/>
  <c r="O133" i="2"/>
  <c r="N133" i="2"/>
  <c r="P133" i="2"/>
  <c r="M40" i="11"/>
  <c r="Q40" i="11"/>
  <c r="O40" i="11"/>
  <c r="N40" i="11"/>
  <c r="L40" i="11"/>
  <c r="K40" i="11"/>
  <c r="P40" i="11"/>
  <c r="M19" i="2"/>
  <c r="M239" i="2" s="1"/>
  <c r="D3" i="7" s="1"/>
  <c r="D11" i="7" s="1"/>
  <c r="Q19" i="2"/>
  <c r="Q239" i="2" s="1"/>
  <c r="H3" i="7" s="1"/>
  <c r="H11" i="7" s="1"/>
  <c r="N19" i="2"/>
  <c r="N239" i="2" s="1"/>
  <c r="E3" i="7" s="1"/>
  <c r="E11" i="7" s="1"/>
  <c r="K19" i="2"/>
  <c r="K239" i="2" s="1"/>
  <c r="L19" i="2"/>
  <c r="P19" i="2"/>
  <c r="O19" i="2"/>
  <c r="O239" i="2" s="1"/>
  <c r="F3" i="7" s="1"/>
  <c r="F11" i="7" s="1"/>
  <c r="L239" i="2"/>
  <c r="C3" i="7" s="1"/>
  <c r="C11" i="7" s="1"/>
  <c r="P239" i="2"/>
  <c r="G3" i="7" s="1"/>
  <c r="G11" i="7" s="1"/>
  <c r="Q3" i="7" l="1"/>
  <c r="Q7" i="7" s="1"/>
  <c r="H3" i="10"/>
  <c r="O3" i="7"/>
  <c r="O7" i="7" s="1"/>
  <c r="F3" i="10"/>
  <c r="E3" i="10"/>
  <c r="N3" i="7"/>
  <c r="N7" i="7" s="1"/>
  <c r="P3" i="7"/>
  <c r="P7" i="7" s="1"/>
  <c r="G3" i="10"/>
  <c r="M3" i="7"/>
  <c r="M7" i="7" s="1"/>
  <c r="D3" i="10"/>
  <c r="C3" i="10"/>
  <c r="L3" i="7"/>
  <c r="L7" i="7" s="1"/>
  <c r="B3" i="7"/>
  <c r="B11" i="7" s="1"/>
  <c r="K3" i="7" l="1"/>
  <c r="K7" i="7" s="1"/>
  <c r="B3" i="10"/>
  <c r="N14" i="7"/>
  <c r="N18" i="7"/>
  <c r="N22" i="7"/>
  <c r="N26" i="7"/>
  <c r="N30" i="7"/>
  <c r="N34" i="7"/>
  <c r="N17" i="7"/>
  <c r="N33" i="7"/>
  <c r="N28" i="7"/>
  <c r="N23" i="7"/>
  <c r="N24" i="7"/>
  <c r="N29" i="7"/>
  <c r="N15" i="7"/>
  <c r="N32" i="7"/>
  <c r="N21" i="7"/>
  <c r="N25" i="7"/>
  <c r="N35" i="7"/>
  <c r="N12" i="7"/>
  <c r="N31" i="7"/>
  <c r="N16" i="7"/>
  <c r="N19" i="7"/>
  <c r="N13" i="7"/>
  <c r="N36" i="7"/>
  <c r="N20" i="7"/>
  <c r="N27" i="7"/>
  <c r="L17" i="7"/>
  <c r="L22" i="7"/>
  <c r="L33" i="7"/>
  <c r="L28" i="7"/>
  <c r="L13" i="7"/>
  <c r="L18" i="7"/>
  <c r="L29" i="7"/>
  <c r="L23" i="7"/>
  <c r="L34" i="7"/>
  <c r="L19" i="7"/>
  <c r="L35" i="7"/>
  <c r="L21" i="7"/>
  <c r="L12" i="7"/>
  <c r="L24" i="7"/>
  <c r="L16" i="7"/>
  <c r="L14" i="7"/>
  <c r="L30" i="7"/>
  <c r="L15" i="7"/>
  <c r="L31" i="7"/>
  <c r="L25" i="7"/>
  <c r="L32" i="7"/>
  <c r="L26" i="7"/>
  <c r="L20" i="7"/>
  <c r="L27" i="7"/>
  <c r="L36" i="7"/>
  <c r="M14" i="7"/>
  <c r="M18" i="7"/>
  <c r="M22" i="7"/>
  <c r="M26" i="7"/>
  <c r="M30" i="7"/>
  <c r="M34" i="7"/>
  <c r="M28" i="7"/>
  <c r="M23" i="7"/>
  <c r="M19" i="7"/>
  <c r="M21" i="7"/>
  <c r="M31" i="7"/>
  <c r="M24" i="7"/>
  <c r="M32" i="7"/>
  <c r="M35" i="7"/>
  <c r="M12" i="7"/>
  <c r="M15" i="7"/>
  <c r="M25" i="7"/>
  <c r="M16" i="7"/>
  <c r="M17" i="7"/>
  <c r="M33" i="7"/>
  <c r="M13" i="7"/>
  <c r="M27" i="7"/>
  <c r="M36" i="7"/>
  <c r="M20" i="7"/>
  <c r="M29" i="7"/>
  <c r="P16" i="7"/>
  <c r="P24" i="7"/>
  <c r="P28" i="7"/>
  <c r="P32" i="7"/>
  <c r="P36" i="7"/>
  <c r="P20" i="7"/>
  <c r="P17" i="7"/>
  <c r="P33" i="7"/>
  <c r="P13" i="7"/>
  <c r="P29" i="7"/>
  <c r="P31" i="7"/>
  <c r="P21" i="7"/>
  <c r="P22" i="7"/>
  <c r="P15" i="7"/>
  <c r="P14" i="7"/>
  <c r="P30" i="7"/>
  <c r="P12" i="7"/>
  <c r="P23" i="7"/>
  <c r="P19" i="7"/>
  <c r="P25" i="7"/>
  <c r="P18" i="7"/>
  <c r="P34" i="7"/>
  <c r="P26" i="7"/>
  <c r="P35" i="7"/>
  <c r="P27" i="7"/>
  <c r="O14" i="7"/>
  <c r="O18" i="7"/>
  <c r="O22" i="7"/>
  <c r="O26" i="7"/>
  <c r="O30" i="7"/>
  <c r="O16" i="7"/>
  <c r="O20" i="7"/>
  <c r="O24" i="7"/>
  <c r="O28" i="7"/>
  <c r="O32" i="7"/>
  <c r="O36" i="7"/>
  <c r="O27" i="7"/>
  <c r="O17" i="7"/>
  <c r="O33" i="7"/>
  <c r="O23" i="7"/>
  <c r="O13" i="7"/>
  <c r="O29" i="7"/>
  <c r="O12" i="7"/>
  <c r="O31" i="7"/>
  <c r="O25" i="7"/>
  <c r="O21" i="7"/>
  <c r="O15" i="7"/>
  <c r="O34" i="7"/>
  <c r="O19" i="7"/>
  <c r="O35" i="7"/>
  <c r="Q15" i="7"/>
  <c r="Q19" i="7"/>
  <c r="Q23" i="7"/>
  <c r="Q27" i="7"/>
  <c r="Q31" i="7"/>
  <c r="Q35" i="7"/>
  <c r="Q22" i="7"/>
  <c r="Q17" i="7"/>
  <c r="Q28" i="7"/>
  <c r="Q33" i="7"/>
  <c r="Q13" i="7"/>
  <c r="Q24" i="7"/>
  <c r="Q29" i="7"/>
  <c r="Q36" i="7"/>
  <c r="Q30" i="7"/>
  <c r="Q14" i="7"/>
  <c r="Q21" i="7"/>
  <c r="Q12" i="7"/>
  <c r="Q16" i="7"/>
  <c r="Q32" i="7"/>
  <c r="Q25" i="7"/>
  <c r="Q18" i="7"/>
  <c r="Q34" i="7"/>
  <c r="Q26" i="7"/>
  <c r="Q20" i="7"/>
  <c r="O37" i="7" l="1"/>
  <c r="F4" i="10" s="1"/>
  <c r="F5" i="10" s="1"/>
  <c r="M37" i="7"/>
  <c r="D4" i="10" s="1"/>
  <c r="D5" i="10" s="1"/>
  <c r="N37" i="7"/>
  <c r="E4" i="10" s="1"/>
  <c r="E5" i="10" s="1"/>
  <c r="Q37" i="7"/>
  <c r="H4" i="10" s="1"/>
  <c r="H5" i="10" s="1"/>
  <c r="L37" i="7"/>
  <c r="C4" i="10" s="1"/>
  <c r="C5" i="10" s="1"/>
  <c r="P37" i="7"/>
  <c r="G4" i="10" s="1"/>
  <c r="G5" i="10" s="1"/>
  <c r="K16" i="7"/>
  <c r="K20" i="7"/>
  <c r="K24" i="7"/>
  <c r="K28" i="7"/>
  <c r="K32" i="7"/>
  <c r="K36" i="7"/>
  <c r="K23" i="7"/>
  <c r="K13" i="7"/>
  <c r="K29" i="7"/>
  <c r="K18" i="7"/>
  <c r="K34" i="7"/>
  <c r="K35" i="7"/>
  <c r="K14" i="7"/>
  <c r="K15" i="7"/>
  <c r="K31" i="7"/>
  <c r="K27" i="7"/>
  <c r="K30" i="7"/>
  <c r="K22" i="7"/>
  <c r="K12" i="7"/>
  <c r="K25" i="7"/>
  <c r="K17" i="7"/>
  <c r="K33" i="7"/>
  <c r="K26" i="7"/>
  <c r="K19" i="7"/>
  <c r="K21" i="7"/>
  <c r="K37" i="7" l="1"/>
  <c r="B4" i="10" s="1"/>
  <c r="B5" i="10" s="1"/>
</calcChain>
</file>

<file path=xl/sharedStrings.xml><?xml version="1.0" encoding="utf-8"?>
<sst xmlns="http://schemas.openxmlformats.org/spreadsheetml/2006/main" count="899" uniqueCount="139">
  <si>
    <t>Target</t>
  </si>
  <si>
    <t>HA</t>
  </si>
  <si>
    <t>Concord</t>
  </si>
  <si>
    <t>Up to 1.5</t>
  </si>
  <si>
    <t>1.5 - 2.0</t>
  </si>
  <si>
    <t>2.0 - 2.5</t>
  </si>
  <si>
    <t>2.5 - 3.0</t>
  </si>
  <si>
    <t>3.0 - 3.5</t>
  </si>
  <si>
    <t>3.5 - 4.0</t>
  </si>
  <si>
    <t>4.0 - 4.5</t>
  </si>
  <si>
    <t>4.5 - 5.0</t>
  </si>
  <si>
    <t>5.0 - 5.5</t>
  </si>
  <si>
    <t>5.5 - 6.0</t>
  </si>
  <si>
    <t>6.0 - 6.5</t>
  </si>
  <si>
    <t>6.5 - 7.0</t>
  </si>
  <si>
    <t>7.0 - 7.5</t>
  </si>
  <si>
    <t>7.5 - 8.0</t>
  </si>
  <si>
    <t>8.0 - 8.5</t>
  </si>
  <si>
    <t>8.5 - 9.0</t>
  </si>
  <si>
    <t>Dia (mm)</t>
  </si>
  <si>
    <t>9.0 - 9.5</t>
  </si>
  <si>
    <t>9.5 - 10.0</t>
  </si>
  <si>
    <t>Source</t>
  </si>
  <si>
    <t>Depth</t>
  </si>
  <si>
    <t>10.0 - 10.5</t>
  </si>
  <si>
    <t>10.5 - 11.0</t>
  </si>
  <si>
    <t>11.0 - 11.5</t>
  </si>
  <si>
    <t>11.5 - 12.0</t>
  </si>
  <si>
    <t>Growth</t>
  </si>
  <si>
    <t>Rate
(OMR/m)</t>
  </si>
  <si>
    <t>Length
(m)</t>
  </si>
  <si>
    <t>Total Amount
(OMR)</t>
  </si>
  <si>
    <t>Total Amount (OMR)</t>
  </si>
  <si>
    <t>Depth
(m)</t>
  </si>
  <si>
    <t>Sewer Pipe
(mm)</t>
  </si>
  <si>
    <t>Sewer Pipes</t>
  </si>
  <si>
    <t>Force/TSE Pipes</t>
  </si>
  <si>
    <t>Type 1 - 1200 mm</t>
  </si>
  <si>
    <t>Type 2 - 1500 mm</t>
  </si>
  <si>
    <t>Type 3 - 1800 mm</t>
  </si>
  <si>
    <t>nr</t>
  </si>
  <si>
    <t>Type III according to standard details — Depth: 1.5-2m ; normal</t>
  </si>
  <si>
    <t>Type III according to standard details — Depth: 10-10.5m ; normal</t>
  </si>
  <si>
    <t>Type III according to standard details — Depth: 2-2.5m ; normal</t>
  </si>
  <si>
    <t>Type III according to standard details — Depth: 2.5-3m ; normal</t>
  </si>
  <si>
    <t>Type III according to standard details — Depth: 3-3.5m ; normal</t>
  </si>
  <si>
    <t>Type III according to standard details — Depth: 3.5-4m ; normal</t>
  </si>
  <si>
    <t>Type III according to standard details — Depth: 4-4.5m ; normal</t>
  </si>
  <si>
    <t>Type III according to standard details — Depth: 4.5-5m ; normal</t>
  </si>
  <si>
    <t>Type III according to standard details — Depth: 5-5.5m ; normal</t>
  </si>
  <si>
    <t>Type III according to standard details — Depth: 5.5-6m ; normal</t>
  </si>
  <si>
    <t>Type III according to standard details — Depth: 6-6.5m ; normal</t>
  </si>
  <si>
    <t>Type III according to standard details — Depth: 6.5-7m ; normal</t>
  </si>
  <si>
    <t>Type III according to standard details — Depth: 7-7.5m ; normal</t>
  </si>
  <si>
    <t>Type III according to standard details — Depth: 7.5-8m ; normal</t>
  </si>
  <si>
    <t>Type III according to standard details — Depth: 9-9.5m ; normal</t>
  </si>
  <si>
    <t>Type I according to standard details — Depth: 0-1.5m ; normal</t>
  </si>
  <si>
    <t>Type I according to standard details — Depth: 1.5-2m ; normal</t>
  </si>
  <si>
    <t>Type I according to standard details — Depth: 2-2.5m ; normal</t>
  </si>
  <si>
    <t>Type I according to standard details — Depth: 2.5-3m ; normal</t>
  </si>
  <si>
    <t>Type I according to standard details — Depth: 3-3.5m ; normal</t>
  </si>
  <si>
    <t>Type IIb according to standard details — Depth: 1.5-2m ; normal</t>
  </si>
  <si>
    <t>Type IIb according to standard details — Depth: 2-2.5m ; normal</t>
  </si>
  <si>
    <t>Type IIb according to standard details — Depth: 2.5-3m ; normal</t>
  </si>
  <si>
    <t>Type IIb according to standard details — Depth: 3-3.5m ; normal</t>
  </si>
  <si>
    <t>Type IIb according to standard details — Depth: 3.5-4m ; normal</t>
  </si>
  <si>
    <t>Type IIb according to standard details — Depth: 4-4.5m ; normal</t>
  </si>
  <si>
    <t>Type IIb according to standard details — Depth: 4.5-5m ; normal</t>
  </si>
  <si>
    <t>Type IIb according to standard details — Depth: 5-5.5m ; normal</t>
  </si>
  <si>
    <t>Type IIb according to standard details — Depth: 5.5-6m ; normal</t>
  </si>
  <si>
    <t>Type IIb according to standard details — Depth: 6-6.5m ; normal</t>
  </si>
  <si>
    <t>Type IIb according to standard details — Depth: 6.5-7m ; normal</t>
  </si>
  <si>
    <t>Type IIb according to standard details — Depth: 7-7.5m ; normal</t>
  </si>
  <si>
    <t>Type IIb according to standard details — Depth: 7.5-8m ; normal</t>
  </si>
  <si>
    <t>Type IIb according to standard details — Depth: 9-9.5m ; normal</t>
  </si>
  <si>
    <t>Type IIb according to standard details — Depth: 9.5-10m ; normal</t>
  </si>
  <si>
    <t>Quantity
(No.)</t>
  </si>
  <si>
    <t>BPS</t>
  </si>
  <si>
    <t>Manholes</t>
  </si>
  <si>
    <t>BPS/LS</t>
  </si>
  <si>
    <t>Total Required Power
(Kw)</t>
  </si>
  <si>
    <t>LS (Up to 10 Kw)</t>
  </si>
  <si>
    <t>LS (More than 10 Kw)</t>
  </si>
  <si>
    <t>Description</t>
  </si>
  <si>
    <t>Total CAPEX (OMR)</t>
  </si>
  <si>
    <t>Sewer Pipe</t>
  </si>
  <si>
    <t>Power Rate (OMR/Kw)</t>
  </si>
  <si>
    <t>No. of Staff</t>
  </si>
  <si>
    <r>
      <t>Required Plot Area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</si>
  <si>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Maintenance &amp; Operation</t>
  </si>
  <si>
    <t>Power</t>
  </si>
  <si>
    <t>Plot Rent</t>
  </si>
  <si>
    <t>Staff</t>
  </si>
  <si>
    <t>OPEX (First Year)
(OMR)</t>
  </si>
  <si>
    <t>Total OPEX (First Year) (OMR)</t>
  </si>
  <si>
    <t>Inflation Rate per Year</t>
  </si>
  <si>
    <t>Year</t>
  </si>
  <si>
    <t>OPEX 
(OMR)</t>
  </si>
  <si>
    <t>Total OPEX (25 Years) (OMR)</t>
  </si>
  <si>
    <t>Staff Rate per Month (OMR/S)</t>
  </si>
  <si>
    <r>
      <t>Plot Rent per Month (OMR/m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</si>
  <si>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12.5 - 13.0</t>
  </si>
  <si>
    <t>12.0 - 12.5</t>
  </si>
  <si>
    <t>13.0 - 13.5</t>
  </si>
  <si>
    <t>13.5 - 14.0</t>
  </si>
  <si>
    <t>14.0 - 14.5</t>
  </si>
  <si>
    <t>14.5 - 15.0</t>
  </si>
  <si>
    <t>S1</t>
  </si>
  <si>
    <t>S2</t>
  </si>
  <si>
    <t>S3</t>
  </si>
  <si>
    <t>S4</t>
  </si>
  <si>
    <t>S5</t>
  </si>
  <si>
    <t>S6</t>
  </si>
  <si>
    <t>S7</t>
  </si>
  <si>
    <t>STP</t>
  </si>
  <si>
    <t>CAPEX</t>
  </si>
  <si>
    <t>OPEX</t>
  </si>
  <si>
    <t>Total CAPEX &amp; OPEX (OMR)</t>
  </si>
  <si>
    <t>Rising Mains</t>
  </si>
  <si>
    <t>Rising Pipe
(mm)</t>
  </si>
  <si>
    <r>
      <t>STP (Up to 1000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/day)</t>
    </r>
  </si>
  <si>
    <r>
      <t>STP (Up to 5000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/day)</t>
    </r>
  </si>
  <si>
    <r>
      <t>STP (Up to 10000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/day)</t>
    </r>
  </si>
  <si>
    <r>
      <t>STP (Up to 20000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/day)</t>
    </r>
  </si>
  <si>
    <r>
      <t>STP (Up to 50000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/day)</t>
    </r>
  </si>
  <si>
    <r>
      <t>STP (Up to 100000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/day)</t>
    </r>
  </si>
  <si>
    <r>
      <t>Capacity
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/day)</t>
    </r>
  </si>
  <si>
    <t>BPS Required Power (Kw)</t>
  </si>
  <si>
    <t>STP Required Power (Kw)</t>
  </si>
  <si>
    <r>
      <t>Rate
(OMR/(m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/day))</t>
    </r>
  </si>
  <si>
    <t>Power
(Kw)</t>
  </si>
  <si>
    <r>
      <t>Required Power
(Kw/(m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/day))</t>
    </r>
  </si>
  <si>
    <t>Rate
(OMR/Kw)</t>
  </si>
  <si>
    <r>
      <t>Land
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/Kw)</t>
    </r>
  </si>
  <si>
    <r>
      <t>Total Required Land
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</si>
  <si>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Land
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/day))</t>
    </r>
  </si>
  <si>
    <t>No. of LS</t>
  </si>
  <si>
    <t>No. of STPs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</si>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</sst>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#,##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Arial"/>
      <family val="2"/>
    </font>
    <font>
      <sz val="9"/>
      <color rgb="FF008000"/>
      <name val="Arial"/>
      <family val="2"/>
    </font>
    <font>
      <b/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3">
    <xf numFmtId="0" fontId="0" fillId="0" borderId="0" xfId="0"/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164" fontId="0" fillId="5" borderId="17" xfId="0" applyNumberFormat="1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164" fontId="0" fillId="5" borderId="18" xfId="0" applyNumberFormat="1" applyFill="1" applyBorder="1" applyAlignment="1">
      <alignment horizontal="center" vertical="center"/>
    </xf>
    <xf numFmtId="164" fontId="0" fillId="5" borderId="3" xfId="0" applyNumberFormat="1" applyFill="1" applyBorder="1" applyAlignment="1">
      <alignment horizontal="center" vertical="center"/>
    </xf>
    <xf numFmtId="164" fontId="0" fillId="5" borderId="10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5" borderId="15" xfId="0" applyNumberFormat="1" applyFill="1" applyBorder="1" applyAlignment="1">
      <alignment horizontal="center" vertical="center"/>
    </xf>
    <xf numFmtId="164" fontId="0" fillId="5" borderId="4" xfId="0" applyNumberFormat="1" applyFill="1" applyBorder="1" applyAlignment="1">
      <alignment horizontal="center" vertical="center"/>
    </xf>
    <xf numFmtId="164" fontId="0" fillId="5" borderId="20" xfId="0" applyNumberFormat="1" applyFill="1" applyBorder="1" applyAlignment="1">
      <alignment horizontal="center" vertical="center"/>
    </xf>
    <xf numFmtId="164" fontId="0" fillId="5" borderId="13" xfId="0" applyNumberFormat="1" applyFill="1" applyBorder="1" applyAlignment="1">
      <alignment horizontal="center" vertical="center"/>
    </xf>
    <xf numFmtId="164" fontId="0" fillId="5" borderId="16" xfId="0" applyNumberFormat="1" applyFill="1" applyBorder="1" applyAlignment="1">
      <alignment horizontal="center" vertical="center"/>
    </xf>
    <xf numFmtId="164" fontId="0" fillId="5" borderId="11" xfId="0" applyNumberForma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3" fillId="0" borderId="0" xfId="0" applyFont="1"/>
    <xf numFmtId="166" fontId="4" fillId="0" borderId="0" xfId="0" applyNumberFormat="1" applyFont="1"/>
    <xf numFmtId="166" fontId="0" fillId="0" borderId="0" xfId="0" applyNumberFormat="1"/>
    <xf numFmtId="0" fontId="1" fillId="6" borderId="1" xfId="0" applyFont="1" applyFill="1" applyBorder="1" applyAlignment="1">
      <alignment horizontal="center" vertical="center"/>
    </xf>
    <xf numFmtId="3" fontId="1" fillId="6" borderId="1" xfId="0" applyNumberFormat="1" applyFont="1" applyFill="1" applyBorder="1" applyAlignment="1">
      <alignment horizontal="center" vertical="center"/>
    </xf>
    <xf numFmtId="3" fontId="1" fillId="7" borderId="1" xfId="0" applyNumberFormat="1" applyFont="1" applyFill="1" applyBorder="1" applyAlignment="1">
      <alignment horizontal="center" vertical="center"/>
    </xf>
    <xf numFmtId="3" fontId="1" fillId="8" borderId="1" xfId="0" applyNumberFormat="1" applyFont="1" applyFill="1" applyBorder="1" applyAlignment="1">
      <alignment horizontal="center" vertical="center"/>
    </xf>
    <xf numFmtId="3" fontId="1" fillId="9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3" fontId="1" fillId="6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3" fontId="1" fillId="8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3" fontId="0" fillId="9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3" fontId="0" fillId="10" borderId="1" xfId="0" applyNumberForma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3" fontId="1" fillId="9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3" fontId="1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3" fontId="1" fillId="13" borderId="1" xfId="0" applyNumberFormat="1" applyFont="1" applyFill="1" applyBorder="1" applyAlignment="1">
      <alignment horizontal="center" vertical="center"/>
    </xf>
    <xf numFmtId="3" fontId="1" fillId="13" borderId="1" xfId="0" applyNumberFormat="1" applyFont="1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/>
    </xf>
    <xf numFmtId="3" fontId="0" fillId="13" borderId="0" xfId="0" applyNumberFormat="1" applyFill="1" applyAlignment="1">
      <alignment horizontal="center" vertical="center"/>
    </xf>
    <xf numFmtId="3" fontId="0" fillId="9" borderId="0" xfId="0" applyNumberFormat="1" applyFill="1" applyAlignment="1">
      <alignment horizontal="center" vertical="center"/>
    </xf>
    <xf numFmtId="3" fontId="0" fillId="8" borderId="1" xfId="0" applyNumberFormat="1" applyFill="1" applyBorder="1" applyAlignment="1">
      <alignment horizontal="center" vertical="center"/>
    </xf>
    <xf numFmtId="3" fontId="0" fillId="8" borderId="0" xfId="0" applyNumberFormat="1" applyFill="1" applyAlignment="1">
      <alignment horizontal="center" vertical="center"/>
    </xf>
    <xf numFmtId="3" fontId="1" fillId="14" borderId="1" xfId="0" applyNumberFormat="1" applyFont="1" applyFill="1" applyBorder="1" applyAlignment="1">
      <alignment horizontal="center" vertical="center"/>
    </xf>
    <xf numFmtId="3" fontId="1" fillId="14" borderId="1" xfId="0" applyNumberFormat="1" applyFont="1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/>
    </xf>
    <xf numFmtId="3" fontId="0" fillId="14" borderId="0" xfId="0" applyNumberFormat="1" applyFill="1" applyAlignment="1">
      <alignment horizontal="center" vertical="center"/>
    </xf>
    <xf numFmtId="3" fontId="1" fillId="10" borderId="1" xfId="0" applyNumberFormat="1" applyFont="1" applyFill="1" applyBorder="1" applyAlignment="1">
      <alignment horizontal="center" vertical="center"/>
    </xf>
    <xf numFmtId="3" fontId="1" fillId="10" borderId="1" xfId="0" applyNumberFormat="1" applyFont="1" applyFill="1" applyBorder="1" applyAlignment="1">
      <alignment horizontal="center" vertical="center" wrapText="1"/>
    </xf>
    <xf numFmtId="3" fontId="0" fillId="10" borderId="0" xfId="0" applyNumberFormat="1" applyFill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3" fontId="0" fillId="6" borderId="0" xfId="0" applyNumberFormat="1" applyFill="1" applyAlignment="1">
      <alignment horizontal="center" vertical="center"/>
    </xf>
    <xf numFmtId="3" fontId="0" fillId="7" borderId="0" xfId="0" applyNumberForma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3" fontId="7" fillId="13" borderId="0" xfId="0" applyNumberFormat="1" applyFont="1" applyFill="1" applyAlignment="1">
      <alignment horizontal="center" vertical="center"/>
    </xf>
    <xf numFmtId="3" fontId="7" fillId="9" borderId="0" xfId="0" applyNumberFormat="1" applyFont="1" applyFill="1" applyAlignment="1">
      <alignment horizontal="center" vertical="center"/>
    </xf>
    <xf numFmtId="3" fontId="7" fillId="9" borderId="1" xfId="0" applyNumberFormat="1" applyFont="1" applyFill="1" applyBorder="1" applyAlignment="1">
      <alignment horizontal="center" vertical="center"/>
    </xf>
    <xf numFmtId="3" fontId="7" fillId="8" borderId="0" xfId="0" applyNumberFormat="1" applyFont="1" applyFill="1" applyAlignment="1">
      <alignment horizontal="center" vertical="center"/>
    </xf>
    <xf numFmtId="3" fontId="7" fillId="8" borderId="1" xfId="0" applyNumberFormat="1" applyFont="1" applyFill="1" applyBorder="1" applyAlignment="1">
      <alignment horizontal="center" vertical="center"/>
    </xf>
    <xf numFmtId="3" fontId="7" fillId="14" borderId="0" xfId="0" applyNumberFormat="1" applyFont="1" applyFill="1" applyAlignment="1">
      <alignment horizontal="center" vertical="center"/>
    </xf>
    <xf numFmtId="3" fontId="7" fillId="14" borderId="1" xfId="0" applyNumberFormat="1" applyFont="1" applyFill="1" applyBorder="1" applyAlignment="1">
      <alignment horizontal="center" vertical="center"/>
    </xf>
    <xf numFmtId="3" fontId="7" fillId="10" borderId="0" xfId="0" applyNumberFormat="1" applyFont="1" applyFill="1" applyAlignment="1">
      <alignment horizontal="center" vertical="center"/>
    </xf>
    <xf numFmtId="3" fontId="7" fillId="10" borderId="1" xfId="0" applyNumberFormat="1" applyFont="1" applyFill="1" applyBorder="1" applyAlignment="1">
      <alignment horizontal="center" vertical="center"/>
    </xf>
    <xf numFmtId="3" fontId="7" fillId="6" borderId="0" xfId="0" applyNumberFormat="1" applyFont="1" applyFill="1" applyAlignment="1">
      <alignment horizontal="center" vertical="center"/>
    </xf>
    <xf numFmtId="3" fontId="7" fillId="6" borderId="1" xfId="0" applyNumberFormat="1" applyFont="1" applyFill="1" applyBorder="1" applyAlignment="1">
      <alignment horizontal="center" vertical="center"/>
    </xf>
    <xf numFmtId="3" fontId="7" fillId="7" borderId="0" xfId="0" applyNumberFormat="1" applyFont="1" applyFill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7" fillId="9" borderId="4" xfId="0" applyNumberFormat="1" applyFont="1" applyFill="1" applyBorder="1" applyAlignment="1">
      <alignment horizontal="center" vertical="center"/>
    </xf>
    <xf numFmtId="3" fontId="7" fillId="8" borderId="4" xfId="0" applyNumberFormat="1" applyFont="1" applyFill="1" applyBorder="1" applyAlignment="1">
      <alignment horizontal="center" vertical="center"/>
    </xf>
    <xf numFmtId="3" fontId="7" fillId="14" borderId="4" xfId="0" applyNumberFormat="1" applyFont="1" applyFill="1" applyBorder="1" applyAlignment="1">
      <alignment horizontal="center" vertical="center"/>
    </xf>
    <xf numFmtId="3" fontId="7" fillId="10" borderId="4" xfId="0" applyNumberFormat="1" applyFont="1" applyFill="1" applyBorder="1" applyAlignment="1">
      <alignment horizontal="center" vertical="center"/>
    </xf>
    <xf numFmtId="3" fontId="7" fillId="6" borderId="4" xfId="0" applyNumberFormat="1" applyFont="1" applyFill="1" applyBorder="1" applyAlignment="1">
      <alignment horizontal="center" vertical="center"/>
    </xf>
    <xf numFmtId="3" fontId="0" fillId="9" borderId="10" xfId="0" applyNumberFormat="1" applyFill="1" applyBorder="1" applyAlignment="1">
      <alignment horizontal="center" vertical="center"/>
    </xf>
    <xf numFmtId="3" fontId="0" fillId="8" borderId="10" xfId="0" applyNumberFormat="1" applyFill="1" applyBorder="1" applyAlignment="1">
      <alignment horizontal="center" vertical="center"/>
    </xf>
    <xf numFmtId="3" fontId="0" fillId="14" borderId="10" xfId="0" applyNumberFormat="1" applyFill="1" applyBorder="1" applyAlignment="1">
      <alignment horizontal="center" vertical="center"/>
    </xf>
    <xf numFmtId="3" fontId="0" fillId="10" borderId="10" xfId="0" applyNumberFormat="1" applyFill="1" applyBorder="1" applyAlignment="1">
      <alignment horizontal="center" vertical="center"/>
    </xf>
    <xf numFmtId="3" fontId="0" fillId="6" borderId="10" xfId="0" applyNumberFormat="1" applyFill="1" applyBorder="1" applyAlignment="1">
      <alignment horizontal="center" vertical="center"/>
    </xf>
    <xf numFmtId="3" fontId="0" fillId="7" borderId="11" xfId="0" applyNumberFormat="1" applyFill="1" applyBorder="1" applyAlignment="1">
      <alignment horizontal="center" vertical="center"/>
    </xf>
    <xf numFmtId="3" fontId="0" fillId="7" borderId="13" xfId="0" applyNumberFormat="1" applyFill="1" applyBorder="1" applyAlignment="1">
      <alignment horizontal="center" vertical="center"/>
    </xf>
    <xf numFmtId="4" fontId="0" fillId="9" borderId="15" xfId="0" applyNumberFormat="1" applyFill="1" applyBorder="1" applyAlignment="1">
      <alignment horizontal="center" vertical="center"/>
    </xf>
    <xf numFmtId="4" fontId="0" fillId="8" borderId="15" xfId="0" applyNumberFormat="1" applyFill="1" applyBorder="1" applyAlignment="1">
      <alignment horizontal="center" vertical="center"/>
    </xf>
    <xf numFmtId="4" fontId="0" fillId="14" borderId="15" xfId="0" applyNumberFormat="1" applyFill="1" applyBorder="1" applyAlignment="1">
      <alignment horizontal="center" vertical="center"/>
    </xf>
    <xf numFmtId="4" fontId="0" fillId="10" borderId="15" xfId="0" applyNumberFormat="1" applyFill="1" applyBorder="1" applyAlignment="1">
      <alignment horizontal="center" vertical="center"/>
    </xf>
    <xf numFmtId="4" fontId="0" fillId="6" borderId="15" xfId="0" applyNumberFormat="1" applyFill="1" applyBorder="1" applyAlignment="1">
      <alignment horizontal="center" vertical="center"/>
    </xf>
    <xf numFmtId="4" fontId="0" fillId="7" borderId="16" xfId="0" applyNumberFormat="1" applyFill="1" applyBorder="1" applyAlignment="1">
      <alignment horizontal="center" vertical="center"/>
    </xf>
    <xf numFmtId="3" fontId="7" fillId="9" borderId="10" xfId="0" applyNumberFormat="1" applyFont="1" applyFill="1" applyBorder="1" applyAlignment="1">
      <alignment horizontal="center" vertical="center"/>
    </xf>
    <xf numFmtId="3" fontId="7" fillId="8" borderId="10" xfId="0" applyNumberFormat="1" applyFont="1" applyFill="1" applyBorder="1" applyAlignment="1">
      <alignment horizontal="center" vertical="center"/>
    </xf>
    <xf numFmtId="3" fontId="7" fillId="14" borderId="10" xfId="0" applyNumberFormat="1" applyFont="1" applyFill="1" applyBorder="1" applyAlignment="1">
      <alignment horizontal="center" vertical="center"/>
    </xf>
    <xf numFmtId="3" fontId="7" fillId="10" borderId="10" xfId="0" applyNumberFormat="1" applyFont="1" applyFill="1" applyBorder="1" applyAlignment="1">
      <alignment horizontal="center" vertical="center"/>
    </xf>
    <xf numFmtId="3" fontId="7" fillId="6" borderId="10" xfId="0" applyNumberFormat="1" applyFont="1" applyFill="1" applyBorder="1" applyAlignment="1">
      <alignment horizontal="center" vertical="center"/>
    </xf>
    <xf numFmtId="3" fontId="7" fillId="7" borderId="11" xfId="0" applyNumberFormat="1" applyFont="1" applyFill="1" applyBorder="1" applyAlignment="1">
      <alignment horizontal="center" vertical="center"/>
    </xf>
    <xf numFmtId="3" fontId="7" fillId="9" borderId="15" xfId="0" applyNumberFormat="1" applyFont="1" applyFill="1" applyBorder="1" applyAlignment="1">
      <alignment horizontal="center" vertical="center"/>
    </xf>
    <xf numFmtId="3" fontId="7" fillId="8" borderId="15" xfId="0" applyNumberFormat="1" applyFont="1" applyFill="1" applyBorder="1" applyAlignment="1">
      <alignment horizontal="center" vertical="center"/>
    </xf>
    <xf numFmtId="3" fontId="7" fillId="14" borderId="15" xfId="0" applyNumberFormat="1" applyFont="1" applyFill="1" applyBorder="1" applyAlignment="1">
      <alignment horizontal="center" vertical="center"/>
    </xf>
    <xf numFmtId="3" fontId="7" fillId="10" borderId="15" xfId="0" applyNumberFormat="1" applyFont="1" applyFill="1" applyBorder="1" applyAlignment="1">
      <alignment horizontal="center" vertical="center"/>
    </xf>
    <xf numFmtId="3" fontId="7" fillId="6" borderId="15" xfId="0" applyNumberFormat="1" applyFont="1" applyFill="1" applyBorder="1" applyAlignment="1">
      <alignment horizontal="center" vertical="center"/>
    </xf>
    <xf numFmtId="3" fontId="7" fillId="7" borderId="16" xfId="0" applyNumberFormat="1" applyFont="1" applyFill="1" applyBorder="1" applyAlignment="1">
      <alignment horizontal="center" vertical="center"/>
    </xf>
    <xf numFmtId="3" fontId="1" fillId="9" borderId="6" xfId="0" applyNumberFormat="1" applyFont="1" applyFill="1" applyBorder="1" applyAlignment="1">
      <alignment horizontal="center" vertical="center" wrapText="1"/>
    </xf>
    <xf numFmtId="3" fontId="1" fillId="8" borderId="6" xfId="0" applyNumberFormat="1" applyFont="1" applyFill="1" applyBorder="1" applyAlignment="1">
      <alignment horizontal="center" vertical="center" wrapText="1"/>
    </xf>
    <xf numFmtId="3" fontId="1" fillId="14" borderId="6" xfId="0" applyNumberFormat="1" applyFont="1" applyFill="1" applyBorder="1" applyAlignment="1">
      <alignment horizontal="center" vertical="center" wrapText="1"/>
    </xf>
    <xf numFmtId="3" fontId="1" fillId="10" borderId="6" xfId="0" applyNumberFormat="1" applyFont="1" applyFill="1" applyBorder="1" applyAlignment="1">
      <alignment horizontal="center" vertical="center" wrapText="1"/>
    </xf>
    <xf numFmtId="3" fontId="1" fillId="6" borderId="6" xfId="0" applyNumberFormat="1" applyFont="1" applyFill="1" applyBorder="1" applyAlignment="1">
      <alignment horizontal="center" vertical="center" wrapText="1"/>
    </xf>
    <xf numFmtId="3" fontId="1" fillId="7" borderId="7" xfId="0" applyNumberFormat="1" applyFont="1" applyFill="1" applyBorder="1" applyAlignment="1">
      <alignment horizontal="center" vertical="center" wrapText="1"/>
    </xf>
    <xf numFmtId="3" fontId="1" fillId="9" borderId="10" xfId="0" applyNumberFormat="1" applyFont="1" applyFill="1" applyBorder="1" applyAlignment="1">
      <alignment horizontal="center" vertical="center"/>
    </xf>
    <xf numFmtId="3" fontId="1" fillId="8" borderId="10" xfId="0" applyNumberFormat="1" applyFont="1" applyFill="1" applyBorder="1" applyAlignment="1">
      <alignment horizontal="center" vertical="center"/>
    </xf>
    <xf numFmtId="3" fontId="1" fillId="14" borderId="10" xfId="0" applyNumberFormat="1" applyFont="1" applyFill="1" applyBorder="1" applyAlignment="1">
      <alignment horizontal="center" vertical="center"/>
    </xf>
    <xf numFmtId="3" fontId="1" fillId="10" borderId="10" xfId="0" applyNumberFormat="1" applyFont="1" applyFill="1" applyBorder="1" applyAlignment="1">
      <alignment horizontal="center" vertical="center"/>
    </xf>
    <xf numFmtId="3" fontId="1" fillId="6" borderId="10" xfId="0" applyNumberFormat="1" applyFont="1" applyFill="1" applyBorder="1" applyAlignment="1">
      <alignment horizontal="center" vertical="center"/>
    </xf>
    <xf numFmtId="3" fontId="1" fillId="7" borderId="11" xfId="0" applyNumberFormat="1" applyFont="1" applyFill="1" applyBorder="1" applyAlignment="1">
      <alignment horizontal="center" vertical="center"/>
    </xf>
    <xf numFmtId="3" fontId="1" fillId="9" borderId="15" xfId="0" applyNumberFormat="1" applyFont="1" applyFill="1" applyBorder="1" applyAlignment="1">
      <alignment horizontal="center" vertical="center" wrapText="1"/>
    </xf>
    <xf numFmtId="3" fontId="1" fillId="8" borderId="15" xfId="0" applyNumberFormat="1" applyFont="1" applyFill="1" applyBorder="1" applyAlignment="1">
      <alignment horizontal="center" vertical="center" wrapText="1"/>
    </xf>
    <xf numFmtId="3" fontId="1" fillId="14" borderId="15" xfId="0" applyNumberFormat="1" applyFont="1" applyFill="1" applyBorder="1" applyAlignment="1">
      <alignment horizontal="center" vertical="center" wrapText="1"/>
    </xf>
    <xf numFmtId="3" fontId="1" fillId="10" borderId="15" xfId="0" applyNumberFormat="1" applyFont="1" applyFill="1" applyBorder="1" applyAlignment="1">
      <alignment horizontal="center" vertical="center" wrapText="1"/>
    </xf>
    <xf numFmtId="3" fontId="1" fillId="6" borderId="15" xfId="0" applyNumberFormat="1" applyFont="1" applyFill="1" applyBorder="1" applyAlignment="1">
      <alignment horizontal="center" vertical="center" wrapText="1"/>
    </xf>
    <xf numFmtId="3" fontId="1" fillId="7" borderId="16" xfId="0" applyNumberFormat="1" applyFont="1" applyFill="1" applyBorder="1" applyAlignment="1">
      <alignment horizontal="center" vertical="center" wrapText="1"/>
    </xf>
    <xf numFmtId="3" fontId="1" fillId="9" borderId="6" xfId="0" applyNumberFormat="1" applyFont="1" applyFill="1" applyBorder="1" applyAlignment="1">
      <alignment horizontal="center" vertical="center"/>
    </xf>
    <xf numFmtId="3" fontId="1" fillId="8" borderId="6" xfId="0" applyNumberFormat="1" applyFont="1" applyFill="1" applyBorder="1" applyAlignment="1">
      <alignment horizontal="center" vertical="center"/>
    </xf>
    <xf numFmtId="3" fontId="1" fillId="14" borderId="6" xfId="0" applyNumberFormat="1" applyFont="1" applyFill="1" applyBorder="1" applyAlignment="1">
      <alignment horizontal="center" vertical="center"/>
    </xf>
    <xf numFmtId="3" fontId="1" fillId="10" borderId="6" xfId="0" applyNumberFormat="1" applyFont="1" applyFill="1" applyBorder="1" applyAlignment="1">
      <alignment horizontal="center" vertical="center"/>
    </xf>
    <xf numFmtId="3" fontId="1" fillId="6" borderId="6" xfId="0" applyNumberFormat="1" applyFont="1" applyFill="1" applyBorder="1" applyAlignment="1">
      <alignment horizontal="center" vertical="center"/>
    </xf>
    <xf numFmtId="3" fontId="1" fillId="7" borderId="7" xfId="0" applyNumberFormat="1" applyFont="1" applyFill="1" applyBorder="1" applyAlignment="1">
      <alignment horizontal="center" vertical="center"/>
    </xf>
    <xf numFmtId="3" fontId="8" fillId="9" borderId="10" xfId="0" applyNumberFormat="1" applyFont="1" applyFill="1" applyBorder="1" applyAlignment="1">
      <alignment horizontal="center" vertical="center"/>
    </xf>
    <xf numFmtId="3" fontId="8" fillId="8" borderId="10" xfId="0" applyNumberFormat="1" applyFont="1" applyFill="1" applyBorder="1" applyAlignment="1">
      <alignment horizontal="center" vertical="center"/>
    </xf>
    <xf numFmtId="3" fontId="8" fillId="14" borderId="10" xfId="0" applyNumberFormat="1" applyFont="1" applyFill="1" applyBorder="1" applyAlignment="1">
      <alignment horizontal="center" vertical="center"/>
    </xf>
    <xf numFmtId="3" fontId="8" fillId="10" borderId="10" xfId="0" applyNumberFormat="1" applyFont="1" applyFill="1" applyBorder="1" applyAlignment="1">
      <alignment horizontal="center" vertical="center"/>
    </xf>
    <xf numFmtId="3" fontId="8" fillId="6" borderId="10" xfId="0" applyNumberFormat="1" applyFont="1" applyFill="1" applyBorder="1" applyAlignment="1">
      <alignment horizontal="center" vertical="center"/>
    </xf>
    <xf numFmtId="3" fontId="8" fillId="7" borderId="11" xfId="0" applyNumberFormat="1" applyFont="1" applyFill="1" applyBorder="1" applyAlignment="1">
      <alignment horizontal="center" vertical="center"/>
    </xf>
    <xf numFmtId="3" fontId="7" fillId="7" borderId="13" xfId="0" applyNumberFormat="1" applyFont="1" applyFill="1" applyBorder="1" applyAlignment="1">
      <alignment horizontal="center" vertical="center"/>
    </xf>
    <xf numFmtId="9" fontId="8" fillId="9" borderId="6" xfId="0" applyNumberFormat="1" applyFont="1" applyFill="1" applyBorder="1" applyAlignment="1">
      <alignment horizontal="center" vertical="center"/>
    </xf>
    <xf numFmtId="9" fontId="8" fillId="8" borderId="6" xfId="0" applyNumberFormat="1" applyFont="1" applyFill="1" applyBorder="1" applyAlignment="1">
      <alignment horizontal="center" vertical="center"/>
    </xf>
    <xf numFmtId="9" fontId="8" fillId="14" borderId="6" xfId="0" applyNumberFormat="1" applyFont="1" applyFill="1" applyBorder="1" applyAlignment="1">
      <alignment horizontal="center" vertical="center"/>
    </xf>
    <xf numFmtId="9" fontId="8" fillId="10" borderId="6" xfId="0" applyNumberFormat="1" applyFont="1" applyFill="1" applyBorder="1" applyAlignment="1">
      <alignment horizontal="center" vertical="center"/>
    </xf>
    <xf numFmtId="9" fontId="8" fillId="6" borderId="6" xfId="0" applyNumberFormat="1" applyFont="1" applyFill="1" applyBorder="1" applyAlignment="1">
      <alignment horizontal="center" vertical="center"/>
    </xf>
    <xf numFmtId="9" fontId="8" fillId="7" borderId="7" xfId="0" applyNumberFormat="1" applyFont="1" applyFill="1" applyBorder="1" applyAlignment="1">
      <alignment horizontal="center" vertical="center"/>
    </xf>
    <xf numFmtId="3" fontId="7" fillId="9" borderId="24" xfId="0" applyNumberFormat="1" applyFont="1" applyFill="1" applyBorder="1" applyAlignment="1">
      <alignment horizontal="center" vertical="center"/>
    </xf>
    <xf numFmtId="3" fontId="7" fillId="8" borderId="24" xfId="0" applyNumberFormat="1" applyFont="1" applyFill="1" applyBorder="1" applyAlignment="1">
      <alignment horizontal="center" vertical="center"/>
    </xf>
    <xf numFmtId="3" fontId="7" fillId="14" borderId="24" xfId="0" applyNumberFormat="1" applyFont="1" applyFill="1" applyBorder="1" applyAlignment="1">
      <alignment horizontal="center" vertical="center"/>
    </xf>
    <xf numFmtId="3" fontId="7" fillId="10" borderId="24" xfId="0" applyNumberFormat="1" applyFont="1" applyFill="1" applyBorder="1" applyAlignment="1">
      <alignment horizontal="center" vertical="center"/>
    </xf>
    <xf numFmtId="3" fontId="7" fillId="6" borderId="24" xfId="0" applyNumberFormat="1" applyFont="1" applyFill="1" applyBorder="1" applyAlignment="1">
      <alignment horizontal="center" vertical="center"/>
    </xf>
    <xf numFmtId="3" fontId="7" fillId="7" borderId="25" xfId="0" applyNumberFormat="1" applyFont="1" applyFill="1" applyBorder="1" applyAlignment="1">
      <alignment horizontal="center" vertical="center"/>
    </xf>
    <xf numFmtId="3" fontId="8" fillId="9" borderId="6" xfId="0" applyNumberFormat="1" applyFont="1" applyFill="1" applyBorder="1" applyAlignment="1">
      <alignment horizontal="center" vertical="center"/>
    </xf>
    <xf numFmtId="3" fontId="8" fillId="8" borderId="6" xfId="0" applyNumberFormat="1" applyFont="1" applyFill="1" applyBorder="1" applyAlignment="1">
      <alignment horizontal="center" vertical="center"/>
    </xf>
    <xf numFmtId="3" fontId="8" fillId="14" borderId="6" xfId="0" applyNumberFormat="1" applyFont="1" applyFill="1" applyBorder="1" applyAlignment="1">
      <alignment horizontal="center" vertical="center"/>
    </xf>
    <xf numFmtId="3" fontId="8" fillId="10" borderId="6" xfId="0" applyNumberFormat="1" applyFont="1" applyFill="1" applyBorder="1" applyAlignment="1">
      <alignment horizontal="center" vertical="center"/>
    </xf>
    <xf numFmtId="3" fontId="8" fillId="6" borderId="6" xfId="0" applyNumberFormat="1" applyFont="1" applyFill="1" applyBorder="1" applyAlignment="1">
      <alignment horizontal="center" vertical="center"/>
    </xf>
    <xf numFmtId="3" fontId="8" fillId="7" borderId="7" xfId="0" applyNumberFormat="1" applyFont="1" applyFill="1" applyBorder="1" applyAlignment="1">
      <alignment horizontal="center" vertical="center"/>
    </xf>
    <xf numFmtId="3" fontId="7" fillId="7" borderId="20" xfId="0" applyNumberFormat="1" applyFont="1" applyFill="1" applyBorder="1" applyAlignment="1">
      <alignment horizontal="center" vertical="center"/>
    </xf>
    <xf numFmtId="3" fontId="8" fillId="9" borderId="15" xfId="0" applyNumberFormat="1" applyFont="1" applyFill="1" applyBorder="1" applyAlignment="1">
      <alignment horizontal="center" vertical="center" wrapText="1"/>
    </xf>
    <xf numFmtId="3" fontId="8" fillId="8" borderId="15" xfId="0" applyNumberFormat="1" applyFont="1" applyFill="1" applyBorder="1" applyAlignment="1">
      <alignment horizontal="center" vertical="center" wrapText="1"/>
    </xf>
    <xf numFmtId="3" fontId="8" fillId="14" borderId="15" xfId="0" applyNumberFormat="1" applyFont="1" applyFill="1" applyBorder="1" applyAlignment="1">
      <alignment horizontal="center" vertical="center" wrapText="1"/>
    </xf>
    <xf numFmtId="3" fontId="8" fillId="10" borderId="15" xfId="0" applyNumberFormat="1" applyFont="1" applyFill="1" applyBorder="1" applyAlignment="1">
      <alignment horizontal="center" vertical="center" wrapText="1"/>
    </xf>
    <xf numFmtId="3" fontId="8" fillId="6" borderId="15" xfId="0" applyNumberFormat="1" applyFont="1" applyFill="1" applyBorder="1" applyAlignment="1">
      <alignment horizontal="center" vertical="center" wrapText="1"/>
    </xf>
    <xf numFmtId="3" fontId="8" fillId="7" borderId="16" xfId="0" applyNumberFormat="1" applyFont="1" applyFill="1" applyBorder="1" applyAlignment="1">
      <alignment horizontal="center" vertical="center" wrapText="1"/>
    </xf>
    <xf numFmtId="3" fontId="8" fillId="9" borderId="6" xfId="0" applyNumberFormat="1" applyFont="1" applyFill="1" applyBorder="1" applyAlignment="1">
      <alignment horizontal="center" vertical="center" wrapText="1"/>
    </xf>
    <xf numFmtId="3" fontId="8" fillId="8" borderId="6" xfId="0" applyNumberFormat="1" applyFont="1" applyFill="1" applyBorder="1" applyAlignment="1">
      <alignment horizontal="center" vertical="center" wrapText="1"/>
    </xf>
    <xf numFmtId="3" fontId="8" fillId="14" borderId="6" xfId="0" applyNumberFormat="1" applyFont="1" applyFill="1" applyBorder="1" applyAlignment="1">
      <alignment horizontal="center" vertical="center" wrapText="1"/>
    </xf>
    <xf numFmtId="3" fontId="8" fillId="10" borderId="6" xfId="0" applyNumberFormat="1" applyFont="1" applyFill="1" applyBorder="1" applyAlignment="1">
      <alignment horizontal="center" vertical="center" wrapText="1"/>
    </xf>
    <xf numFmtId="3" fontId="8" fillId="6" borderId="6" xfId="0" applyNumberFormat="1" applyFont="1" applyFill="1" applyBorder="1" applyAlignment="1">
      <alignment horizontal="center" vertical="center" wrapText="1"/>
    </xf>
    <xf numFmtId="3" fontId="8" fillId="7" borderId="7" xfId="0" applyNumberFormat="1" applyFont="1" applyFill="1" applyBorder="1" applyAlignment="1">
      <alignment horizontal="center" vertical="center" wrapText="1"/>
    </xf>
    <xf numFmtId="3" fontId="0" fillId="9" borderId="15" xfId="0" applyNumberFormat="1" applyFill="1" applyBorder="1" applyAlignment="1">
      <alignment horizontal="center" vertical="center"/>
    </xf>
    <xf numFmtId="3" fontId="0" fillId="8" borderId="15" xfId="0" applyNumberFormat="1" applyFill="1" applyBorder="1" applyAlignment="1">
      <alignment horizontal="center" vertical="center"/>
    </xf>
    <xf numFmtId="3" fontId="0" fillId="14" borderId="15" xfId="0" applyNumberFormat="1" applyFill="1" applyBorder="1" applyAlignment="1">
      <alignment horizontal="center" vertical="center"/>
    </xf>
    <xf numFmtId="3" fontId="0" fillId="10" borderId="15" xfId="0" applyNumberFormat="1" applyFill="1" applyBorder="1" applyAlignment="1">
      <alignment horizontal="center" vertical="center"/>
    </xf>
    <xf numFmtId="3" fontId="0" fillId="6" borderId="15" xfId="0" applyNumberFormat="1" applyFill="1" applyBorder="1" applyAlignment="1">
      <alignment horizontal="center" vertical="center"/>
    </xf>
    <xf numFmtId="3" fontId="0" fillId="7" borderId="16" xfId="0" applyNumberFormat="1" applyFill="1" applyBorder="1" applyAlignment="1">
      <alignment horizontal="center" vertical="center"/>
    </xf>
    <xf numFmtId="3" fontId="1" fillId="13" borderId="17" xfId="0" applyNumberFormat="1" applyFont="1" applyFill="1" applyBorder="1" applyAlignment="1">
      <alignment horizontal="center" vertical="center"/>
    </xf>
    <xf numFmtId="3" fontId="1" fillId="13" borderId="18" xfId="0" applyNumberFormat="1" applyFont="1" applyFill="1" applyBorder="1" applyAlignment="1">
      <alignment horizontal="center" vertical="center" wrapText="1"/>
    </xf>
    <xf numFmtId="3" fontId="0" fillId="13" borderId="17" xfId="0" applyNumberFormat="1" applyFill="1" applyBorder="1" applyAlignment="1">
      <alignment horizontal="center" vertical="center"/>
    </xf>
    <xf numFmtId="3" fontId="0" fillId="13" borderId="18" xfId="0" applyNumberFormat="1" applyFill="1" applyBorder="1" applyAlignment="1">
      <alignment horizontal="center" vertical="center"/>
    </xf>
    <xf numFmtId="3" fontId="1" fillId="13" borderId="8" xfId="0" applyNumberFormat="1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3" fontId="8" fillId="13" borderId="8" xfId="0" applyNumberFormat="1" applyFont="1" applyFill="1" applyBorder="1" applyAlignment="1">
      <alignment horizontal="center" vertical="center" wrapText="1"/>
    </xf>
    <xf numFmtId="3" fontId="7" fillId="13" borderId="17" xfId="0" applyNumberFormat="1" applyFont="1" applyFill="1" applyBorder="1" applyAlignment="1">
      <alignment horizontal="center" vertical="center"/>
    </xf>
    <xf numFmtId="3" fontId="7" fillId="13" borderId="2" xfId="0" applyNumberFormat="1" applyFont="1" applyFill="1" applyBorder="1" applyAlignment="1">
      <alignment horizontal="center" vertical="center"/>
    </xf>
    <xf numFmtId="3" fontId="7" fillId="13" borderId="18" xfId="0" applyNumberFormat="1" applyFont="1" applyFill="1" applyBorder="1" applyAlignment="1">
      <alignment horizontal="center" vertical="center"/>
    </xf>
    <xf numFmtId="3" fontId="8" fillId="13" borderId="8" xfId="0" applyNumberFormat="1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3" fontId="8" fillId="13" borderId="17" xfId="0" applyNumberFormat="1" applyFont="1" applyFill="1" applyBorder="1" applyAlignment="1">
      <alignment horizontal="center" vertical="center"/>
    </xf>
    <xf numFmtId="3" fontId="8" fillId="13" borderId="18" xfId="0" applyNumberFormat="1" applyFont="1" applyFill="1" applyBorder="1" applyAlignment="1">
      <alignment horizontal="center" vertical="center" wrapText="1"/>
    </xf>
    <xf numFmtId="3" fontId="7" fillId="13" borderId="3" xfId="0" applyNumberFormat="1" applyFont="1" applyFill="1" applyBorder="1" applyAlignment="1">
      <alignment horizontal="center" vertical="center"/>
    </xf>
    <xf numFmtId="3" fontId="7" fillId="13" borderId="29" xfId="0" applyNumberFormat="1" applyFont="1" applyFill="1" applyBorder="1" applyAlignment="1">
      <alignment horizontal="center" vertical="center"/>
    </xf>
    <xf numFmtId="9" fontId="8" fillId="13" borderId="8" xfId="0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5" fillId="11" borderId="23" xfId="0" applyFont="1" applyFill="1" applyBorder="1" applyAlignment="1">
      <alignment horizontal="center" vertical="center"/>
    </xf>
    <xf numFmtId="0" fontId="5" fillId="12" borderId="23" xfId="0" applyFont="1" applyFill="1" applyBorder="1" applyAlignment="1">
      <alignment horizontal="center" vertical="center"/>
    </xf>
    <xf numFmtId="3" fontId="0" fillId="13" borderId="2" xfId="0" applyNumberFormat="1" applyFill="1" applyBorder="1" applyAlignment="1">
      <alignment horizontal="center" vertical="center"/>
    </xf>
    <xf numFmtId="3" fontId="1" fillId="13" borderId="8" xfId="0" applyNumberFormat="1" applyFont="1" applyFill="1" applyBorder="1" applyAlignment="1">
      <alignment horizontal="center" vertical="center" wrapText="1"/>
    </xf>
    <xf numFmtId="4" fontId="0" fillId="13" borderId="18" xfId="0" applyNumberForma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 wrapText="1"/>
    </xf>
    <xf numFmtId="0" fontId="0" fillId="9" borderId="26" xfId="0" applyFill="1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0" fillId="10" borderId="26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10" borderId="27" xfId="0" applyFill="1" applyBorder="1" applyAlignment="1">
      <alignment horizontal="center" vertical="center"/>
    </xf>
    <xf numFmtId="3" fontId="0" fillId="13" borderId="9" xfId="0" applyNumberFormat="1" applyFill="1" applyBorder="1" applyAlignment="1">
      <alignment horizontal="center" vertical="center"/>
    </xf>
    <xf numFmtId="3" fontId="0" fillId="13" borderId="12" xfId="0" applyNumberFormat="1" applyFill="1" applyBorder="1" applyAlignment="1">
      <alignment horizontal="center" vertical="center"/>
    </xf>
    <xf numFmtId="3" fontId="0" fillId="13" borderId="14" xfId="0" applyNumberForma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165" fontId="1" fillId="9" borderId="1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65" fontId="1" fillId="6" borderId="1" xfId="0" applyNumberFormat="1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165" fontId="1" fillId="8" borderId="1" xfId="0" applyNumberFormat="1" applyFont="1" applyFill="1" applyBorder="1" applyAlignment="1">
      <alignment horizontal="center" vertical="center" wrapText="1"/>
    </xf>
    <xf numFmtId="0" fontId="1" fillId="8" borderId="21" xfId="0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6" borderId="26" xfId="0" applyFont="1" applyFill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5" fillId="11" borderId="30" xfId="0" applyFont="1" applyFill="1" applyBorder="1" applyAlignment="1">
      <alignment horizontal="center" vertical="center" wrapText="1"/>
    </xf>
    <xf numFmtId="0" fontId="5" fillId="11" borderId="3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173F9-4EA2-4E81-801B-130A7C093E57}">
  <dimension ref="A1:E37"/>
  <sheetViews>
    <sheetView topLeftCell="A16" workbookViewId="0">
      <selection activeCell="E35" sqref="E35"/>
    </sheetView>
  </sheetViews>
  <sheetFormatPr defaultRowHeight="15" x14ac:dyDescent="0.25"/>
  <cols>
    <col min="1" max="1" width="78" customWidth="1"/>
  </cols>
  <sheetData>
    <row r="1" spans="1:5" x14ac:dyDescent="0.25">
      <c r="A1" s="38" t="s">
        <v>41</v>
      </c>
      <c r="B1" s="38" t="s">
        <v>40</v>
      </c>
      <c r="C1" s="39">
        <v>1853.8320000000001</v>
      </c>
      <c r="D1" s="39">
        <v>887.31768599999998</v>
      </c>
      <c r="E1" s="40">
        <f t="shared" ref="E1:E15" si="0">AVERAGE(C1:D1)</f>
        <v>1370.5748430000001</v>
      </c>
    </row>
    <row r="2" spans="1:5" x14ac:dyDescent="0.25">
      <c r="A2" s="38" t="s">
        <v>43</v>
      </c>
      <c r="B2" s="38" t="s">
        <v>40</v>
      </c>
      <c r="C2" s="39">
        <v>2100.1390000000001</v>
      </c>
      <c r="D2" s="39">
        <v>1028.874204</v>
      </c>
      <c r="E2" s="40">
        <f t="shared" si="0"/>
        <v>1564.5066019999999</v>
      </c>
    </row>
    <row r="3" spans="1:5" x14ac:dyDescent="0.25">
      <c r="A3" s="38" t="s">
        <v>44</v>
      </c>
      <c r="B3" s="38" t="s">
        <v>40</v>
      </c>
      <c r="C3" s="39">
        <v>2356.489</v>
      </c>
      <c r="D3" s="39">
        <v>1171.581588</v>
      </c>
      <c r="E3" s="40">
        <f t="shared" si="0"/>
        <v>1764.035294</v>
      </c>
    </row>
    <row r="4" spans="1:5" x14ac:dyDescent="0.25">
      <c r="A4" s="38" t="s">
        <v>45</v>
      </c>
      <c r="B4" s="38" t="s">
        <v>40</v>
      </c>
      <c r="C4" s="39">
        <v>2663.8510000000001</v>
      </c>
      <c r="D4" s="39">
        <v>1313.1381060000001</v>
      </c>
      <c r="E4" s="40">
        <f t="shared" si="0"/>
        <v>1988.494553</v>
      </c>
    </row>
    <row r="5" spans="1:5" x14ac:dyDescent="0.25">
      <c r="A5" s="38" t="s">
        <v>46</v>
      </c>
      <c r="B5" s="38" t="s">
        <v>40</v>
      </c>
      <c r="C5" s="39">
        <v>2959.7220000000002</v>
      </c>
      <c r="D5" s="39">
        <v>1455.8454899999999</v>
      </c>
      <c r="E5" s="40">
        <f t="shared" si="0"/>
        <v>2207.7837450000002</v>
      </c>
    </row>
    <row r="6" spans="1:5" x14ac:dyDescent="0.25">
      <c r="A6" s="38" t="s">
        <v>47</v>
      </c>
      <c r="B6" s="38" t="s">
        <v>40</v>
      </c>
      <c r="C6" s="39">
        <v>3707.0160000000001</v>
      </c>
      <c r="D6" s="39">
        <v>1692.923886</v>
      </c>
      <c r="E6" s="40">
        <f t="shared" si="0"/>
        <v>2699.9699430000001</v>
      </c>
    </row>
    <row r="7" spans="1:5" x14ac:dyDescent="0.25">
      <c r="A7" s="38" t="s">
        <v>48</v>
      </c>
      <c r="B7" s="38" t="s">
        <v>40</v>
      </c>
      <c r="C7" s="39">
        <v>4166.7460000000001</v>
      </c>
      <c r="D7" s="39">
        <v>1818.36</v>
      </c>
      <c r="E7" s="40">
        <f t="shared" si="0"/>
        <v>2992.5529999999999</v>
      </c>
    </row>
    <row r="8" spans="1:5" x14ac:dyDescent="0.25">
      <c r="A8" s="38" t="s">
        <v>49</v>
      </c>
      <c r="B8" s="38" t="s">
        <v>40</v>
      </c>
      <c r="C8" s="39">
        <v>4639.4189999999999</v>
      </c>
      <c r="D8" s="39">
        <v>1943.812674</v>
      </c>
      <c r="E8" s="40">
        <f t="shared" si="0"/>
        <v>3291.6158369999998</v>
      </c>
    </row>
    <row r="9" spans="1:5" x14ac:dyDescent="0.25">
      <c r="A9" s="38" t="s">
        <v>50</v>
      </c>
      <c r="B9" s="38" t="s">
        <v>40</v>
      </c>
      <c r="C9" s="39">
        <v>5028.1080000000002</v>
      </c>
      <c r="D9" s="39">
        <v>2068.1062019999999</v>
      </c>
      <c r="E9" s="40">
        <f t="shared" si="0"/>
        <v>3548.1071010000001</v>
      </c>
    </row>
    <row r="10" spans="1:5" x14ac:dyDescent="0.25">
      <c r="A10" s="38" t="s">
        <v>51</v>
      </c>
      <c r="B10" s="38" t="s">
        <v>40</v>
      </c>
      <c r="C10" s="39">
        <v>5535.5259999999998</v>
      </c>
      <c r="D10" s="39">
        <v>2193.550596</v>
      </c>
      <c r="E10" s="40">
        <f t="shared" si="0"/>
        <v>3864.5382979999999</v>
      </c>
    </row>
    <row r="11" spans="1:5" x14ac:dyDescent="0.25">
      <c r="A11" s="38" t="s">
        <v>52</v>
      </c>
      <c r="B11" s="38" t="s">
        <v>40</v>
      </c>
      <c r="C11" s="39">
        <v>5893.5050000000001</v>
      </c>
      <c r="D11" s="39">
        <v>2375.59</v>
      </c>
      <c r="E11" s="40">
        <f t="shared" si="0"/>
        <v>4134.5475000000006</v>
      </c>
    </row>
    <row r="12" spans="1:5" x14ac:dyDescent="0.25">
      <c r="A12" s="38" t="s">
        <v>53</v>
      </c>
      <c r="B12" s="38" t="s">
        <v>40</v>
      </c>
      <c r="C12" s="39">
        <v>6250.759</v>
      </c>
      <c r="D12" s="39">
        <v>2531.9052000000001</v>
      </c>
      <c r="E12" s="40">
        <f t="shared" si="0"/>
        <v>4391.3320999999996</v>
      </c>
    </row>
    <row r="13" spans="1:5" x14ac:dyDescent="0.25">
      <c r="A13" s="38" t="s">
        <v>54</v>
      </c>
      <c r="B13" s="38" t="s">
        <v>40</v>
      </c>
      <c r="C13" s="39">
        <v>6773.4790000000003</v>
      </c>
      <c r="D13" s="39">
        <v>2877.165</v>
      </c>
      <c r="E13" s="40">
        <f t="shared" si="0"/>
        <v>4825.3220000000001</v>
      </c>
    </row>
    <row r="14" spans="1:5" x14ac:dyDescent="0.25">
      <c r="A14" s="38" t="s">
        <v>55</v>
      </c>
      <c r="B14" s="38" t="s">
        <v>40</v>
      </c>
      <c r="C14" s="39">
        <v>7659.1149999999998</v>
      </c>
      <c r="D14" s="39">
        <v>3222.4247999999998</v>
      </c>
      <c r="E14" s="40">
        <f t="shared" si="0"/>
        <v>5440.7698999999993</v>
      </c>
    </row>
    <row r="15" spans="1:5" x14ac:dyDescent="0.25">
      <c r="A15" s="38" t="s">
        <v>42</v>
      </c>
      <c r="B15" s="38" t="s">
        <v>40</v>
      </c>
      <c r="C15" s="39">
        <v>8702.7129999999997</v>
      </c>
      <c r="D15" s="39">
        <v>8695.4320000000007</v>
      </c>
      <c r="E15" s="40">
        <f t="shared" si="0"/>
        <v>8699.0725000000002</v>
      </c>
    </row>
    <row r="17" spans="1:5" x14ac:dyDescent="0.25">
      <c r="A17" s="38" t="s">
        <v>56</v>
      </c>
      <c r="B17" s="38" t="s">
        <v>40</v>
      </c>
      <c r="C17" s="39">
        <v>852.90599999999995</v>
      </c>
      <c r="D17" s="39">
        <v>554.71741199999997</v>
      </c>
      <c r="E17" s="40">
        <f t="shared" ref="E17:E37" si="1">AVERAGE(C17:D17)</f>
        <v>703.81170599999996</v>
      </c>
    </row>
    <row r="18" spans="1:5" x14ac:dyDescent="0.25">
      <c r="A18" s="38" t="s">
        <v>57</v>
      </c>
      <c r="B18" s="38" t="s">
        <v>40</v>
      </c>
      <c r="C18" s="39">
        <v>989.63900000000001</v>
      </c>
      <c r="D18" s="39">
        <v>637.57976399999995</v>
      </c>
      <c r="E18" s="40">
        <f t="shared" si="1"/>
        <v>813.60938199999998</v>
      </c>
    </row>
    <row r="19" spans="1:5" x14ac:dyDescent="0.25">
      <c r="A19" s="38" t="s">
        <v>58</v>
      </c>
      <c r="B19" s="38" t="s">
        <v>40</v>
      </c>
      <c r="C19" s="39">
        <v>1027.547</v>
      </c>
      <c r="D19" s="39">
        <v>742.30857000000003</v>
      </c>
      <c r="E19" s="40">
        <f t="shared" si="1"/>
        <v>884.92778500000009</v>
      </c>
    </row>
    <row r="20" spans="1:5" x14ac:dyDescent="0.25">
      <c r="A20" s="38" t="s">
        <v>59</v>
      </c>
      <c r="B20" s="38" t="s">
        <v>40</v>
      </c>
      <c r="C20" s="39">
        <v>1331.9839999999999</v>
      </c>
      <c r="D20" s="39">
        <v>847.03737599999999</v>
      </c>
      <c r="E20" s="40">
        <f t="shared" si="1"/>
        <v>1089.5106879999998</v>
      </c>
    </row>
    <row r="21" spans="1:5" x14ac:dyDescent="0.25">
      <c r="A21" s="38" t="s">
        <v>60</v>
      </c>
      <c r="B21" s="38" t="s">
        <v>40</v>
      </c>
      <c r="C21" s="39">
        <v>1556.1079999999999</v>
      </c>
      <c r="D21" s="39">
        <v>951.76618199999996</v>
      </c>
      <c r="E21" s="40">
        <f t="shared" si="1"/>
        <v>1253.937091</v>
      </c>
    </row>
    <row r="23" spans="1:5" x14ac:dyDescent="0.25">
      <c r="A23" s="38" t="s">
        <v>61</v>
      </c>
      <c r="B23" s="38" t="s">
        <v>40</v>
      </c>
      <c r="C23" s="39">
        <v>1372.106</v>
      </c>
      <c r="D23" s="39">
        <v>779.13628200000005</v>
      </c>
      <c r="E23" s="40">
        <f t="shared" si="1"/>
        <v>1075.6211410000001</v>
      </c>
    </row>
    <row r="24" spans="1:5" x14ac:dyDescent="0.25">
      <c r="A24" s="38" t="s">
        <v>62</v>
      </c>
      <c r="B24" s="38" t="s">
        <v>40</v>
      </c>
      <c r="C24" s="39">
        <v>1527.1579999999999</v>
      </c>
      <c r="D24" s="39">
        <v>901.12807799999996</v>
      </c>
      <c r="E24" s="40">
        <f t="shared" si="1"/>
        <v>1214.143039</v>
      </c>
    </row>
    <row r="25" spans="1:5" x14ac:dyDescent="0.25">
      <c r="A25" s="38" t="s">
        <v>63</v>
      </c>
      <c r="B25" s="38" t="s">
        <v>40</v>
      </c>
      <c r="C25" s="39">
        <v>1725.434</v>
      </c>
      <c r="D25" s="39">
        <v>1023.119874</v>
      </c>
      <c r="E25" s="40">
        <f t="shared" si="1"/>
        <v>1374.2769370000001</v>
      </c>
    </row>
    <row r="26" spans="1:5" x14ac:dyDescent="0.25">
      <c r="A26" s="38" t="s">
        <v>64</v>
      </c>
      <c r="B26" s="38" t="s">
        <v>40</v>
      </c>
      <c r="C26" s="39">
        <v>1999.4159999999999</v>
      </c>
      <c r="D26" s="39">
        <v>1145.11167</v>
      </c>
      <c r="E26" s="40">
        <f t="shared" si="1"/>
        <v>1572.263835</v>
      </c>
    </row>
    <row r="27" spans="1:5" x14ac:dyDescent="0.25">
      <c r="A27" s="38" t="s">
        <v>65</v>
      </c>
      <c r="B27" s="38" t="s">
        <v>40</v>
      </c>
      <c r="C27" s="39">
        <v>2282.4380000000001</v>
      </c>
      <c r="D27" s="39">
        <v>1267.103466</v>
      </c>
      <c r="E27" s="40">
        <f t="shared" si="1"/>
        <v>1774.7707330000001</v>
      </c>
    </row>
    <row r="28" spans="1:5" x14ac:dyDescent="0.25">
      <c r="A28" s="38" t="s">
        <v>66</v>
      </c>
      <c r="B28" s="38" t="s">
        <v>40</v>
      </c>
      <c r="C28" s="39">
        <v>2487.8009999999999</v>
      </c>
      <c r="D28" s="39">
        <v>1432.82817</v>
      </c>
      <c r="E28" s="40">
        <f t="shared" si="1"/>
        <v>1960.3145850000001</v>
      </c>
    </row>
    <row r="29" spans="1:5" x14ac:dyDescent="0.25">
      <c r="A29" s="38" t="s">
        <v>67</v>
      </c>
      <c r="B29" s="38" t="s">
        <v>40</v>
      </c>
      <c r="C29" s="39">
        <v>3007.2429999999999</v>
      </c>
      <c r="D29" s="39">
        <v>1550.216502</v>
      </c>
      <c r="E29" s="40">
        <f t="shared" si="1"/>
        <v>2278.7297509999999</v>
      </c>
    </row>
    <row r="30" spans="1:5" x14ac:dyDescent="0.25">
      <c r="A30" s="38" t="s">
        <v>68</v>
      </c>
      <c r="B30" s="38" t="s">
        <v>40</v>
      </c>
      <c r="C30" s="39">
        <v>3373.558</v>
      </c>
      <c r="D30" s="39">
        <v>1667.604834</v>
      </c>
      <c r="E30" s="40">
        <f t="shared" si="1"/>
        <v>2520.5814169999999</v>
      </c>
    </row>
    <row r="31" spans="1:5" x14ac:dyDescent="0.25">
      <c r="A31" s="38" t="s">
        <v>69</v>
      </c>
      <c r="B31" s="38" t="s">
        <v>40</v>
      </c>
      <c r="C31" s="39">
        <v>3650.239</v>
      </c>
      <c r="D31" s="39">
        <v>2941.1019999999999</v>
      </c>
      <c r="E31" s="40">
        <f t="shared" si="1"/>
        <v>3295.6705000000002</v>
      </c>
    </row>
    <row r="32" spans="1:5" x14ac:dyDescent="0.25">
      <c r="A32" s="38" t="s">
        <v>70</v>
      </c>
      <c r="B32" s="38" t="s">
        <v>40</v>
      </c>
      <c r="C32" s="39">
        <v>4115.7120000000004</v>
      </c>
      <c r="D32" s="39">
        <v>3452.598</v>
      </c>
      <c r="E32" s="40">
        <f t="shared" si="1"/>
        <v>3784.1550000000002</v>
      </c>
    </row>
    <row r="33" spans="1:5" x14ac:dyDescent="0.25">
      <c r="A33" s="38" t="s">
        <v>71</v>
      </c>
      <c r="B33" s="38" t="s">
        <v>40</v>
      </c>
      <c r="C33" s="39">
        <v>4467.1480000000001</v>
      </c>
      <c r="D33" s="39">
        <v>4475.59</v>
      </c>
      <c r="E33" s="40">
        <f t="shared" si="1"/>
        <v>4471.3690000000006</v>
      </c>
    </row>
    <row r="34" spans="1:5" x14ac:dyDescent="0.25">
      <c r="A34" s="38" t="s">
        <v>72</v>
      </c>
      <c r="B34" s="38" t="s">
        <v>40</v>
      </c>
      <c r="C34" s="39">
        <v>4734.0039999999999</v>
      </c>
      <c r="D34" s="39">
        <v>5370.7079999999996</v>
      </c>
      <c r="E34" s="40">
        <f t="shared" si="1"/>
        <v>5052.3559999999998</v>
      </c>
    </row>
    <row r="35" spans="1:5" x14ac:dyDescent="0.25">
      <c r="A35" s="38" t="s">
        <v>73</v>
      </c>
      <c r="B35" s="38" t="s">
        <v>40</v>
      </c>
      <c r="C35" s="39">
        <v>5321.2380000000003</v>
      </c>
      <c r="D35" s="39">
        <v>6137.9520000000002</v>
      </c>
      <c r="E35" s="40">
        <f t="shared" si="1"/>
        <v>5729.5950000000003</v>
      </c>
    </row>
    <row r="36" spans="1:5" x14ac:dyDescent="0.25">
      <c r="A36" s="38" t="s">
        <v>74</v>
      </c>
      <c r="B36" s="38" t="s">
        <v>40</v>
      </c>
      <c r="C36" s="39">
        <v>6230.93</v>
      </c>
      <c r="D36" s="39">
        <v>6649.4480000000003</v>
      </c>
      <c r="E36" s="40">
        <f t="shared" si="1"/>
        <v>6440.1890000000003</v>
      </c>
    </row>
    <row r="37" spans="1:5" x14ac:dyDescent="0.25">
      <c r="A37" s="38" t="s">
        <v>75</v>
      </c>
      <c r="B37" s="38" t="s">
        <v>40</v>
      </c>
      <c r="C37" s="39">
        <v>6392.0429999999997</v>
      </c>
      <c r="D37" s="39">
        <v>8056.0619999999999</v>
      </c>
      <c r="E37" s="40">
        <f t="shared" si="1"/>
        <v>7224.0524999999998</v>
      </c>
    </row>
  </sheetData>
  <sortState xmlns:xlrd2="http://schemas.microsoft.com/office/spreadsheetml/2017/richdata2" ref="A1:E15">
    <sortCondition ref="E1:E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306FC-4043-4C86-AC81-34A04107F33F}">
  <dimension ref="A1:T37"/>
  <sheetViews>
    <sheetView zoomScale="80" zoomScaleNormal="80" workbookViewId="0">
      <selection activeCell="E35" sqref="E35"/>
    </sheetView>
  </sheetViews>
  <sheetFormatPr defaultRowHeight="15" x14ac:dyDescent="0.25"/>
  <cols>
    <col min="1" max="1" width="12.140625" style="5" customWidth="1"/>
    <col min="2" max="16384" width="9.140625" style="1"/>
  </cols>
  <sheetData>
    <row r="1" spans="1:20" ht="15.75" thickBot="1" x14ac:dyDescent="0.3">
      <c r="A1" s="4" t="s">
        <v>19</v>
      </c>
      <c r="B1" s="15" t="s">
        <v>22</v>
      </c>
      <c r="C1" s="16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20</v>
      </c>
      <c r="T1" s="15" t="s">
        <v>21</v>
      </c>
    </row>
    <row r="2" spans="1:20" x14ac:dyDescent="0.25">
      <c r="A2" s="245">
        <v>200</v>
      </c>
      <c r="B2" s="18" t="s">
        <v>0</v>
      </c>
      <c r="C2" s="10">
        <v>12.653</v>
      </c>
      <c r="D2" s="6">
        <v>14.135999999999999</v>
      </c>
      <c r="E2" s="6">
        <v>16.094000000000001</v>
      </c>
      <c r="F2" s="6">
        <v>18.994</v>
      </c>
      <c r="G2" s="6">
        <v>23.268000000000001</v>
      </c>
      <c r="H2" s="6">
        <v>28.13</v>
      </c>
      <c r="I2" s="6">
        <v>35.045999999999999</v>
      </c>
      <c r="J2" s="6">
        <v>56.097999999999999</v>
      </c>
      <c r="K2" s="6">
        <v>68.228999999999999</v>
      </c>
      <c r="L2" s="6">
        <v>84.87</v>
      </c>
      <c r="M2" s="6">
        <v>104.38</v>
      </c>
      <c r="N2" s="6">
        <v>129.756</v>
      </c>
      <c r="O2" s="6">
        <v>164.24199999999999</v>
      </c>
      <c r="P2" s="23">
        <f>O2/N2*O2</f>
        <v>207.89354298837816</v>
      </c>
      <c r="Q2" s="23">
        <f t="shared" ref="Q2:T2" si="0">P2/O2*P2</f>
        <v>263.14660815297333</v>
      </c>
      <c r="R2" s="23">
        <f t="shared" si="0"/>
        <v>333.08459891072971</v>
      </c>
      <c r="S2" s="23">
        <f t="shared" si="0"/>
        <v>421.6104125766521</v>
      </c>
      <c r="T2" s="30">
        <f t="shared" si="0"/>
        <v>533.66424198044399</v>
      </c>
    </row>
    <row r="3" spans="1:20" x14ac:dyDescent="0.25">
      <c r="A3" s="246"/>
      <c r="B3" s="12" t="s">
        <v>1</v>
      </c>
      <c r="C3" s="3">
        <v>8.8801588440000003</v>
      </c>
      <c r="D3" s="2">
        <v>10.007357345000001</v>
      </c>
      <c r="E3" s="2">
        <v>10.852756222</v>
      </c>
      <c r="F3" s="2">
        <v>11.923594798</v>
      </c>
      <c r="G3" s="2">
        <v>13.107153224999999</v>
      </c>
      <c r="H3" s="2">
        <v>15.605351992999999</v>
      </c>
      <c r="I3" s="2">
        <v>16.732550494000002</v>
      </c>
      <c r="J3" s="2">
        <v>18.423348247</v>
      </c>
      <c r="K3" s="2">
        <v>20.114145999000002</v>
      </c>
      <c r="L3" s="2">
        <v>26.654528415000001</v>
      </c>
      <c r="M3" s="2">
        <v>29.212008415</v>
      </c>
      <c r="N3" s="2">
        <v>35.605708415000002</v>
      </c>
      <c r="O3" s="2">
        <v>40.720668414999999</v>
      </c>
      <c r="P3" s="24">
        <f t="shared" ref="P3:T3" si="1">O3/N3*O3</f>
        <v>46.57042114813877</v>
      </c>
      <c r="Q3" s="24">
        <f t="shared" si="1"/>
        <v>53.260523717633845</v>
      </c>
      <c r="R3" s="24">
        <f t="shared" si="1"/>
        <v>60.911697097461357</v>
      </c>
      <c r="S3" s="24">
        <f t="shared" si="1"/>
        <v>69.66200450756125</v>
      </c>
      <c r="T3" s="28">
        <f t="shared" si="1"/>
        <v>79.669342724876017</v>
      </c>
    </row>
    <row r="4" spans="1:20" ht="15.75" thickBot="1" x14ac:dyDescent="0.3">
      <c r="A4" s="247"/>
      <c r="B4" s="13" t="s">
        <v>2</v>
      </c>
      <c r="C4" s="11">
        <v>9.875</v>
      </c>
      <c r="D4" s="9">
        <v>11.237</v>
      </c>
      <c r="E4" s="9">
        <v>12.824</v>
      </c>
      <c r="F4" s="9">
        <v>14.468</v>
      </c>
      <c r="G4" s="9">
        <v>16.111999999999998</v>
      </c>
      <c r="H4" s="9">
        <v>18.423999999999999</v>
      </c>
      <c r="I4" s="9">
        <v>20.3</v>
      </c>
      <c r="J4" s="9">
        <v>22.233000000000001</v>
      </c>
      <c r="K4" s="9">
        <v>19.824000000000002</v>
      </c>
      <c r="L4" s="9">
        <v>21.236000000000001</v>
      </c>
      <c r="M4" s="9">
        <v>22.792999999999999</v>
      </c>
      <c r="N4" s="9">
        <v>24.385999999999999</v>
      </c>
      <c r="O4" s="9">
        <v>25.978999999999999</v>
      </c>
      <c r="P4" s="9">
        <v>27.571999999999999</v>
      </c>
      <c r="Q4" s="25">
        <f t="shared" ref="Q4:T4" si="2">P4/O4*P4</f>
        <v>29.262680780630507</v>
      </c>
      <c r="R4" s="25">
        <f t="shared" si="2"/>
        <v>31.05703200598731</v>
      </c>
      <c r="S4" s="25">
        <f t="shared" si="2"/>
        <v>32.961410618926138</v>
      </c>
      <c r="T4" s="29">
        <f t="shared" si="2"/>
        <v>34.982563362139864</v>
      </c>
    </row>
    <row r="5" spans="1:20" x14ac:dyDescent="0.25">
      <c r="A5" s="245">
        <v>250</v>
      </c>
      <c r="B5" s="18" t="s">
        <v>0</v>
      </c>
      <c r="C5" s="19">
        <f>C2/D2*D5</f>
        <v>16.137587507074141</v>
      </c>
      <c r="D5" s="6">
        <v>18.029</v>
      </c>
      <c r="E5" s="6">
        <v>20.079999999999998</v>
      </c>
      <c r="F5" s="6">
        <v>23.074000000000002</v>
      </c>
      <c r="G5" s="6">
        <v>27.463000000000001</v>
      </c>
      <c r="H5" s="6">
        <v>34.084000000000003</v>
      </c>
      <c r="I5" s="6">
        <v>40.088999999999999</v>
      </c>
      <c r="J5" s="6">
        <v>61.302999999999997</v>
      </c>
      <c r="K5" s="6">
        <v>73.617000000000004</v>
      </c>
      <c r="L5" s="6">
        <v>90.51</v>
      </c>
      <c r="M5" s="23">
        <f t="shared" ref="M5:T5" si="3">L5/K5*L5</f>
        <v>111.27946126574027</v>
      </c>
      <c r="N5" s="23">
        <f t="shared" si="3"/>
        <v>136.81492099871161</v>
      </c>
      <c r="O5" s="23">
        <f t="shared" si="3"/>
        <v>168.21003979506619</v>
      </c>
      <c r="P5" s="23">
        <f t="shared" si="3"/>
        <v>206.80944213770516</v>
      </c>
      <c r="Q5" s="23">
        <f t="shared" si="3"/>
        <v>254.26630544417316</v>
      </c>
      <c r="R5" s="23">
        <f t="shared" si="3"/>
        <v>312.61316415708484</v>
      </c>
      <c r="S5" s="23">
        <f t="shared" si="3"/>
        <v>384.34896135210278</v>
      </c>
      <c r="T5" s="30">
        <f t="shared" si="3"/>
        <v>472.5460762049367</v>
      </c>
    </row>
    <row r="6" spans="1:20" x14ac:dyDescent="0.25">
      <c r="A6" s="246"/>
      <c r="B6" s="12" t="s">
        <v>1</v>
      </c>
      <c r="C6" s="20">
        <f t="shared" ref="C6:F34" si="4">C3/D3*D6</f>
        <v>10.764963488478957</v>
      </c>
      <c r="D6" s="2">
        <v>12.13140872</v>
      </c>
      <c r="E6" s="2">
        <v>13.258607222</v>
      </c>
      <c r="F6" s="2">
        <v>14.385805724000001</v>
      </c>
      <c r="G6" s="2">
        <v>15.513004225</v>
      </c>
      <c r="H6" s="2">
        <v>17.643420213999999</v>
      </c>
      <c r="I6" s="2">
        <v>19.041146355999999</v>
      </c>
      <c r="J6" s="2">
        <v>20.731944109000001</v>
      </c>
      <c r="K6" s="2">
        <v>22.140942235000001</v>
      </c>
      <c r="L6" s="2">
        <v>24.113539613</v>
      </c>
      <c r="M6" s="24">
        <f t="shared" ref="M6:T6" si="5">L6/K6*L6</f>
        <v>26.261881111299516</v>
      </c>
      <c r="N6" s="24">
        <f t="shared" si="5"/>
        <v>28.601624256449234</v>
      </c>
      <c r="O6" s="24">
        <f t="shared" si="5"/>
        <v>31.149821547060746</v>
      </c>
      <c r="P6" s="24">
        <f t="shared" si="5"/>
        <v>33.925044735700261</v>
      </c>
      <c r="Q6" s="24">
        <f t="shared" si="5"/>
        <v>36.947520183397714</v>
      </c>
      <c r="R6" s="24">
        <f t="shared" si="5"/>
        <v>40.239276273260998</v>
      </c>
      <c r="S6" s="24">
        <f t="shared" si="5"/>
        <v>43.824303957574102</v>
      </c>
      <c r="T6" s="28">
        <f t="shared" si="5"/>
        <v>47.728731608477354</v>
      </c>
    </row>
    <row r="7" spans="1:20" ht="15.75" thickBot="1" x14ac:dyDescent="0.3">
      <c r="A7" s="247"/>
      <c r="B7" s="13" t="s">
        <v>2</v>
      </c>
      <c r="C7" s="21">
        <f t="shared" si="4"/>
        <v>12.200286998309156</v>
      </c>
      <c r="D7" s="9">
        <v>13.882999999999999</v>
      </c>
      <c r="E7" s="9">
        <v>15.592000000000001</v>
      </c>
      <c r="F7" s="9">
        <v>17.361000000000001</v>
      </c>
      <c r="G7" s="9">
        <v>19.131</v>
      </c>
      <c r="H7" s="9">
        <v>22.004000000000001</v>
      </c>
      <c r="I7" s="9">
        <v>24.021999999999998</v>
      </c>
      <c r="J7" s="9">
        <v>26.103000000000002</v>
      </c>
      <c r="K7" s="9">
        <v>23.510999999999999</v>
      </c>
      <c r="L7" s="9">
        <v>25.030999999999999</v>
      </c>
      <c r="M7" s="9">
        <v>26.707000000000001</v>
      </c>
      <c r="N7" s="9">
        <v>28.422000000000001</v>
      </c>
      <c r="O7" s="9">
        <v>30.135999999999999</v>
      </c>
      <c r="P7" s="9">
        <v>31.850999999999999</v>
      </c>
      <c r="Q7" s="25">
        <f t="shared" ref="Q7:T7" si="6">P7/O7*P7</f>
        <v>33.663598387310856</v>
      </c>
      <c r="R7" s="25">
        <f t="shared" si="6"/>
        <v>35.579349357387777</v>
      </c>
      <c r="S7" s="25">
        <f t="shared" si="6"/>
        <v>37.60412318762139</v>
      </c>
      <c r="T7" s="29">
        <f t="shared" si="6"/>
        <v>39.744124225143651</v>
      </c>
    </row>
    <row r="8" spans="1:20" x14ac:dyDescent="0.25">
      <c r="A8" s="245">
        <v>300</v>
      </c>
      <c r="B8" s="18" t="s">
        <v>0</v>
      </c>
      <c r="C8" s="19">
        <f t="shared" si="4"/>
        <v>20.840393251273351</v>
      </c>
      <c r="D8" s="6">
        <v>23.283000000000001</v>
      </c>
      <c r="E8" s="6">
        <v>25.428000000000001</v>
      </c>
      <c r="F8" s="6">
        <v>28.516999999999999</v>
      </c>
      <c r="G8" s="6">
        <v>33.020000000000003</v>
      </c>
      <c r="H8" s="6">
        <v>38.073</v>
      </c>
      <c r="I8" s="6">
        <v>45.54</v>
      </c>
      <c r="J8" s="6">
        <v>66.957999999999998</v>
      </c>
      <c r="K8" s="6">
        <v>79.498000000000005</v>
      </c>
      <c r="L8" s="23">
        <f t="shared" ref="L8:T8" si="7">K8/J8*K8</f>
        <v>94.386511006899852</v>
      </c>
      <c r="M8" s="23">
        <f t="shared" si="7"/>
        <v>112.06336587153923</v>
      </c>
      <c r="N8" s="23">
        <f t="shared" si="7"/>
        <v>133.05077003577804</v>
      </c>
      <c r="O8" s="23">
        <f t="shared" si="7"/>
        <v>157.96872840144991</v>
      </c>
      <c r="P8" s="23">
        <f t="shared" si="7"/>
        <v>187.55336136770012</v>
      </c>
      <c r="Q8" s="23">
        <f t="shared" si="7"/>
        <v>222.67865112472631</v>
      </c>
      <c r="R8" s="23">
        <f t="shared" si="7"/>
        <v>264.38226062775908</v>
      </c>
      <c r="S8" s="23">
        <f t="shared" si="7"/>
        <v>313.89618798927074</v>
      </c>
      <c r="T8" s="30">
        <f t="shared" si="7"/>
        <v>372.68316187417554</v>
      </c>
    </row>
    <row r="9" spans="1:20" x14ac:dyDescent="0.25">
      <c r="A9" s="246"/>
      <c r="B9" s="12" t="s">
        <v>1</v>
      </c>
      <c r="C9" s="20">
        <f t="shared" si="4"/>
        <v>22.386801069553339</v>
      </c>
      <c r="D9" s="2">
        <v>25.228458414999999</v>
      </c>
      <c r="E9" s="2">
        <v>26.817808304</v>
      </c>
      <c r="F9" s="2">
        <v>28.880581561</v>
      </c>
      <c r="G9" s="2">
        <v>30.548835343</v>
      </c>
      <c r="H9" s="2">
        <v>36.312305434999999</v>
      </c>
      <c r="I9" s="2">
        <v>42.255515997000003</v>
      </c>
      <c r="J9" s="2">
        <v>46.053373796999999</v>
      </c>
      <c r="K9" s="2">
        <v>48.316743596999999</v>
      </c>
      <c r="L9" s="24">
        <f t="shared" ref="L9:T9" si="8">K9/J9*K9</f>
        <v>50.691350477569458</v>
      </c>
      <c r="M9" s="24">
        <f t="shared" si="8"/>
        <v>53.182661370401817</v>
      </c>
      <c r="N9" s="24">
        <f t="shared" si="8"/>
        <v>55.796411888658866</v>
      </c>
      <c r="O9" s="24">
        <f t="shared" si="8"/>
        <v>58.538619531769221</v>
      </c>
      <c r="P9" s="24">
        <f t="shared" si="8"/>
        <v>61.415597539198671</v>
      </c>
      <c r="Q9" s="24">
        <f t="shared" si="8"/>
        <v>64.433969425087128</v>
      </c>
      <c r="R9" s="24">
        <f t="shared" si="8"/>
        <v>67.600684227214515</v>
      </c>
      <c r="S9" s="24">
        <f t="shared" si="8"/>
        <v>70.923032505402574</v>
      </c>
      <c r="T9" s="28">
        <f t="shared" si="8"/>
        <v>74.408663126184663</v>
      </c>
    </row>
    <row r="10" spans="1:20" ht="15.75" thickBot="1" x14ac:dyDescent="0.3">
      <c r="A10" s="247"/>
      <c r="B10" s="13" t="s">
        <v>2</v>
      </c>
      <c r="C10" s="21">
        <f t="shared" si="4"/>
        <v>17.4335009344131</v>
      </c>
      <c r="D10" s="9">
        <v>19.838000000000001</v>
      </c>
      <c r="E10" s="9">
        <v>21.518999999999998</v>
      </c>
      <c r="F10" s="9">
        <v>23.26</v>
      </c>
      <c r="G10" s="9">
        <v>25</v>
      </c>
      <c r="H10" s="9">
        <v>28.053999999999998</v>
      </c>
      <c r="I10" s="9">
        <v>30.04</v>
      </c>
      <c r="J10" s="9">
        <v>32.085999999999999</v>
      </c>
      <c r="K10" s="9">
        <v>29.536000000000001</v>
      </c>
      <c r="L10" s="9">
        <v>31.030999999999999</v>
      </c>
      <c r="M10" s="9">
        <v>32.68</v>
      </c>
      <c r="N10" s="9">
        <v>34.366999999999997</v>
      </c>
      <c r="O10" s="9">
        <v>36.052999999999997</v>
      </c>
      <c r="P10" s="9">
        <v>37.74</v>
      </c>
      <c r="Q10" s="25">
        <f t="shared" ref="Q10:T10" si="9">P10/O10*P10</f>
        <v>39.505938479460802</v>
      </c>
      <c r="R10" s="25">
        <f t="shared" si="9"/>
        <v>41.354509145281966</v>
      </c>
      <c r="S10" s="25">
        <f t="shared" si="9"/>
        <v>43.289578541118395</v>
      </c>
      <c r="T10" s="29">
        <f t="shared" si="9"/>
        <v>45.315194134796229</v>
      </c>
    </row>
    <row r="11" spans="1:20" x14ac:dyDescent="0.25">
      <c r="A11" s="245">
        <v>350</v>
      </c>
      <c r="B11" s="18" t="s">
        <v>0</v>
      </c>
      <c r="C11" s="19">
        <f t="shared" si="4"/>
        <v>25.045528650254678</v>
      </c>
      <c r="D11" s="6">
        <v>27.981000000000002</v>
      </c>
      <c r="E11" s="6">
        <v>30.219000000000001</v>
      </c>
      <c r="F11" s="6">
        <v>33.404000000000003</v>
      </c>
      <c r="G11" s="6">
        <v>38.020000000000003</v>
      </c>
      <c r="H11" s="6">
        <v>46.576999999999998</v>
      </c>
      <c r="I11" s="6">
        <v>52.779000000000003</v>
      </c>
      <c r="J11" s="6">
        <v>74.414000000000001</v>
      </c>
      <c r="K11" s="6">
        <v>87.191999999999993</v>
      </c>
      <c r="L11" s="6">
        <v>104.687</v>
      </c>
      <c r="M11" s="23">
        <f t="shared" ref="M11:T11" si="10">L11/K11*L11</f>
        <v>125.69235674144417</v>
      </c>
      <c r="N11" s="23">
        <f t="shared" si="10"/>
        <v>150.91242029304945</v>
      </c>
      <c r="O11" s="23">
        <f t="shared" si="10"/>
        <v>181.19286796057517</v>
      </c>
      <c r="P11" s="23">
        <f t="shared" si="10"/>
        <v>217.54906147569426</v>
      </c>
      <c r="Q11" s="23">
        <f t="shared" si="10"/>
        <v>261.20009403048454</v>
      </c>
      <c r="R11" s="23">
        <f t="shared" si="10"/>
        <v>313.60966882018232</v>
      </c>
      <c r="S11" s="23">
        <f t="shared" si="10"/>
        <v>376.53517983047101</v>
      </c>
      <c r="T11" s="30">
        <f t="shared" si="10"/>
        <v>452.08664064263377</v>
      </c>
    </row>
    <row r="12" spans="1:20" x14ac:dyDescent="0.25">
      <c r="A12" s="246"/>
      <c r="B12" s="12" t="s">
        <v>1</v>
      </c>
      <c r="C12" s="20">
        <f t="shared" si="4"/>
        <v>28.860731345785943</v>
      </c>
      <c r="D12" s="2">
        <v>32.524153777999999</v>
      </c>
      <c r="E12" s="2">
        <v>34.677102916000003</v>
      </c>
      <c r="F12" s="2">
        <v>35.797011500000004</v>
      </c>
      <c r="G12" s="2">
        <v>36.424260594000003</v>
      </c>
      <c r="H12" s="2">
        <v>40.361403543999998</v>
      </c>
      <c r="I12" s="2">
        <v>42.210009085999999</v>
      </c>
      <c r="J12" s="2">
        <v>45.557788637000002</v>
      </c>
      <c r="K12" s="2">
        <v>47.552929984000002</v>
      </c>
      <c r="L12" s="2">
        <v>64.163117803999995</v>
      </c>
      <c r="M12" s="24">
        <f t="shared" ref="M12:T12" si="11">L12/K12*L12</f>
        <v>86.57522654682235</v>
      </c>
      <c r="N12" s="24">
        <f t="shared" si="11"/>
        <v>116.81586101425935</v>
      </c>
      <c r="O12" s="24">
        <f t="shared" si="11"/>
        <v>157.61951690790715</v>
      </c>
      <c r="P12" s="24">
        <f t="shared" si="11"/>
        <v>212.67584636686803</v>
      </c>
      <c r="Q12" s="24">
        <f t="shared" si="11"/>
        <v>286.96329309454057</v>
      </c>
      <c r="R12" s="24">
        <f t="shared" si="11"/>
        <v>387.19926588001988</v>
      </c>
      <c r="S12" s="24">
        <f t="shared" si="11"/>
        <v>522.44755725128175</v>
      </c>
      <c r="T12" s="28">
        <f t="shared" si="11"/>
        <v>704.93793281728438</v>
      </c>
    </row>
    <row r="13" spans="1:20" ht="15.75" thickBot="1" x14ac:dyDescent="0.3">
      <c r="A13" s="247"/>
      <c r="B13" s="13" t="s">
        <v>2</v>
      </c>
      <c r="C13" s="21">
        <f t="shared" si="4"/>
        <v>23.103475126813205</v>
      </c>
      <c r="D13" s="9">
        <v>26.29</v>
      </c>
      <c r="E13" s="9">
        <v>28.064</v>
      </c>
      <c r="F13" s="9">
        <v>29.901</v>
      </c>
      <c r="G13" s="9">
        <v>31.738</v>
      </c>
      <c r="H13" s="9">
        <v>36.433999999999997</v>
      </c>
      <c r="I13" s="9">
        <v>38.529000000000003</v>
      </c>
      <c r="J13" s="9">
        <v>40.69</v>
      </c>
      <c r="K13" s="9">
        <v>37.997999999999998</v>
      </c>
      <c r="L13" s="9">
        <v>39.576000000000001</v>
      </c>
      <c r="M13" s="9">
        <v>41.316000000000003</v>
      </c>
      <c r="N13" s="9">
        <v>43.097000000000001</v>
      </c>
      <c r="O13" s="9">
        <v>44.877000000000002</v>
      </c>
      <c r="P13" s="9">
        <v>46.658000000000001</v>
      </c>
      <c r="Q13" s="25">
        <f t="shared" ref="Q13:T13" si="12">P13/O13*P13</f>
        <v>48.509681217550188</v>
      </c>
      <c r="R13" s="25">
        <f t="shared" si="12"/>
        <v>50.4348487253706</v>
      </c>
      <c r="S13" s="25">
        <f t="shared" si="12"/>
        <v>52.436418919008425</v>
      </c>
      <c r="T13" s="29">
        <f t="shared" si="12"/>
        <v>54.51742393482396</v>
      </c>
    </row>
    <row r="14" spans="1:20" x14ac:dyDescent="0.25">
      <c r="A14" s="245">
        <v>400</v>
      </c>
      <c r="B14" s="18" t="s">
        <v>0</v>
      </c>
      <c r="C14" s="19">
        <f t="shared" si="4"/>
        <v>29.558348515261354</v>
      </c>
      <c r="D14" s="23">
        <f t="shared" si="4"/>
        <v>33.022746748734242</v>
      </c>
      <c r="E14" s="6">
        <v>35.664000000000001</v>
      </c>
      <c r="F14" s="6">
        <v>38.942999999999998</v>
      </c>
      <c r="G14" s="6">
        <v>43.673000000000002</v>
      </c>
      <c r="H14" s="6">
        <v>51.643999999999998</v>
      </c>
      <c r="I14" s="6">
        <v>57.944000000000003</v>
      </c>
      <c r="J14" s="6">
        <v>79.724000000000004</v>
      </c>
      <c r="K14" s="6">
        <v>92.668999999999997</v>
      </c>
      <c r="L14" s="6">
        <v>110.399</v>
      </c>
      <c r="M14" s="23">
        <f t="shared" ref="M14:P14" si="13">L14/K14*L14</f>
        <v>131.52121206660263</v>
      </c>
      <c r="N14" s="23">
        <f t="shared" si="13"/>
        <v>156.68465496488429</v>
      </c>
      <c r="O14" s="23">
        <f t="shared" si="13"/>
        <v>186.66252170054989</v>
      </c>
      <c r="P14" s="23">
        <f t="shared" si="13"/>
        <v>222.37593729530914</v>
      </c>
      <c r="Q14" s="23">
        <f t="shared" ref="Q14:T14" si="14">P14/O14*P14</f>
        <v>264.9222620451805</v>
      </c>
      <c r="R14" s="23">
        <f t="shared" si="14"/>
        <v>315.60880993132417</v>
      </c>
      <c r="S14" s="23">
        <f t="shared" si="14"/>
        <v>375.9930182435146</v>
      </c>
      <c r="T14" s="30">
        <f t="shared" si="14"/>
        <v>447.93030270172073</v>
      </c>
    </row>
    <row r="15" spans="1:20" x14ac:dyDescent="0.25">
      <c r="A15" s="246"/>
      <c r="B15" s="12" t="s">
        <v>1</v>
      </c>
      <c r="C15" s="20">
        <f t="shared" si="4"/>
        <v>27.669301025239285</v>
      </c>
      <c r="D15" s="24">
        <f t="shared" si="4"/>
        <v>31.18148984835258</v>
      </c>
      <c r="E15" s="2">
        <v>33.245560820000001</v>
      </c>
      <c r="F15" s="2">
        <v>35.499957823000003</v>
      </c>
      <c r="G15" s="2">
        <v>37.269659470999997</v>
      </c>
      <c r="H15" s="2">
        <v>41.342066240000001</v>
      </c>
      <c r="I15" s="2">
        <v>43.269575678000002</v>
      </c>
      <c r="J15" s="2">
        <v>46.775163018000001</v>
      </c>
      <c r="K15" s="2">
        <v>48.871752231999999</v>
      </c>
      <c r="L15" s="2">
        <v>51.148693205000001</v>
      </c>
      <c r="M15" s="24">
        <f t="shared" ref="M15:P15" si="15">L15/K15*L15</f>
        <v>53.531717139173864</v>
      </c>
      <c r="N15" s="24">
        <f t="shared" si="15"/>
        <v>56.025766452785781</v>
      </c>
      <c r="O15" s="24">
        <f t="shared" si="15"/>
        <v>58.63601383197733</v>
      </c>
      <c r="P15" s="24">
        <f t="shared" si="15"/>
        <v>61.367872958976349</v>
      </c>
      <c r="Q15" s="24">
        <f t="shared" ref="Q15:T15" si="16">P15/O15*P15</f>
        <v>64.227009740134349</v>
      </c>
      <c r="R15" s="24">
        <f t="shared" si="16"/>
        <v>67.219354057079599</v>
      </c>
      <c r="S15" s="24">
        <f t="shared" si="16"/>
        <v>70.351112065357881</v>
      </c>
      <c r="T15" s="28">
        <f t="shared" si="16"/>
        <v>73.628779066068418</v>
      </c>
    </row>
    <row r="16" spans="1:20" ht="15.75" thickBot="1" x14ac:dyDescent="0.3">
      <c r="A16" s="247"/>
      <c r="B16" s="13" t="s">
        <v>2</v>
      </c>
      <c r="C16" s="21">
        <f t="shared" si="4"/>
        <v>23.146423801351048</v>
      </c>
      <c r="D16" s="25">
        <f t="shared" si="4"/>
        <v>26.338872329699416</v>
      </c>
      <c r="E16" s="25">
        <f t="shared" si="4"/>
        <v>28.116170143046194</v>
      </c>
      <c r="F16" s="25">
        <f t="shared" si="4"/>
        <v>29.956585071523097</v>
      </c>
      <c r="G16" s="9">
        <v>31.797000000000001</v>
      </c>
      <c r="H16" s="9">
        <v>36.162999999999997</v>
      </c>
      <c r="I16" s="9">
        <v>38.369</v>
      </c>
      <c r="J16" s="9">
        <v>40.643000000000001</v>
      </c>
      <c r="K16" s="9">
        <v>37.81</v>
      </c>
      <c r="L16" s="9">
        <v>39.470999999999997</v>
      </c>
      <c r="M16" s="9">
        <v>41.302999999999997</v>
      </c>
      <c r="N16" s="9">
        <v>43.177</v>
      </c>
      <c r="O16" s="9">
        <v>45.051000000000002</v>
      </c>
      <c r="P16" s="9">
        <v>46.924999999999997</v>
      </c>
      <c r="Q16" s="25">
        <f t="shared" ref="Q16:T16" si="17">P16/O16*P16</f>
        <v>48.876953341768214</v>
      </c>
      <c r="R16" s="25">
        <f t="shared" si="17"/>
        <v>50.910102673913414</v>
      </c>
      <c r="S16" s="25">
        <f t="shared" si="17"/>
        <v>53.027825530474061</v>
      </c>
      <c r="T16" s="29">
        <f t="shared" si="17"/>
        <v>55.233639941788091</v>
      </c>
    </row>
    <row r="17" spans="1:20" x14ac:dyDescent="0.25">
      <c r="A17" s="245">
        <v>450</v>
      </c>
      <c r="B17" s="18" t="s">
        <v>0</v>
      </c>
      <c r="C17" s="19">
        <f t="shared" si="4"/>
        <v>33.641020811867946</v>
      </c>
      <c r="D17" s="23">
        <f t="shared" ref="D17" si="18">D14/E14*E17</f>
        <v>37.583930308746162</v>
      </c>
      <c r="E17" s="6">
        <v>40.590000000000003</v>
      </c>
      <c r="F17" s="6">
        <v>44.487000000000002</v>
      </c>
      <c r="G17" s="6">
        <v>49.332000000000001</v>
      </c>
      <c r="H17" s="6">
        <v>54.670999999999999</v>
      </c>
      <c r="I17" s="6">
        <v>65.16</v>
      </c>
      <c r="J17" s="6">
        <v>87.203999999999994</v>
      </c>
      <c r="K17" s="23">
        <f t="shared" ref="K17:T17" si="19">J17/I17*J17</f>
        <v>116.70561104972374</v>
      </c>
      <c r="L17" s="23">
        <f t="shared" si="19"/>
        <v>156.18778554297282</v>
      </c>
      <c r="M17" s="23">
        <f t="shared" si="19"/>
        <v>209.02700507196747</v>
      </c>
      <c r="N17" s="23">
        <f t="shared" si="19"/>
        <v>279.7420342279903</v>
      </c>
      <c r="O17" s="23">
        <f t="shared" si="19"/>
        <v>374.38036146129014</v>
      </c>
      <c r="P17" s="23">
        <f>O17/N17*O17</f>
        <v>501.03537509009118</v>
      </c>
      <c r="Q17" s="23">
        <f t="shared" si="19"/>
        <v>670.53850290602065</v>
      </c>
      <c r="R17" s="23">
        <f t="shared" si="19"/>
        <v>897.38550655949382</v>
      </c>
      <c r="S17" s="23">
        <f t="shared" si="19"/>
        <v>1200.9761466239117</v>
      </c>
      <c r="T17" s="30">
        <f t="shared" si="19"/>
        <v>1607.2732334283546</v>
      </c>
    </row>
    <row r="18" spans="1:20" x14ac:dyDescent="0.25">
      <c r="A18" s="246"/>
      <c r="B18" s="12" t="s">
        <v>1</v>
      </c>
      <c r="C18" s="20">
        <f t="shared" si="4"/>
        <v>38.967339998572982</v>
      </c>
      <c r="D18" s="24">
        <f t="shared" ref="D18" si="20">D15/E15*E18</f>
        <v>43.913639722031938</v>
      </c>
      <c r="E18" s="2">
        <v>46.820520356999999</v>
      </c>
      <c r="F18" s="2">
        <v>49.378000356999998</v>
      </c>
      <c r="G18" s="2">
        <v>51.935480357000003</v>
      </c>
      <c r="H18" s="2">
        <v>63.720697293000001</v>
      </c>
      <c r="I18" s="2">
        <v>70.114397292999996</v>
      </c>
      <c r="J18" s="2">
        <v>76.508097293000006</v>
      </c>
      <c r="K18" s="24">
        <f t="shared" ref="K18:T18" si="21">J18/I18*J18</f>
        <v>83.484835888043051</v>
      </c>
      <c r="L18" s="24">
        <f t="shared" si="21"/>
        <v>91.097780102435834</v>
      </c>
      <c r="M18" s="24">
        <f t="shared" si="21"/>
        <v>99.404945237250374</v>
      </c>
      <c r="N18" s="24">
        <f t="shared" si="21"/>
        <v>108.46963698247716</v>
      </c>
      <c r="O18" s="24">
        <f t="shared" si="21"/>
        <v>118.36093384518446</v>
      </c>
      <c r="P18" s="24">
        <f t="shared" si="21"/>
        <v>129.15421357008213</v>
      </c>
      <c r="Q18" s="24">
        <f t="shared" si="21"/>
        <v>140.93172756413708</v>
      </c>
      <c r="R18" s="24">
        <f t="shared" si="21"/>
        <v>153.78322770270825</v>
      </c>
      <c r="S18" s="24">
        <f t="shared" si="21"/>
        <v>167.80665029384804</v>
      </c>
      <c r="T18" s="28">
        <f t="shared" si="21"/>
        <v>183.1088624129971</v>
      </c>
    </row>
    <row r="19" spans="1:20" ht="15.75" thickBot="1" x14ac:dyDescent="0.3">
      <c r="A19" s="247"/>
      <c r="B19" s="13" t="s">
        <v>2</v>
      </c>
      <c r="C19" s="21">
        <f t="shared" si="4"/>
        <v>29.352708296982783</v>
      </c>
      <c r="D19" s="25">
        <f t="shared" ref="D19" si="22">D16/E16*E19</f>
        <v>33.401152722348918</v>
      </c>
      <c r="E19" s="9">
        <v>35.655000000000001</v>
      </c>
      <c r="F19" s="9">
        <v>37.686</v>
      </c>
      <c r="G19" s="9">
        <v>46.624000000000002</v>
      </c>
      <c r="H19" s="9">
        <v>48.655000000000001</v>
      </c>
      <c r="I19" s="25">
        <f t="shared" ref="I19:J19" si="23">H19/G19*H19</f>
        <v>50.774472910947154</v>
      </c>
      <c r="J19" s="25">
        <f t="shared" si="23"/>
        <v>52.986272723964781</v>
      </c>
      <c r="K19" s="25">
        <f t="shared" ref="K19:T19" si="24">J19/I19*J19</f>
        <v>55.294421314870164</v>
      </c>
      <c r="L19" s="25">
        <f t="shared" si="24"/>
        <v>57.703115757442689</v>
      </c>
      <c r="M19" s="25">
        <f t="shared" si="24"/>
        <v>60.216735955267119</v>
      </c>
      <c r="N19" s="25">
        <f t="shared" si="24"/>
        <v>62.839852606029552</v>
      </c>
      <c r="O19" s="25">
        <f t="shared" si="24"/>
        <v>65.577235512748118</v>
      </c>
      <c r="P19" s="25">
        <f t="shared" si="24"/>
        <v>68.433862257051302</v>
      </c>
      <c r="Q19" s="25">
        <f t="shared" si="24"/>
        <v>71.414927250275213</v>
      </c>
      <c r="R19" s="25">
        <f t="shared" si="24"/>
        <v>74.525851178837954</v>
      </c>
      <c r="S19" s="25">
        <f t="shared" si="24"/>
        <v>77.772290861066423</v>
      </c>
      <c r="T19" s="29">
        <f t="shared" si="24"/>
        <v>81.160149533398823</v>
      </c>
    </row>
    <row r="20" spans="1:20" x14ac:dyDescent="0.25">
      <c r="A20" s="245">
        <v>500</v>
      </c>
      <c r="B20" s="18" t="s">
        <v>0</v>
      </c>
      <c r="C20" s="19">
        <f t="shared" si="4"/>
        <v>39.856591963780431</v>
      </c>
      <c r="D20" s="6">
        <v>44.527999999999999</v>
      </c>
      <c r="E20" s="6">
        <v>47.048000000000002</v>
      </c>
      <c r="F20" s="6">
        <v>50.515999999999998</v>
      </c>
      <c r="G20" s="6">
        <v>55.475999999999999</v>
      </c>
      <c r="H20" s="6">
        <v>60.91</v>
      </c>
      <c r="I20" s="6">
        <v>76.950999999999993</v>
      </c>
      <c r="J20" s="6">
        <v>99.14</v>
      </c>
      <c r="K20" s="6">
        <v>112.538</v>
      </c>
      <c r="L20" s="6">
        <v>130.857</v>
      </c>
      <c r="M20" s="6">
        <v>152.12799999999999</v>
      </c>
      <c r="N20" s="6">
        <v>180.31700000000001</v>
      </c>
      <c r="O20" s="23">
        <f t="shared" ref="O20:T20" si="25">N20/M20*N20</f>
        <v>213.72936270114644</v>
      </c>
      <c r="P20" s="23">
        <f t="shared" si="25"/>
        <v>253.33296627959766</v>
      </c>
      <c r="Q20" s="23">
        <f t="shared" si="25"/>
        <v>300.27503471180995</v>
      </c>
      <c r="R20" s="23">
        <f t="shared" si="25"/>
        <v>355.91537017596664</v>
      </c>
      <c r="S20" s="23">
        <f t="shared" si="25"/>
        <v>421.86574334783734</v>
      </c>
      <c r="T20" s="30">
        <f t="shared" si="25"/>
        <v>500.03658263601716</v>
      </c>
    </row>
    <row r="21" spans="1:20" x14ac:dyDescent="0.25">
      <c r="A21" s="246"/>
      <c r="B21" s="12" t="s">
        <v>1</v>
      </c>
      <c r="C21" s="20">
        <f t="shared" si="4"/>
        <v>34.932755691384685</v>
      </c>
      <c r="D21" s="2">
        <v>39.366927482999998</v>
      </c>
      <c r="E21" s="2">
        <v>41.283164935999999</v>
      </c>
      <c r="F21" s="2">
        <v>43.763001637999999</v>
      </c>
      <c r="G21" s="2">
        <v>44.263040357000001</v>
      </c>
      <c r="H21" s="2">
        <v>49.406065063</v>
      </c>
      <c r="I21" s="2">
        <v>52.393141092</v>
      </c>
      <c r="J21" s="2">
        <v>54.523546260000003</v>
      </c>
      <c r="K21" s="2">
        <v>58.389837120000003</v>
      </c>
      <c r="L21" s="2">
        <v>62.932447082000003</v>
      </c>
      <c r="M21" s="2">
        <v>89.295497292999997</v>
      </c>
      <c r="N21" s="2">
        <v>95.689197293000007</v>
      </c>
      <c r="O21" s="24">
        <f t="shared" ref="O21:T21" si="26">N21/M21*N21</f>
        <v>102.54069640862468</v>
      </c>
      <c r="P21" s="24">
        <f t="shared" si="26"/>
        <v>109.88277378657573</v>
      </c>
      <c r="Q21" s="24">
        <f t="shared" si="26"/>
        <v>117.75055561272951</v>
      </c>
      <c r="R21" s="24">
        <f t="shared" si="26"/>
        <v>126.18168316388463</v>
      </c>
      <c r="S21" s="24">
        <f t="shared" si="26"/>
        <v>135.21649289228259</v>
      </c>
      <c r="T21" s="28">
        <f t="shared" si="26"/>
        <v>144.89820940446737</v>
      </c>
    </row>
    <row r="22" spans="1:20" ht="15.75" thickBot="1" x14ac:dyDescent="0.3">
      <c r="A22" s="247"/>
      <c r="B22" s="13" t="s">
        <v>2</v>
      </c>
      <c r="C22" s="21">
        <f t="shared" si="4"/>
        <v>29.939607991456793</v>
      </c>
      <c r="D22" s="9">
        <v>34.069000000000003</v>
      </c>
      <c r="E22" s="9">
        <v>36.122999999999998</v>
      </c>
      <c r="F22" s="9">
        <v>38.25</v>
      </c>
      <c r="G22" s="9">
        <v>40.377000000000002</v>
      </c>
      <c r="H22" s="9">
        <v>49.412999999999997</v>
      </c>
      <c r="I22" s="9">
        <v>51.84</v>
      </c>
      <c r="J22" s="9">
        <v>54.341000000000001</v>
      </c>
      <c r="K22" s="9">
        <v>51.223999999999997</v>
      </c>
      <c r="L22" s="9">
        <v>53.052</v>
      </c>
      <c r="M22" s="9">
        <v>55.067</v>
      </c>
      <c r="N22" s="9">
        <v>57.128</v>
      </c>
      <c r="O22" s="9">
        <v>59.19</v>
      </c>
      <c r="P22" s="9">
        <v>61.250999999999998</v>
      </c>
      <c r="Q22" s="25">
        <f t="shared" ref="Q22:T22" si="27">P22/O22*P22</f>
        <v>63.383764166244291</v>
      </c>
      <c r="R22" s="25">
        <f t="shared" si="27"/>
        <v>65.590791332093744</v>
      </c>
      <c r="S22" s="25">
        <f t="shared" si="27"/>
        <v>67.874667340464157</v>
      </c>
      <c r="T22" s="29">
        <f t="shared" si="27"/>
        <v>70.238068073505147</v>
      </c>
    </row>
    <row r="23" spans="1:20" x14ac:dyDescent="0.25">
      <c r="A23" s="245">
        <v>600</v>
      </c>
      <c r="B23" s="18" t="s">
        <v>0</v>
      </c>
      <c r="C23" s="19">
        <f t="shared" si="4"/>
        <v>50.19314298360559</v>
      </c>
      <c r="D23" s="23">
        <f t="shared" ref="D23:E23" si="28">D20/E20*E23</f>
        <v>56.076050677013221</v>
      </c>
      <c r="E23" s="23">
        <f t="shared" si="28"/>
        <v>59.249596484282208</v>
      </c>
      <c r="F23" s="6">
        <v>63.616999999999997</v>
      </c>
      <c r="G23" s="6">
        <v>68.805000000000007</v>
      </c>
      <c r="H23" s="6">
        <v>81.247</v>
      </c>
      <c r="I23" s="6">
        <v>87.941000000000003</v>
      </c>
      <c r="J23" s="6">
        <v>110.473</v>
      </c>
      <c r="K23" s="6">
        <v>124.25700000000001</v>
      </c>
      <c r="L23" s="6">
        <v>143.1</v>
      </c>
      <c r="M23" s="6">
        <v>157.65799999999999</v>
      </c>
      <c r="N23" s="6">
        <v>193.15</v>
      </c>
      <c r="O23" s="6">
        <v>231.35300000000001</v>
      </c>
      <c r="P23" s="6">
        <v>286.66000000000003</v>
      </c>
      <c r="Q23" s="23">
        <f t="shared" ref="Q23:T23" si="29">P23/O23*P23</f>
        <v>355.1886320903555</v>
      </c>
      <c r="R23" s="23">
        <f t="shared" si="29"/>
        <v>440.09964545530556</v>
      </c>
      <c r="S23" s="23">
        <f t="shared" si="29"/>
        <v>545.30939458843363</v>
      </c>
      <c r="T23" s="30">
        <f t="shared" si="29"/>
        <v>675.6704734873565</v>
      </c>
    </row>
    <row r="24" spans="1:20" x14ac:dyDescent="0.25">
      <c r="A24" s="246"/>
      <c r="B24" s="12" t="s">
        <v>1</v>
      </c>
      <c r="C24" s="20">
        <f t="shared" si="4"/>
        <v>46.883910428316106</v>
      </c>
      <c r="D24" s="24">
        <f t="shared" ref="D24:E24" si="30">D21/E21*E24</f>
        <v>52.835096041569329</v>
      </c>
      <c r="E24" s="24">
        <f t="shared" si="30"/>
        <v>55.40691447752495</v>
      </c>
      <c r="F24" s="2">
        <v>58.735150097999998</v>
      </c>
      <c r="G24" s="2">
        <v>61.338978636999997</v>
      </c>
      <c r="H24" s="2">
        <v>69.786558146000004</v>
      </c>
      <c r="I24" s="2">
        <v>72.559466461</v>
      </c>
      <c r="J24" s="2">
        <v>77.575499792000002</v>
      </c>
      <c r="K24" s="2">
        <v>80.573847807000007</v>
      </c>
      <c r="L24" s="2">
        <v>83.200220315999999</v>
      </c>
      <c r="M24" s="2">
        <v>90.842626156999998</v>
      </c>
      <c r="N24" s="2">
        <v>98.733015667999993</v>
      </c>
      <c r="O24" s="2">
        <v>105.49620667799999</v>
      </c>
      <c r="P24" s="2">
        <v>138.86030391700001</v>
      </c>
      <c r="Q24" s="24">
        <f t="shared" ref="Q24:T24" si="31">P24/O24*P24</f>
        <v>182.77608845951696</v>
      </c>
      <c r="R24" s="24">
        <f t="shared" si="31"/>
        <v>240.58062362105557</v>
      </c>
      <c r="S24" s="24">
        <f t="shared" si="31"/>
        <v>316.66634815152867</v>
      </c>
      <c r="T24" s="28">
        <f t="shared" si="31"/>
        <v>416.81484793877178</v>
      </c>
    </row>
    <row r="25" spans="1:20" ht="15.75" thickBot="1" x14ac:dyDescent="0.3">
      <c r="A25" s="247"/>
      <c r="B25" s="13" t="s">
        <v>2</v>
      </c>
      <c r="C25" s="21">
        <f t="shared" si="4"/>
        <v>36.985787106204356</v>
      </c>
      <c r="D25" s="25">
        <f t="shared" ref="D25:E25" si="32">D22/E22*E25</f>
        <v>42.087016679738568</v>
      </c>
      <c r="E25" s="25">
        <f t="shared" si="32"/>
        <v>44.62441819607843</v>
      </c>
      <c r="F25" s="9">
        <v>47.252000000000002</v>
      </c>
      <c r="G25" s="9">
        <v>49.573</v>
      </c>
      <c r="H25" s="9">
        <v>59.069000000000003</v>
      </c>
      <c r="I25" s="9">
        <v>61.716000000000001</v>
      </c>
      <c r="J25" s="9">
        <v>64.444999999999993</v>
      </c>
      <c r="K25" s="9">
        <v>61.045000000000002</v>
      </c>
      <c r="L25" s="9">
        <v>63.039000000000001</v>
      </c>
      <c r="M25" s="9">
        <v>65.236999999999995</v>
      </c>
      <c r="N25" s="9">
        <v>67.486000000000004</v>
      </c>
      <c r="O25" s="9">
        <v>69.734999999999999</v>
      </c>
      <c r="P25" s="9">
        <v>71.983999999999995</v>
      </c>
      <c r="Q25" s="25">
        <f t="shared" ref="Q25:T25" si="33">P25/O25*P25</f>
        <v>74.305531741593171</v>
      </c>
      <c r="R25" s="25">
        <f t="shared" si="33"/>
        <v>76.701934421550774</v>
      </c>
      <c r="S25" s="25">
        <f t="shared" si="33"/>
        <v>79.175622677291329</v>
      </c>
      <c r="T25" s="29">
        <f t="shared" si="33"/>
        <v>81.729089019891575</v>
      </c>
    </row>
    <row r="26" spans="1:20" x14ac:dyDescent="0.25">
      <c r="A26" s="245">
        <v>700</v>
      </c>
      <c r="B26" s="18" t="s">
        <v>0</v>
      </c>
      <c r="C26" s="19">
        <f t="shared" si="4"/>
        <v>64.627182616325499</v>
      </c>
      <c r="D26" s="23">
        <f t="shared" ref="D26" si="34">D23/E23*E26</f>
        <v>72.201837782690021</v>
      </c>
      <c r="E26" s="6">
        <v>76.287999999999997</v>
      </c>
      <c r="F26" s="6">
        <v>80.135000000000005</v>
      </c>
      <c r="G26" s="6">
        <v>85.551000000000002</v>
      </c>
      <c r="H26" s="6">
        <v>105.001</v>
      </c>
      <c r="I26" s="6">
        <v>111.892</v>
      </c>
      <c r="J26" s="6">
        <v>134.80500000000001</v>
      </c>
      <c r="K26" s="6">
        <v>149.01499999999999</v>
      </c>
      <c r="L26" s="6">
        <v>168.422</v>
      </c>
      <c r="M26" s="6">
        <v>190.833</v>
      </c>
      <c r="N26" s="6">
        <v>219.78700000000001</v>
      </c>
      <c r="O26" s="6">
        <v>258.93099999999998</v>
      </c>
      <c r="P26" s="6">
        <v>315.55799999999999</v>
      </c>
      <c r="Q26" s="6">
        <v>354.01799999999997</v>
      </c>
      <c r="R26" s="6">
        <v>441.21699999999998</v>
      </c>
      <c r="S26" s="6">
        <v>479.11599999999999</v>
      </c>
      <c r="T26" s="30">
        <f t="shared" ref="T26:T31" si="35">S26/R26*S26</f>
        <v>520.27039179360725</v>
      </c>
    </row>
    <row r="27" spans="1:20" x14ac:dyDescent="0.25">
      <c r="A27" s="246"/>
      <c r="B27" s="12" t="s">
        <v>1</v>
      </c>
      <c r="C27" s="20">
        <f t="shared" si="4"/>
        <v>57.354311716026395</v>
      </c>
      <c r="D27" s="24">
        <f t="shared" ref="D27" si="36">D24/E24*E27</f>
        <v>64.634552455849771</v>
      </c>
      <c r="E27" s="2">
        <v>67.780725095999998</v>
      </c>
      <c r="F27" s="2">
        <v>70.542361424000006</v>
      </c>
      <c r="G27" s="2">
        <v>75.294796812000001</v>
      </c>
      <c r="H27" s="2">
        <v>86.349482625999997</v>
      </c>
      <c r="I27" s="2">
        <v>89.280198729999995</v>
      </c>
      <c r="J27" s="2">
        <v>94.578031687999996</v>
      </c>
      <c r="K27" s="2">
        <v>97.734187492000004</v>
      </c>
      <c r="L27" s="2">
        <v>123.085619455</v>
      </c>
      <c r="M27" s="2">
        <v>148.66041945500001</v>
      </c>
      <c r="N27" s="2">
        <v>172.95647945499999</v>
      </c>
      <c r="O27" s="2">
        <v>212.59741945499999</v>
      </c>
      <c r="P27" s="2">
        <v>314.89661945500001</v>
      </c>
      <c r="Q27" s="2">
        <v>378.83361945500002</v>
      </c>
      <c r="R27" s="2">
        <v>442.77061945499997</v>
      </c>
      <c r="S27" s="2">
        <v>506.70761945499999</v>
      </c>
      <c r="T27" s="28">
        <f t="shared" si="35"/>
        <v>579.87725547324305</v>
      </c>
    </row>
    <row r="28" spans="1:20" ht="15.75" thickBot="1" x14ac:dyDescent="0.3">
      <c r="A28" s="247"/>
      <c r="B28" s="13" t="s">
        <v>2</v>
      </c>
      <c r="C28" s="21">
        <f t="shared" si="4"/>
        <v>55.987887479746924</v>
      </c>
      <c r="D28" s="25">
        <f t="shared" ref="D28" si="37">D25/E25*E28</f>
        <v>63.709963707333287</v>
      </c>
      <c r="E28" s="9">
        <v>67.551000000000002</v>
      </c>
      <c r="F28" s="9">
        <v>70.064999999999998</v>
      </c>
      <c r="G28" s="9">
        <v>72.578999999999994</v>
      </c>
      <c r="H28" s="9">
        <v>75.093000000000004</v>
      </c>
      <c r="I28" s="9">
        <v>77.960999999999999</v>
      </c>
      <c r="J28" s="9">
        <v>80.917000000000002</v>
      </c>
      <c r="K28" s="9">
        <v>77.233000000000004</v>
      </c>
      <c r="L28" s="9">
        <v>79.393000000000001</v>
      </c>
      <c r="M28" s="9">
        <v>81.774000000000001</v>
      </c>
      <c r="N28" s="9">
        <v>84.210999999999999</v>
      </c>
      <c r="O28" s="9">
        <v>86.647000000000006</v>
      </c>
      <c r="P28" s="9">
        <v>89.084000000000003</v>
      </c>
      <c r="Q28" s="9">
        <v>91.744</v>
      </c>
      <c r="R28" s="9">
        <v>94.46</v>
      </c>
      <c r="S28" s="9">
        <v>97.176000000000002</v>
      </c>
      <c r="T28" s="29">
        <f t="shared" si="35"/>
        <v>99.970092907050599</v>
      </c>
    </row>
    <row r="29" spans="1:20" x14ac:dyDescent="0.25">
      <c r="A29" s="245">
        <v>800</v>
      </c>
      <c r="B29" s="18" t="s">
        <v>0</v>
      </c>
      <c r="C29" s="19">
        <f t="shared" si="4"/>
        <v>96.319814863328347</v>
      </c>
      <c r="D29" s="23">
        <f t="shared" ref="D29" si="38">D26/E26*E29</f>
        <v>107.60901785410645</v>
      </c>
      <c r="E29" s="6">
        <v>113.699</v>
      </c>
      <c r="F29" s="6">
        <v>117.735</v>
      </c>
      <c r="G29" s="6">
        <v>123.38</v>
      </c>
      <c r="H29" s="6">
        <v>143.02099999999999</v>
      </c>
      <c r="I29" s="6">
        <v>150.108</v>
      </c>
      <c r="J29" s="6">
        <v>173.494</v>
      </c>
      <c r="K29" s="6">
        <v>188.22</v>
      </c>
      <c r="L29" s="6">
        <v>208.279</v>
      </c>
      <c r="M29" s="6">
        <v>231.37100000000001</v>
      </c>
      <c r="N29" s="6">
        <v>261.14100000000002</v>
      </c>
      <c r="O29" s="23">
        <f t="shared" ref="O29:S29" si="39">N29/M29*N29</f>
        <v>294.74144072074722</v>
      </c>
      <c r="P29" s="23">
        <f t="shared" si="39"/>
        <v>332.66517658330844</v>
      </c>
      <c r="Q29" s="23">
        <f t="shared" si="39"/>
        <v>375.46847650804017</v>
      </c>
      <c r="R29" s="23">
        <f t="shared" si="39"/>
        <v>423.77918331937076</v>
      </c>
      <c r="S29" s="23">
        <f t="shared" si="39"/>
        <v>478.30592300333149</v>
      </c>
      <c r="T29" s="30">
        <f t="shared" si="35"/>
        <v>539.84849890009116</v>
      </c>
    </row>
    <row r="30" spans="1:20" x14ac:dyDescent="0.25">
      <c r="A30" s="246"/>
      <c r="B30" s="12" t="s">
        <v>1</v>
      </c>
      <c r="C30" s="20">
        <f t="shared" si="4"/>
        <v>91.797961632444739</v>
      </c>
      <c r="D30" s="24">
        <f t="shared" ref="D30" si="40">D27/E27*E30</f>
        <v>103.45028976809078</v>
      </c>
      <c r="E30" s="2">
        <v>108.485869948</v>
      </c>
      <c r="F30" s="2">
        <v>117.43704994799999</v>
      </c>
      <c r="G30" s="2">
        <v>130.224449948</v>
      </c>
      <c r="H30" s="2">
        <v>146.84806994799999</v>
      </c>
      <c r="I30" s="2">
        <v>162.19294994800001</v>
      </c>
      <c r="J30" s="2">
        <v>174.980349948</v>
      </c>
      <c r="K30" s="2">
        <v>187.76774994799999</v>
      </c>
      <c r="L30" s="2">
        <v>213.342549948</v>
      </c>
      <c r="M30" s="2">
        <v>238.91734994800001</v>
      </c>
      <c r="N30" s="2">
        <v>251.704749948</v>
      </c>
      <c r="O30" s="24">
        <f t="shared" ref="O30:S30" si="41">N30/M30*N30</f>
        <v>265.17656068165155</v>
      </c>
      <c r="P30" s="24">
        <f t="shared" si="41"/>
        <v>279.36941336814994</v>
      </c>
      <c r="Q30" s="24">
        <f t="shared" si="41"/>
        <v>294.32189981286149</v>
      </c>
      <c r="R30" s="24">
        <f t="shared" si="41"/>
        <v>310.07467734235496</v>
      </c>
      <c r="S30" s="24">
        <f t="shared" si="41"/>
        <v>326.67057935579436</v>
      </c>
      <c r="T30" s="28">
        <f t="shared" si="35"/>
        <v>344.15473179329399</v>
      </c>
    </row>
    <row r="31" spans="1:20" ht="15.75" thickBot="1" x14ac:dyDescent="0.3">
      <c r="A31" s="247"/>
      <c r="B31" s="13" t="s">
        <v>2</v>
      </c>
      <c r="C31" s="21">
        <f t="shared" si="4"/>
        <v>68.572750523853998</v>
      </c>
      <c r="D31" s="25">
        <f t="shared" ref="D31" si="42">D28/E28*E31</f>
        <v>78.030582039144051</v>
      </c>
      <c r="E31" s="9">
        <v>82.734999999999999</v>
      </c>
      <c r="F31" s="9">
        <v>85.441999999999993</v>
      </c>
      <c r="G31" s="9">
        <v>88.149000000000001</v>
      </c>
      <c r="H31" s="9">
        <v>115.497</v>
      </c>
      <c r="I31" s="9">
        <v>118.586</v>
      </c>
      <c r="J31" s="9">
        <v>121.77</v>
      </c>
      <c r="K31" s="9">
        <v>117.803</v>
      </c>
      <c r="L31" s="9">
        <v>120.129</v>
      </c>
      <c r="M31" s="9">
        <v>122.693</v>
      </c>
      <c r="N31" s="9">
        <v>125.31699999999999</v>
      </c>
      <c r="O31" s="25">
        <f t="shared" ref="O31:S31" si="43">N31/M31*N31</f>
        <v>127.99711873538017</v>
      </c>
      <c r="P31" s="25">
        <f t="shared" si="43"/>
        <v>130.73455640143803</v>
      </c>
      <c r="Q31" s="25">
        <f t="shared" si="43"/>
        <v>133.53053886170366</v>
      </c>
      <c r="R31" s="25">
        <f t="shared" si="43"/>
        <v>136.38631819689891</v>
      </c>
      <c r="S31" s="25">
        <f t="shared" si="43"/>
        <v>139.30317326563684</v>
      </c>
      <c r="T31" s="29">
        <f t="shared" si="35"/>
        <v>142.28241027711289</v>
      </c>
    </row>
    <row r="32" spans="1:20" x14ac:dyDescent="0.25">
      <c r="A32" s="245">
        <v>900</v>
      </c>
      <c r="B32" s="18" t="s">
        <v>0</v>
      </c>
      <c r="C32" s="19">
        <f t="shared" si="4"/>
        <v>125.14748562404655</v>
      </c>
      <c r="D32" s="23">
        <f t="shared" ref="D32:H32" si="44">D29/E29*E32</f>
        <v>139.81544746554346</v>
      </c>
      <c r="E32" s="23">
        <f t="shared" si="44"/>
        <v>147.72810753590747</v>
      </c>
      <c r="F32" s="23">
        <f t="shared" si="44"/>
        <v>152.97204672635701</v>
      </c>
      <c r="G32" s="23">
        <f t="shared" si="44"/>
        <v>160.30654542063047</v>
      </c>
      <c r="H32" s="23">
        <f t="shared" si="44"/>
        <v>185.82592342846482</v>
      </c>
      <c r="I32" s="6">
        <v>195.03399999999999</v>
      </c>
      <c r="J32" s="6">
        <v>218.85900000000001</v>
      </c>
      <c r="K32" s="6">
        <v>234.06800000000001</v>
      </c>
      <c r="L32" s="6">
        <v>254.74700000000001</v>
      </c>
      <c r="M32" s="6">
        <v>278.48599999999999</v>
      </c>
      <c r="N32" s="6">
        <v>309.03800000000001</v>
      </c>
      <c r="O32" s="6">
        <v>350.21199999999999</v>
      </c>
      <c r="P32" s="6">
        <v>398.44499999999999</v>
      </c>
      <c r="Q32" s="6">
        <v>437.30399999999997</v>
      </c>
      <c r="R32" s="6">
        <v>524.83600000000001</v>
      </c>
      <c r="S32" s="6">
        <v>587.10699999999997</v>
      </c>
      <c r="T32" s="7">
        <v>630.87900000000002</v>
      </c>
    </row>
    <row r="33" spans="1:20" x14ac:dyDescent="0.25">
      <c r="A33" s="246"/>
      <c r="B33" s="12" t="s">
        <v>1</v>
      </c>
      <c r="C33" s="20">
        <f t="shared" si="4"/>
        <v>99.972664446638191</v>
      </c>
      <c r="D33" s="24">
        <f t="shared" ref="D33:J33" si="45">D30/E30*E33</f>
        <v>112.66264437659929</v>
      </c>
      <c r="E33" s="24">
        <f t="shared" si="45"/>
        <v>118.14664814604987</v>
      </c>
      <c r="F33" s="24">
        <f t="shared" si="45"/>
        <v>127.89493992320821</v>
      </c>
      <c r="G33" s="24">
        <f t="shared" si="45"/>
        <v>141.82107103343444</v>
      </c>
      <c r="H33" s="24">
        <f t="shared" si="45"/>
        <v>159.92504147672852</v>
      </c>
      <c r="I33" s="2">
        <v>176.63639880900001</v>
      </c>
      <c r="J33" s="24">
        <f t="shared" si="45"/>
        <v>188.44016792448284</v>
      </c>
      <c r="K33" s="2">
        <v>202.211198809</v>
      </c>
      <c r="L33" s="2">
        <v>227.78599880900001</v>
      </c>
      <c r="M33" s="2">
        <v>253.36079880899999</v>
      </c>
      <c r="N33" s="2">
        <v>266.14819880900001</v>
      </c>
      <c r="O33" s="2">
        <v>291.72299880899999</v>
      </c>
      <c r="P33" s="2">
        <v>342.87259880900001</v>
      </c>
      <c r="Q33" s="2">
        <v>406.80959880900002</v>
      </c>
      <c r="R33" s="2">
        <v>445.17179880899999</v>
      </c>
      <c r="S33" s="2">
        <v>470.74659880899998</v>
      </c>
      <c r="T33" s="8">
        <v>496.32139880900002</v>
      </c>
    </row>
    <row r="34" spans="1:20" ht="15.75" thickBot="1" x14ac:dyDescent="0.3">
      <c r="A34" s="247"/>
      <c r="B34" s="13" t="s">
        <v>2</v>
      </c>
      <c r="C34" s="21">
        <f t="shared" si="4"/>
        <v>69.570042225082375</v>
      </c>
      <c r="D34" s="25">
        <f t="shared" ref="D34:F34" si="46">D31/E31*E34</f>
        <v>79.165424251468437</v>
      </c>
      <c r="E34" s="25">
        <f t="shared" si="46"/>
        <v>83.938261182770077</v>
      </c>
      <c r="F34" s="25">
        <f t="shared" si="46"/>
        <v>86.68463059138503</v>
      </c>
      <c r="G34" s="9">
        <v>89.430999999999997</v>
      </c>
      <c r="H34" s="9">
        <v>116.97199999999999</v>
      </c>
      <c r="I34" s="9">
        <v>120.28100000000001</v>
      </c>
      <c r="J34" s="9">
        <v>123.69199999999999</v>
      </c>
      <c r="K34" s="9">
        <v>119.44199999999999</v>
      </c>
      <c r="L34" s="9">
        <v>121.934</v>
      </c>
      <c r="M34" s="9">
        <v>124.682</v>
      </c>
      <c r="N34" s="9">
        <v>127.49299999999999</v>
      </c>
      <c r="O34" s="9">
        <v>130.304</v>
      </c>
      <c r="P34" s="9">
        <v>133.11500000000001</v>
      </c>
      <c r="Q34" s="9">
        <v>136.185</v>
      </c>
      <c r="R34" s="9">
        <v>139.31800000000001</v>
      </c>
      <c r="S34" s="9">
        <v>142.452</v>
      </c>
      <c r="T34" s="29">
        <f t="shared" ref="T34" si="47">S34/R34*S34</f>
        <v>145.65650026557947</v>
      </c>
    </row>
    <row r="35" spans="1:20" x14ac:dyDescent="0.25">
      <c r="A35" s="248">
        <v>1000</v>
      </c>
      <c r="B35" s="14" t="s">
        <v>0</v>
      </c>
      <c r="C35" s="22">
        <f>C32/C29*C32</f>
        <v>162.60302389746246</v>
      </c>
      <c r="D35" s="26">
        <f t="shared" ref="D35:T37" si="48">D32/D29*D32</f>
        <v>181.66097730297386</v>
      </c>
      <c r="E35" s="26">
        <f t="shared" si="48"/>
        <v>191.94182671915007</v>
      </c>
      <c r="F35" s="26">
        <f t="shared" si="48"/>
        <v>198.75523064212638</v>
      </c>
      <c r="G35" s="26">
        <f t="shared" si="48"/>
        <v>208.28488008345485</v>
      </c>
      <c r="H35" s="26">
        <f t="shared" si="48"/>
        <v>241.44198277205217</v>
      </c>
      <c r="I35" s="26">
        <f t="shared" si="48"/>
        <v>253.40595541876513</v>
      </c>
      <c r="J35" s="26">
        <f t="shared" si="48"/>
        <v>276.08598499659934</v>
      </c>
      <c r="K35" s="26">
        <f t="shared" si="48"/>
        <v>291.08399013919882</v>
      </c>
      <c r="L35" s="26">
        <f t="shared" si="48"/>
        <v>311.5822238871898</v>
      </c>
      <c r="M35" s="26">
        <f t="shared" si="48"/>
        <v>335.19521545915433</v>
      </c>
      <c r="N35" s="26">
        <f t="shared" si="48"/>
        <v>365.71999587962063</v>
      </c>
      <c r="O35" s="26">
        <f t="shared" si="48"/>
        <v>416.12215996529397</v>
      </c>
      <c r="P35" s="26">
        <f t="shared" si="48"/>
        <v>477.23185112296403</v>
      </c>
      <c r="Q35" s="26">
        <f t="shared" si="48"/>
        <v>509.32315328982065</v>
      </c>
      <c r="R35" s="26">
        <f t="shared" si="48"/>
        <v>649.99140528432179</v>
      </c>
      <c r="S35" s="26">
        <f t="shared" si="48"/>
        <v>720.65724648490107</v>
      </c>
      <c r="T35" s="27">
        <f t="shared" si="48"/>
        <v>737.25927450371353</v>
      </c>
    </row>
    <row r="36" spans="1:20" x14ac:dyDescent="0.25">
      <c r="A36" s="246"/>
      <c r="B36" s="12" t="s">
        <v>1</v>
      </c>
      <c r="C36" s="20">
        <f t="shared" ref="C36:R37" si="49">C33/C30*C33</f>
        <v>108.87533294669241</v>
      </c>
      <c r="D36" s="24">
        <f t="shared" si="49"/>
        <v>122.6953686295347</v>
      </c>
      <c r="E36" s="24">
        <f t="shared" si="49"/>
        <v>128.66772856997164</v>
      </c>
      <c r="F36" s="24">
        <f t="shared" si="49"/>
        <v>139.28411574714974</v>
      </c>
      <c r="G36" s="24">
        <f t="shared" si="49"/>
        <v>154.45038314311847</v>
      </c>
      <c r="H36" s="24">
        <f t="shared" si="49"/>
        <v>174.16653075787787</v>
      </c>
      <c r="I36" s="24">
        <f t="shared" si="49"/>
        <v>192.36605163304037</v>
      </c>
      <c r="J36" s="24">
        <f t="shared" si="49"/>
        <v>202.93534044228355</v>
      </c>
      <c r="K36" s="24">
        <f t="shared" si="49"/>
        <v>217.76566495096594</v>
      </c>
      <c r="L36" s="24">
        <f t="shared" si="49"/>
        <v>243.20727987014558</v>
      </c>
      <c r="M36" s="24">
        <f t="shared" si="49"/>
        <v>268.67740826317464</v>
      </c>
      <c r="N36" s="24">
        <f t="shared" si="49"/>
        <v>281.42044893435212</v>
      </c>
      <c r="O36" s="24">
        <f t="shared" si="49"/>
        <v>320.9269620789841</v>
      </c>
      <c r="P36" s="24">
        <f t="shared" si="49"/>
        <v>420.81063061515641</v>
      </c>
      <c r="Q36" s="24">
        <f t="shared" si="49"/>
        <v>562.28928186575831</v>
      </c>
      <c r="R36" s="24">
        <f t="shared" si="49"/>
        <v>639.12968370529507</v>
      </c>
      <c r="S36" s="24">
        <f t="shared" si="48"/>
        <v>678.36644710169207</v>
      </c>
      <c r="T36" s="28">
        <f t="shared" si="48"/>
        <v>715.76796178898962</v>
      </c>
    </row>
    <row r="37" spans="1:20" ht="15.75" thickBot="1" x14ac:dyDescent="0.3">
      <c r="A37" s="247"/>
      <c r="B37" s="13" t="s">
        <v>2</v>
      </c>
      <c r="C37" s="21">
        <f t="shared" si="49"/>
        <v>70.581838094945383</v>
      </c>
      <c r="D37" s="25">
        <f t="shared" si="48"/>
        <v>80.316771106116605</v>
      </c>
      <c r="E37" s="25">
        <f t="shared" si="48"/>
        <v>85.159022063055843</v>
      </c>
      <c r="F37" s="25">
        <f t="shared" si="48"/>
        <v>87.945333451521321</v>
      </c>
      <c r="G37" s="25">
        <f t="shared" si="48"/>
        <v>90.731644839986828</v>
      </c>
      <c r="H37" s="25">
        <f t="shared" si="48"/>
        <v>118.46583706936109</v>
      </c>
      <c r="I37" s="25">
        <f t="shared" si="48"/>
        <v>122.00022735398782</v>
      </c>
      <c r="J37" s="25">
        <f t="shared" si="48"/>
        <v>125.64433656894143</v>
      </c>
      <c r="K37" s="25">
        <f t="shared" si="48"/>
        <v>121.1038035024575</v>
      </c>
      <c r="L37" s="25">
        <f t="shared" si="48"/>
        <v>123.76612105320113</v>
      </c>
      <c r="M37" s="25">
        <f t="shared" si="48"/>
        <v>126.70324406445357</v>
      </c>
      <c r="N37" s="25">
        <f t="shared" si="48"/>
        <v>129.70678398780692</v>
      </c>
      <c r="O37" s="25">
        <f t="shared" si="48"/>
        <v>132.65245799089018</v>
      </c>
      <c r="P37" s="25">
        <f t="shared" si="48"/>
        <v>135.53878723992133</v>
      </c>
      <c r="Q37" s="25">
        <f t="shared" si="48"/>
        <v>138.89222932147595</v>
      </c>
      <c r="R37" s="25">
        <f t="shared" si="48"/>
        <v>142.31269954790324</v>
      </c>
      <c r="S37" s="25">
        <f t="shared" si="48"/>
        <v>145.67200321635281</v>
      </c>
      <c r="T37" s="29">
        <f t="shared" si="48"/>
        <v>149.11060354049584</v>
      </c>
    </row>
  </sheetData>
  <mergeCells count="12">
    <mergeCell ref="A35:A37"/>
    <mergeCell ref="A17:A19"/>
    <mergeCell ref="A20:A22"/>
    <mergeCell ref="A23:A25"/>
    <mergeCell ref="A26:A28"/>
    <mergeCell ref="A29:A31"/>
    <mergeCell ref="A32:A34"/>
    <mergeCell ref="A2:A4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92E3-8B91-490A-A41C-7104A7348E8C}">
  <dimension ref="A1:AC49"/>
  <sheetViews>
    <sheetView topLeftCell="A13" zoomScale="80" zoomScaleNormal="80" workbookViewId="0">
      <selection activeCell="B33" sqref="B33"/>
    </sheetView>
  </sheetViews>
  <sheetFormatPr defaultRowHeight="15" x14ac:dyDescent="0.25"/>
  <cols>
    <col min="1" max="1" width="15.5703125" style="5" bestFit="1" customWidth="1"/>
    <col min="2" max="29" width="12.7109375" style="1" customWidth="1"/>
    <col min="30" max="16384" width="9.140625" style="1"/>
  </cols>
  <sheetData>
    <row r="1" spans="1:29" x14ac:dyDescent="0.25">
      <c r="A1" s="32" t="s">
        <v>35</v>
      </c>
      <c r="B1" s="33" t="s">
        <v>3</v>
      </c>
      <c r="C1" s="33" t="s">
        <v>4</v>
      </c>
      <c r="D1" s="33" t="s">
        <v>5</v>
      </c>
      <c r="E1" s="33" t="s">
        <v>6</v>
      </c>
      <c r="F1" s="33" t="s">
        <v>7</v>
      </c>
      <c r="G1" s="33" t="s">
        <v>8</v>
      </c>
      <c r="H1" s="33" t="s">
        <v>9</v>
      </c>
      <c r="I1" s="33" t="s">
        <v>10</v>
      </c>
      <c r="J1" s="33" t="s">
        <v>11</v>
      </c>
      <c r="K1" s="33" t="s">
        <v>12</v>
      </c>
      <c r="L1" s="33" t="s">
        <v>13</v>
      </c>
      <c r="M1" s="33" t="s">
        <v>14</v>
      </c>
      <c r="N1" s="33" t="s">
        <v>15</v>
      </c>
      <c r="O1" s="33" t="s">
        <v>16</v>
      </c>
      <c r="P1" s="33" t="s">
        <v>17</v>
      </c>
      <c r="Q1" s="33" t="s">
        <v>18</v>
      </c>
      <c r="R1" s="33" t="s">
        <v>20</v>
      </c>
      <c r="S1" s="33" t="s">
        <v>21</v>
      </c>
      <c r="T1" s="33" t="s">
        <v>24</v>
      </c>
      <c r="U1" s="33" t="s">
        <v>25</v>
      </c>
      <c r="V1" s="33" t="s">
        <v>26</v>
      </c>
      <c r="W1" s="33" t="s">
        <v>27</v>
      </c>
      <c r="X1" s="33" t="s">
        <v>102</v>
      </c>
      <c r="Y1" s="33" t="s">
        <v>101</v>
      </c>
      <c r="Z1" s="33" t="s">
        <v>103</v>
      </c>
      <c r="AA1" s="33" t="s">
        <v>104</v>
      </c>
      <c r="AB1" s="33" t="s">
        <v>105</v>
      </c>
      <c r="AC1" s="33" t="s">
        <v>106</v>
      </c>
    </row>
    <row r="2" spans="1:29" x14ac:dyDescent="0.25">
      <c r="A2" s="34">
        <v>200</v>
      </c>
      <c r="B2" s="36">
        <v>10.5</v>
      </c>
      <c r="C2" s="36">
        <f>B2*C$26</f>
        <v>11.655000000000001</v>
      </c>
      <c r="D2" s="36">
        <f t="shared" ref="D2:W2" si="0">C2*D$26</f>
        <v>12.937050000000003</v>
      </c>
      <c r="E2" s="36">
        <f t="shared" si="0"/>
        <v>14.360125500000004</v>
      </c>
      <c r="F2" s="36">
        <f t="shared" si="0"/>
        <v>15.939739305000005</v>
      </c>
      <c r="G2" s="36">
        <f t="shared" si="0"/>
        <v>17.693110628550006</v>
      </c>
      <c r="H2" s="36">
        <f t="shared" si="0"/>
        <v>19.63935279769051</v>
      </c>
      <c r="I2" s="36">
        <f t="shared" si="0"/>
        <v>21.799681605436469</v>
      </c>
      <c r="J2" s="36">
        <f t="shared" si="0"/>
        <v>24.197646582034483</v>
      </c>
      <c r="K2" s="36">
        <f t="shared" si="0"/>
        <v>26.859387706058278</v>
      </c>
      <c r="L2" s="36">
        <f t="shared" si="0"/>
        <v>34.917204017875761</v>
      </c>
      <c r="M2" s="36">
        <f t="shared" si="0"/>
        <v>38.758096459842101</v>
      </c>
      <c r="N2" s="36">
        <f t="shared" si="0"/>
        <v>43.021487070424733</v>
      </c>
      <c r="O2" s="36">
        <f t="shared" si="0"/>
        <v>47.753850648171458</v>
      </c>
      <c r="P2" s="36">
        <f t="shared" si="0"/>
        <v>53.006774219470323</v>
      </c>
      <c r="Q2" s="36">
        <f t="shared" si="0"/>
        <v>58.837519383612062</v>
      </c>
      <c r="R2" s="36">
        <f t="shared" si="0"/>
        <v>76.488775198695677</v>
      </c>
      <c r="S2" s="36">
        <f t="shared" si="0"/>
        <v>84.902540470552211</v>
      </c>
      <c r="T2" s="36">
        <f t="shared" si="0"/>
        <v>94.241819922312956</v>
      </c>
      <c r="U2" s="36">
        <f t="shared" si="0"/>
        <v>104.60842011376739</v>
      </c>
      <c r="V2" s="36">
        <f t="shared" si="0"/>
        <v>116.11534632628182</v>
      </c>
      <c r="W2" s="36">
        <f t="shared" si="0"/>
        <v>128.88803442217284</v>
      </c>
      <c r="X2" s="36">
        <f t="shared" ref="X2:X23" si="1">W2*X$26</f>
        <v>167.55444474882469</v>
      </c>
      <c r="Y2" s="36">
        <f t="shared" ref="Y2:Y23" si="2">X2*Y$26</f>
        <v>185.98543367119544</v>
      </c>
      <c r="Z2" s="36">
        <f t="shared" ref="Z2:Z23" si="3">Y2*Z$26</f>
        <v>206.44383137502695</v>
      </c>
      <c r="AA2" s="36">
        <f t="shared" ref="AA2:AA23" si="4">Z2*AA$26</f>
        <v>229.15265282627993</v>
      </c>
      <c r="AB2" s="36">
        <f t="shared" ref="AB2:AB23" si="5">AA2*AB$26</f>
        <v>254.35944463717075</v>
      </c>
      <c r="AC2" s="36">
        <f t="shared" ref="AC2:AC23" si="6">AB2*AC$26</f>
        <v>282.33898354725955</v>
      </c>
    </row>
    <row r="3" spans="1:29" x14ac:dyDescent="0.25">
      <c r="A3" s="34">
        <v>250</v>
      </c>
      <c r="B3" s="36">
        <v>13</v>
      </c>
      <c r="C3" s="36">
        <f t="shared" ref="C3:W3" si="7">B3*C$26</f>
        <v>14.430000000000001</v>
      </c>
      <c r="D3" s="36">
        <f t="shared" si="7"/>
        <v>16.017300000000002</v>
      </c>
      <c r="E3" s="36">
        <f t="shared" si="7"/>
        <v>17.779203000000003</v>
      </c>
      <c r="F3" s="36">
        <f t="shared" si="7"/>
        <v>19.734915330000003</v>
      </c>
      <c r="G3" s="36">
        <f t="shared" si="7"/>
        <v>21.905756016300007</v>
      </c>
      <c r="H3" s="36">
        <f t="shared" si="7"/>
        <v>24.31538917809301</v>
      </c>
      <c r="I3" s="36">
        <f t="shared" si="7"/>
        <v>26.990081987683244</v>
      </c>
      <c r="J3" s="36">
        <f t="shared" si="7"/>
        <v>29.958991006328404</v>
      </c>
      <c r="K3" s="36">
        <f t="shared" si="7"/>
        <v>33.254480017024534</v>
      </c>
      <c r="L3" s="36">
        <f t="shared" si="7"/>
        <v>43.230824022131898</v>
      </c>
      <c r="M3" s="36">
        <f t="shared" si="7"/>
        <v>47.986214664566411</v>
      </c>
      <c r="N3" s="36">
        <f t="shared" si="7"/>
        <v>53.264698277668721</v>
      </c>
      <c r="O3" s="36">
        <f t="shared" si="7"/>
        <v>59.123815088212282</v>
      </c>
      <c r="P3" s="36">
        <f t="shared" si="7"/>
        <v>65.627434747915643</v>
      </c>
      <c r="Q3" s="36">
        <f t="shared" si="7"/>
        <v>72.846452570186372</v>
      </c>
      <c r="R3" s="36">
        <f t="shared" si="7"/>
        <v>94.700388341242288</v>
      </c>
      <c r="S3" s="36">
        <f t="shared" si="7"/>
        <v>105.11743105877895</v>
      </c>
      <c r="T3" s="36">
        <f t="shared" si="7"/>
        <v>116.68034847524464</v>
      </c>
      <c r="U3" s="36">
        <f t="shared" si="7"/>
        <v>129.51518680752156</v>
      </c>
      <c r="V3" s="36">
        <f t="shared" si="7"/>
        <v>143.76185735634894</v>
      </c>
      <c r="W3" s="36">
        <f t="shared" si="7"/>
        <v>159.57566166554733</v>
      </c>
      <c r="X3" s="36">
        <f t="shared" si="1"/>
        <v>207.44836016521154</v>
      </c>
      <c r="Y3" s="36">
        <f t="shared" si="2"/>
        <v>230.26767978338484</v>
      </c>
      <c r="Z3" s="36">
        <f t="shared" si="3"/>
        <v>255.59712455955719</v>
      </c>
      <c r="AA3" s="36">
        <f t="shared" si="4"/>
        <v>283.71280826110848</v>
      </c>
      <c r="AB3" s="36">
        <f t="shared" si="5"/>
        <v>314.92121716983041</v>
      </c>
      <c r="AC3" s="36">
        <f t="shared" si="6"/>
        <v>349.56255105851181</v>
      </c>
    </row>
    <row r="4" spans="1:29" x14ac:dyDescent="0.25">
      <c r="A4" s="34">
        <v>280</v>
      </c>
      <c r="B4" s="36">
        <v>16.600000000000001</v>
      </c>
      <c r="C4" s="36">
        <f t="shared" ref="C4:W4" si="8">B4*C$26</f>
        <v>18.426000000000002</v>
      </c>
      <c r="D4" s="36">
        <f t="shared" si="8"/>
        <v>20.452860000000005</v>
      </c>
      <c r="E4" s="36">
        <f t="shared" si="8"/>
        <v>22.702674600000009</v>
      </c>
      <c r="F4" s="36">
        <f t="shared" si="8"/>
        <v>25.199968806000012</v>
      </c>
      <c r="G4" s="36">
        <f t="shared" si="8"/>
        <v>27.971965374660016</v>
      </c>
      <c r="H4" s="36">
        <f t="shared" si="8"/>
        <v>31.04888156587262</v>
      </c>
      <c r="I4" s="36">
        <f t="shared" si="8"/>
        <v>34.464258538118614</v>
      </c>
      <c r="J4" s="36">
        <f t="shared" si="8"/>
        <v>38.255326977311661</v>
      </c>
      <c r="K4" s="36">
        <f t="shared" si="8"/>
        <v>42.46341294481595</v>
      </c>
      <c r="L4" s="36">
        <f t="shared" si="8"/>
        <v>55.202436828260737</v>
      </c>
      <c r="M4" s="36">
        <f t="shared" si="8"/>
        <v>61.274704879369423</v>
      </c>
      <c r="N4" s="36">
        <f t="shared" si="8"/>
        <v>68.014922416100063</v>
      </c>
      <c r="O4" s="36">
        <f t="shared" si="8"/>
        <v>75.496563881871083</v>
      </c>
      <c r="P4" s="36">
        <f t="shared" si="8"/>
        <v>83.801185908876903</v>
      </c>
      <c r="Q4" s="36">
        <f t="shared" si="8"/>
        <v>93.019316358853374</v>
      </c>
      <c r="R4" s="36">
        <f t="shared" si="8"/>
        <v>120.92511126650939</v>
      </c>
      <c r="S4" s="36">
        <f t="shared" si="8"/>
        <v>134.22687350582544</v>
      </c>
      <c r="T4" s="36">
        <f t="shared" si="8"/>
        <v>148.99182959146626</v>
      </c>
      <c r="U4" s="36">
        <f t="shared" si="8"/>
        <v>165.38093084652755</v>
      </c>
      <c r="V4" s="36">
        <f t="shared" si="8"/>
        <v>183.5728332396456</v>
      </c>
      <c r="W4" s="36">
        <f t="shared" si="8"/>
        <v>203.76584489600663</v>
      </c>
      <c r="X4" s="36">
        <f t="shared" si="1"/>
        <v>264.89559836480862</v>
      </c>
      <c r="Y4" s="36">
        <f t="shared" si="2"/>
        <v>294.03411418493761</v>
      </c>
      <c r="Z4" s="36">
        <f t="shared" si="3"/>
        <v>326.37786674528076</v>
      </c>
      <c r="AA4" s="36">
        <f t="shared" si="4"/>
        <v>362.27943208726168</v>
      </c>
      <c r="AB4" s="36">
        <f t="shared" si="5"/>
        <v>402.13016961686048</v>
      </c>
      <c r="AC4" s="36">
        <f t="shared" si="6"/>
        <v>446.3644882747152</v>
      </c>
    </row>
    <row r="5" spans="1:29" x14ac:dyDescent="0.25">
      <c r="A5" s="34">
        <v>315</v>
      </c>
      <c r="B5" s="36">
        <v>21.2</v>
      </c>
      <c r="C5" s="36">
        <f t="shared" ref="C5" si="9">B5*C$26</f>
        <v>23.532</v>
      </c>
      <c r="D5" s="36">
        <f t="shared" ref="D5" si="10">C5*D$26</f>
        <v>26.120520000000003</v>
      </c>
      <c r="E5" s="36">
        <f t="shared" ref="E5" si="11">D5*E$26</f>
        <v>28.993777200000004</v>
      </c>
      <c r="F5" s="36">
        <f t="shared" ref="F5" si="12">E5*F$26</f>
        <v>32.18309269200001</v>
      </c>
      <c r="G5" s="36">
        <f t="shared" ref="G5" si="13">F5*G$26</f>
        <v>35.723232888120016</v>
      </c>
      <c r="H5" s="36">
        <f t="shared" ref="H5" si="14">G5*H$26</f>
        <v>39.65278850581322</v>
      </c>
      <c r="I5" s="36">
        <f t="shared" ref="I5" si="15">H5*I$26</f>
        <v>44.014595241452675</v>
      </c>
      <c r="J5" s="36">
        <f t="shared" ref="J5" si="16">I5*J$26</f>
        <v>48.856200718012474</v>
      </c>
      <c r="K5" s="36">
        <f t="shared" ref="K5" si="17">J5*K$26</f>
        <v>54.230382796993851</v>
      </c>
      <c r="L5" s="36">
        <f t="shared" ref="L5" si="18">K5*L$26</f>
        <v>70.499497636092002</v>
      </c>
      <c r="M5" s="36">
        <f t="shared" ref="M5" si="19">L5*M$26</f>
        <v>78.25444237606213</v>
      </c>
      <c r="N5" s="36">
        <f t="shared" ref="N5" si="20">M5*N$26</f>
        <v>86.862431037428976</v>
      </c>
      <c r="O5" s="36">
        <f t="shared" ref="O5" si="21">N5*O$26</f>
        <v>96.417298451546174</v>
      </c>
      <c r="P5" s="36">
        <f t="shared" ref="P5" si="22">O5*P$26</f>
        <v>107.02320128121626</v>
      </c>
      <c r="Q5" s="36">
        <f t="shared" ref="Q5" si="23">P5*Q$26</f>
        <v>118.79575342215006</v>
      </c>
      <c r="R5" s="36">
        <f t="shared" ref="R5" si="24">Q5*R$26</f>
        <v>154.43447944879509</v>
      </c>
      <c r="S5" s="36">
        <f t="shared" ref="S5" si="25">R5*S$26</f>
        <v>171.42227218816257</v>
      </c>
      <c r="T5" s="36">
        <f t="shared" ref="T5" si="26">S5*T$26</f>
        <v>190.27872212886047</v>
      </c>
      <c r="U5" s="36">
        <f t="shared" ref="U5" si="27">T5*U$26</f>
        <v>211.20938156303512</v>
      </c>
      <c r="V5" s="36">
        <f t="shared" ref="V5" si="28">U5*V$26</f>
        <v>234.44241353496901</v>
      </c>
      <c r="W5" s="36">
        <f t="shared" ref="W5" si="29">V5*W$26</f>
        <v>260.2310790238156</v>
      </c>
      <c r="X5" s="36">
        <f t="shared" ref="X5" si="30">W5*X$26</f>
        <v>338.30040273096029</v>
      </c>
      <c r="Y5" s="36">
        <f t="shared" ref="Y5" si="31">X5*Y$26</f>
        <v>375.51344703136596</v>
      </c>
      <c r="Z5" s="36">
        <f t="shared" ref="Z5" si="32">Y5*Z$26</f>
        <v>416.81992620481623</v>
      </c>
      <c r="AA5" s="36">
        <f t="shared" ref="AA5" si="33">Z5*AA$26</f>
        <v>462.67011808734605</v>
      </c>
      <c r="AB5" s="36">
        <f t="shared" ref="AB5" si="34">AA5*AB$26</f>
        <v>513.56383107695422</v>
      </c>
      <c r="AC5" s="36">
        <f t="shared" ref="AC5" si="35">AB5*AC$26</f>
        <v>570.05585249541923</v>
      </c>
    </row>
    <row r="6" spans="1:29" x14ac:dyDescent="0.25">
      <c r="A6" s="34">
        <v>355</v>
      </c>
      <c r="B6" s="36">
        <v>25.7</v>
      </c>
      <c r="C6" s="36">
        <f t="shared" ref="C6:W6" si="36">B6*C$26</f>
        <v>28.527000000000001</v>
      </c>
      <c r="D6" s="36">
        <f t="shared" si="36"/>
        <v>31.664970000000004</v>
      </c>
      <c r="E6" s="36">
        <f t="shared" si="36"/>
        <v>35.14811670000001</v>
      </c>
      <c r="F6" s="36">
        <f t="shared" si="36"/>
        <v>39.014409537000013</v>
      </c>
      <c r="G6" s="36">
        <f t="shared" si="36"/>
        <v>43.305994586070021</v>
      </c>
      <c r="H6" s="36">
        <f t="shared" si="36"/>
        <v>48.069653990537731</v>
      </c>
      <c r="I6" s="36">
        <f t="shared" si="36"/>
        <v>53.357315929496885</v>
      </c>
      <c r="J6" s="36">
        <f t="shared" si="36"/>
        <v>59.226620681741544</v>
      </c>
      <c r="K6" s="36">
        <f t="shared" si="36"/>
        <v>65.741548956733126</v>
      </c>
      <c r="L6" s="36">
        <f t="shared" si="36"/>
        <v>85.464013643753063</v>
      </c>
      <c r="M6" s="36">
        <f t="shared" si="36"/>
        <v>94.865055144565915</v>
      </c>
      <c r="N6" s="36">
        <f t="shared" si="36"/>
        <v>105.30021121046818</v>
      </c>
      <c r="O6" s="36">
        <f t="shared" si="36"/>
        <v>116.88323444361968</v>
      </c>
      <c r="P6" s="36">
        <f t="shared" si="36"/>
        <v>129.74039023241787</v>
      </c>
      <c r="Q6" s="36">
        <f t="shared" si="36"/>
        <v>144.01183315798383</v>
      </c>
      <c r="R6" s="36">
        <f t="shared" si="36"/>
        <v>187.21538310537898</v>
      </c>
      <c r="S6" s="36">
        <f t="shared" si="36"/>
        <v>207.80907524697068</v>
      </c>
      <c r="T6" s="36">
        <f t="shared" si="36"/>
        <v>230.66807352413747</v>
      </c>
      <c r="U6" s="36">
        <f t="shared" si="36"/>
        <v>256.04156161179259</v>
      </c>
      <c r="V6" s="36">
        <f t="shared" si="36"/>
        <v>284.20613338908981</v>
      </c>
      <c r="W6" s="36">
        <f t="shared" si="36"/>
        <v>315.46880806188972</v>
      </c>
      <c r="X6" s="36">
        <f t="shared" si="1"/>
        <v>410.10945048045664</v>
      </c>
      <c r="Y6" s="36">
        <f t="shared" si="2"/>
        <v>455.22149003330691</v>
      </c>
      <c r="Z6" s="36">
        <f t="shared" si="3"/>
        <v>505.29585393697073</v>
      </c>
      <c r="AA6" s="36">
        <f t="shared" si="4"/>
        <v>560.87839787003759</v>
      </c>
      <c r="AB6" s="36">
        <f t="shared" si="5"/>
        <v>622.57502163574179</v>
      </c>
      <c r="AC6" s="36">
        <f t="shared" si="6"/>
        <v>691.05827401567342</v>
      </c>
    </row>
    <row r="7" spans="1:29" x14ac:dyDescent="0.25">
      <c r="A7" s="34">
        <v>400</v>
      </c>
      <c r="B7" s="36">
        <v>26.8</v>
      </c>
      <c r="C7" s="36">
        <f t="shared" ref="C7:W7" si="37">B7*C$26</f>
        <v>29.748000000000005</v>
      </c>
      <c r="D7" s="36">
        <f t="shared" si="37"/>
        <v>33.020280000000007</v>
      </c>
      <c r="E7" s="36">
        <f t="shared" si="37"/>
        <v>36.652510800000009</v>
      </c>
      <c r="F7" s="36">
        <f t="shared" si="37"/>
        <v>40.684286988000011</v>
      </c>
      <c r="G7" s="36">
        <f t="shared" si="37"/>
        <v>45.159558556680018</v>
      </c>
      <c r="H7" s="36">
        <f t="shared" si="37"/>
        <v>50.127109997914822</v>
      </c>
      <c r="I7" s="36">
        <f t="shared" si="37"/>
        <v>55.641092097685458</v>
      </c>
      <c r="J7" s="36">
        <f t="shared" si="37"/>
        <v>61.761612228430863</v>
      </c>
      <c r="K7" s="36">
        <f t="shared" si="37"/>
        <v>68.555389573558259</v>
      </c>
      <c r="L7" s="36">
        <f t="shared" si="37"/>
        <v>89.122006445625743</v>
      </c>
      <c r="M7" s="36">
        <f t="shared" si="37"/>
        <v>98.925427154644581</v>
      </c>
      <c r="N7" s="36">
        <f t="shared" si="37"/>
        <v>109.8072241416555</v>
      </c>
      <c r="O7" s="36">
        <f t="shared" si="37"/>
        <v>121.88601879723761</v>
      </c>
      <c r="P7" s="36">
        <f t="shared" si="37"/>
        <v>135.29348086493377</v>
      </c>
      <c r="Q7" s="36">
        <f t="shared" si="37"/>
        <v>150.17576376007651</v>
      </c>
      <c r="R7" s="36">
        <f t="shared" si="37"/>
        <v>195.22849288809945</v>
      </c>
      <c r="S7" s="36">
        <f t="shared" si="37"/>
        <v>216.70362710579042</v>
      </c>
      <c r="T7" s="36">
        <f t="shared" si="37"/>
        <v>240.54102608742738</v>
      </c>
      <c r="U7" s="36">
        <f t="shared" si="37"/>
        <v>267.0005389570444</v>
      </c>
      <c r="V7" s="36">
        <f t="shared" si="37"/>
        <v>296.37059824231932</v>
      </c>
      <c r="W7" s="36">
        <f t="shared" si="37"/>
        <v>328.97136404897446</v>
      </c>
      <c r="X7" s="36">
        <f t="shared" si="1"/>
        <v>427.66277326366679</v>
      </c>
      <c r="Y7" s="36">
        <f t="shared" si="2"/>
        <v>474.70567832267017</v>
      </c>
      <c r="Z7" s="36">
        <f t="shared" si="3"/>
        <v>526.92330293816394</v>
      </c>
      <c r="AA7" s="36">
        <f t="shared" si="4"/>
        <v>584.88486626136205</v>
      </c>
      <c r="AB7" s="36">
        <f t="shared" si="5"/>
        <v>649.22220155011189</v>
      </c>
      <c r="AC7" s="36">
        <f t="shared" si="6"/>
        <v>720.63664372062431</v>
      </c>
    </row>
    <row r="8" spans="1:29" x14ac:dyDescent="0.25">
      <c r="A8" s="34">
        <v>450</v>
      </c>
      <c r="B8" s="36">
        <v>34</v>
      </c>
      <c r="C8" s="36">
        <f t="shared" ref="C8:W8" si="38">B8*C$26</f>
        <v>37.74</v>
      </c>
      <c r="D8" s="36">
        <f t="shared" si="38"/>
        <v>41.891400000000004</v>
      </c>
      <c r="E8" s="36">
        <f t="shared" si="38"/>
        <v>46.499454000000007</v>
      </c>
      <c r="F8" s="36">
        <f t="shared" si="38"/>
        <v>51.614393940000014</v>
      </c>
      <c r="G8" s="36">
        <f t="shared" si="38"/>
        <v>57.291977273400022</v>
      </c>
      <c r="H8" s="36">
        <f t="shared" si="38"/>
        <v>63.594094773474033</v>
      </c>
      <c r="I8" s="36">
        <f t="shared" si="38"/>
        <v>70.589445198556177</v>
      </c>
      <c r="J8" s="36">
        <f t="shared" si="38"/>
        <v>78.354284170397364</v>
      </c>
      <c r="K8" s="36">
        <f t="shared" si="38"/>
        <v>86.973255429141076</v>
      </c>
      <c r="L8" s="36">
        <f t="shared" si="38"/>
        <v>113.06523205788341</v>
      </c>
      <c r="M8" s="36">
        <f t="shared" si="38"/>
        <v>125.50240758425059</v>
      </c>
      <c r="N8" s="36">
        <f t="shared" si="38"/>
        <v>139.30767241851817</v>
      </c>
      <c r="O8" s="36">
        <f t="shared" si="38"/>
        <v>154.63151638455517</v>
      </c>
      <c r="P8" s="36">
        <f t="shared" si="38"/>
        <v>171.64098318685626</v>
      </c>
      <c r="Q8" s="36">
        <f t="shared" si="38"/>
        <v>190.52149133741045</v>
      </c>
      <c r="R8" s="36">
        <f t="shared" si="38"/>
        <v>247.6779387386336</v>
      </c>
      <c r="S8" s="36">
        <f t="shared" si="38"/>
        <v>274.92251199988334</v>
      </c>
      <c r="T8" s="36">
        <f t="shared" si="38"/>
        <v>305.16398831987055</v>
      </c>
      <c r="U8" s="36">
        <f t="shared" si="38"/>
        <v>338.73202703505632</v>
      </c>
      <c r="V8" s="36">
        <f t="shared" si="38"/>
        <v>375.99255000891253</v>
      </c>
      <c r="W8" s="36">
        <f t="shared" si="38"/>
        <v>417.35173050989295</v>
      </c>
      <c r="X8" s="36">
        <f t="shared" si="1"/>
        <v>542.55724966286084</v>
      </c>
      <c r="Y8" s="36">
        <f t="shared" si="2"/>
        <v>602.23854712577554</v>
      </c>
      <c r="Z8" s="36">
        <f t="shared" si="3"/>
        <v>668.48478730961085</v>
      </c>
      <c r="AA8" s="36">
        <f t="shared" si="4"/>
        <v>742.01811391366812</v>
      </c>
      <c r="AB8" s="36">
        <f t="shared" si="5"/>
        <v>823.64010644417169</v>
      </c>
      <c r="AC8" s="36">
        <f t="shared" si="6"/>
        <v>914.24051815303062</v>
      </c>
    </row>
    <row r="9" spans="1:29" x14ac:dyDescent="0.25">
      <c r="A9" s="34">
        <v>500</v>
      </c>
      <c r="B9" s="36">
        <v>35</v>
      </c>
      <c r="C9" s="36">
        <f t="shared" ref="C9:W10" si="39">B9*C$26</f>
        <v>38.85</v>
      </c>
      <c r="D9" s="36">
        <f t="shared" si="39"/>
        <v>43.123500000000007</v>
      </c>
      <c r="E9" s="36">
        <f t="shared" si="39"/>
        <v>47.86708500000001</v>
      </c>
      <c r="F9" s="36">
        <f t="shared" si="39"/>
        <v>53.132464350000014</v>
      </c>
      <c r="G9" s="36">
        <f t="shared" si="39"/>
        <v>58.977035428500024</v>
      </c>
      <c r="H9" s="36">
        <f t="shared" si="39"/>
        <v>65.464509325635035</v>
      </c>
      <c r="I9" s="36">
        <f t="shared" si="39"/>
        <v>72.6656053514549</v>
      </c>
      <c r="J9" s="36">
        <f t="shared" si="39"/>
        <v>80.658821940114947</v>
      </c>
      <c r="K9" s="36">
        <f t="shared" si="39"/>
        <v>89.531292353527604</v>
      </c>
      <c r="L9" s="36">
        <f t="shared" si="39"/>
        <v>116.39068005958589</v>
      </c>
      <c r="M9" s="36">
        <f t="shared" si="39"/>
        <v>129.19365486614035</v>
      </c>
      <c r="N9" s="36">
        <f t="shared" si="39"/>
        <v>143.4049569014158</v>
      </c>
      <c r="O9" s="36">
        <f t="shared" si="39"/>
        <v>159.17950216057156</v>
      </c>
      <c r="P9" s="36">
        <f t="shared" si="39"/>
        <v>176.68924739823444</v>
      </c>
      <c r="Q9" s="36">
        <f t="shared" si="39"/>
        <v>196.12506461204026</v>
      </c>
      <c r="R9" s="36">
        <f t="shared" si="39"/>
        <v>254.96258399565235</v>
      </c>
      <c r="S9" s="36">
        <f t="shared" si="39"/>
        <v>283.00846823517412</v>
      </c>
      <c r="T9" s="36">
        <f t="shared" si="39"/>
        <v>314.13939974104329</v>
      </c>
      <c r="U9" s="36">
        <f t="shared" si="39"/>
        <v>348.6947337125581</v>
      </c>
      <c r="V9" s="36">
        <f t="shared" si="39"/>
        <v>387.05115442093955</v>
      </c>
      <c r="W9" s="36">
        <f t="shared" si="39"/>
        <v>429.62678140724296</v>
      </c>
      <c r="X9" s="36">
        <f t="shared" si="1"/>
        <v>558.51481582941585</v>
      </c>
      <c r="Y9" s="36">
        <f t="shared" si="2"/>
        <v>619.95144557065169</v>
      </c>
      <c r="Z9" s="36">
        <f t="shared" si="3"/>
        <v>688.14610458342338</v>
      </c>
      <c r="AA9" s="36">
        <f t="shared" si="4"/>
        <v>763.84217608760002</v>
      </c>
      <c r="AB9" s="36">
        <f t="shared" si="5"/>
        <v>847.86481545723609</v>
      </c>
      <c r="AC9" s="36">
        <f t="shared" si="6"/>
        <v>941.12994515753212</v>
      </c>
    </row>
    <row r="10" spans="1:29" x14ac:dyDescent="0.25">
      <c r="A10" s="34">
        <v>560</v>
      </c>
      <c r="B10" s="36">
        <v>40</v>
      </c>
      <c r="C10" s="36">
        <f t="shared" si="39"/>
        <v>44.400000000000006</v>
      </c>
      <c r="D10" s="36">
        <f t="shared" si="39"/>
        <v>49.284000000000013</v>
      </c>
      <c r="E10" s="36">
        <f t="shared" si="39"/>
        <v>54.705240000000018</v>
      </c>
      <c r="F10" s="36">
        <f t="shared" si="39"/>
        <v>60.722816400000028</v>
      </c>
      <c r="G10" s="36">
        <f t="shared" si="39"/>
        <v>67.402326204000033</v>
      </c>
      <c r="H10" s="36">
        <f t="shared" si="39"/>
        <v>74.81658208644005</v>
      </c>
      <c r="I10" s="36">
        <f t="shared" si="39"/>
        <v>83.046406115948457</v>
      </c>
      <c r="J10" s="36">
        <f t="shared" si="39"/>
        <v>92.181510788702795</v>
      </c>
      <c r="K10" s="36">
        <f t="shared" si="39"/>
        <v>102.32147697546011</v>
      </c>
      <c r="L10" s="36">
        <f t="shared" si="39"/>
        <v>133.01792006809816</v>
      </c>
      <c r="M10" s="36">
        <f t="shared" si="39"/>
        <v>147.64989127558897</v>
      </c>
      <c r="N10" s="36">
        <f t="shared" si="39"/>
        <v>163.89137931590378</v>
      </c>
      <c r="O10" s="36">
        <f t="shared" si="39"/>
        <v>181.91943104065319</v>
      </c>
      <c r="P10" s="36">
        <f t="shared" si="39"/>
        <v>201.93056845512507</v>
      </c>
      <c r="Q10" s="36">
        <f t="shared" si="39"/>
        <v>224.14293098518885</v>
      </c>
      <c r="R10" s="36">
        <f t="shared" si="39"/>
        <v>291.38581028074555</v>
      </c>
      <c r="S10" s="36">
        <f t="shared" si="39"/>
        <v>323.43824941162757</v>
      </c>
      <c r="T10" s="36">
        <f t="shared" si="39"/>
        <v>359.01645684690664</v>
      </c>
      <c r="U10" s="36">
        <f t="shared" si="39"/>
        <v>398.5082671000664</v>
      </c>
      <c r="V10" s="36">
        <f t="shared" si="39"/>
        <v>442.34417648107376</v>
      </c>
      <c r="W10" s="36">
        <f t="shared" si="39"/>
        <v>491.00203589399194</v>
      </c>
      <c r="X10" s="36">
        <f t="shared" ref="X10" si="40">W10*X$26</f>
        <v>638.30264666218955</v>
      </c>
      <c r="Y10" s="36">
        <f t="shared" ref="Y10" si="41">X10*Y$26</f>
        <v>708.51593779503048</v>
      </c>
      <c r="Z10" s="36">
        <f t="shared" ref="Z10" si="42">Y10*Z$26</f>
        <v>786.45269095248386</v>
      </c>
      <c r="AA10" s="36">
        <f t="shared" ref="AA10" si="43">Z10*AA$26</f>
        <v>872.96248695725717</v>
      </c>
      <c r="AB10" s="36">
        <f t="shared" ref="AB10" si="44">AA10*AB$26</f>
        <v>968.98836052255558</v>
      </c>
      <c r="AC10" s="36">
        <f t="shared" ref="AC10" si="45">AB10*AC$26</f>
        <v>1075.5770801800368</v>
      </c>
    </row>
    <row r="11" spans="1:29" x14ac:dyDescent="0.25">
      <c r="A11" s="34">
        <v>600</v>
      </c>
      <c r="B11" s="36">
        <v>44.7</v>
      </c>
      <c r="C11" s="36">
        <f t="shared" ref="C11:W12" si="46">B11*C$26</f>
        <v>49.617000000000004</v>
      </c>
      <c r="D11" s="36">
        <f t="shared" si="46"/>
        <v>55.074870000000011</v>
      </c>
      <c r="E11" s="36">
        <f t="shared" si="46"/>
        <v>61.133105700000016</v>
      </c>
      <c r="F11" s="36">
        <f t="shared" si="46"/>
        <v>67.857747327000027</v>
      </c>
      <c r="G11" s="36">
        <f t="shared" si="46"/>
        <v>75.322099532970043</v>
      </c>
      <c r="H11" s="36">
        <f t="shared" si="46"/>
        <v>83.607530481596754</v>
      </c>
      <c r="I11" s="36">
        <f t="shared" si="46"/>
        <v>92.804358834572412</v>
      </c>
      <c r="J11" s="36">
        <f t="shared" si="46"/>
        <v>103.01283830637539</v>
      </c>
      <c r="K11" s="36">
        <f t="shared" si="46"/>
        <v>114.34425052007668</v>
      </c>
      <c r="L11" s="36">
        <f t="shared" si="46"/>
        <v>148.64752567609969</v>
      </c>
      <c r="M11" s="36">
        <f t="shared" si="46"/>
        <v>164.99875350047068</v>
      </c>
      <c r="N11" s="36">
        <f t="shared" si="46"/>
        <v>183.14861638552247</v>
      </c>
      <c r="O11" s="36">
        <f t="shared" si="46"/>
        <v>203.29496418792996</v>
      </c>
      <c r="P11" s="36">
        <f t="shared" si="46"/>
        <v>225.65741024860228</v>
      </c>
      <c r="Q11" s="36">
        <f t="shared" si="46"/>
        <v>250.47972537594856</v>
      </c>
      <c r="R11" s="36">
        <f t="shared" si="46"/>
        <v>325.62364298873314</v>
      </c>
      <c r="S11" s="36">
        <f t="shared" si="46"/>
        <v>361.4422437174938</v>
      </c>
      <c r="T11" s="36">
        <f t="shared" si="46"/>
        <v>401.20089052641816</v>
      </c>
      <c r="U11" s="36">
        <f t="shared" si="46"/>
        <v>445.33298848432418</v>
      </c>
      <c r="V11" s="36">
        <f t="shared" si="46"/>
        <v>494.3196172175999</v>
      </c>
      <c r="W11" s="36">
        <f t="shared" si="46"/>
        <v>548.69477511153593</v>
      </c>
      <c r="X11" s="36">
        <f t="shared" si="1"/>
        <v>713.30320764499675</v>
      </c>
      <c r="Y11" s="36">
        <f t="shared" si="2"/>
        <v>791.76656048594646</v>
      </c>
      <c r="Z11" s="36">
        <f t="shared" si="3"/>
        <v>878.8608821394007</v>
      </c>
      <c r="AA11" s="36">
        <f t="shared" si="4"/>
        <v>975.53557917473483</v>
      </c>
      <c r="AB11" s="36">
        <f t="shared" si="5"/>
        <v>1082.8444928839558</v>
      </c>
      <c r="AC11" s="36">
        <f t="shared" si="6"/>
        <v>1201.957387101191</v>
      </c>
    </row>
    <row r="12" spans="1:29" x14ac:dyDescent="0.25">
      <c r="A12" s="34">
        <v>630</v>
      </c>
      <c r="B12" s="36">
        <v>51</v>
      </c>
      <c r="C12" s="36">
        <f t="shared" si="46"/>
        <v>56.610000000000007</v>
      </c>
      <c r="D12" s="36">
        <f t="shared" si="46"/>
        <v>62.837100000000014</v>
      </c>
      <c r="E12" s="36">
        <f t="shared" si="46"/>
        <v>69.749181000000021</v>
      </c>
      <c r="F12" s="36">
        <f t="shared" si="46"/>
        <v>77.421590910000035</v>
      </c>
      <c r="G12" s="36">
        <f t="shared" si="46"/>
        <v>85.937965910100047</v>
      </c>
      <c r="H12" s="36">
        <f t="shared" si="46"/>
        <v>95.391142160211061</v>
      </c>
      <c r="I12" s="36">
        <f t="shared" si="46"/>
        <v>105.88416779783428</v>
      </c>
      <c r="J12" s="36">
        <f t="shared" si="46"/>
        <v>117.53142625559606</v>
      </c>
      <c r="K12" s="36">
        <f t="shared" si="46"/>
        <v>130.45988314371164</v>
      </c>
      <c r="L12" s="36">
        <f t="shared" si="46"/>
        <v>169.59784808682514</v>
      </c>
      <c r="M12" s="36">
        <f t="shared" si="46"/>
        <v>188.25361137637591</v>
      </c>
      <c r="N12" s="36">
        <f t="shared" si="46"/>
        <v>208.96150862777728</v>
      </c>
      <c r="O12" s="36">
        <f t="shared" si="46"/>
        <v>231.9472745768328</v>
      </c>
      <c r="P12" s="36">
        <f t="shared" si="46"/>
        <v>257.46147478028445</v>
      </c>
      <c r="Q12" s="36">
        <f t="shared" si="46"/>
        <v>285.78223700611574</v>
      </c>
      <c r="R12" s="36">
        <f t="shared" si="46"/>
        <v>371.51690810795048</v>
      </c>
      <c r="S12" s="36">
        <f t="shared" si="46"/>
        <v>412.38376799982507</v>
      </c>
      <c r="T12" s="36">
        <f t="shared" si="46"/>
        <v>457.74598247980589</v>
      </c>
      <c r="U12" s="36">
        <f t="shared" si="46"/>
        <v>508.09804055258456</v>
      </c>
      <c r="V12" s="36">
        <f t="shared" si="46"/>
        <v>563.98882501336891</v>
      </c>
      <c r="W12" s="36">
        <f t="shared" si="46"/>
        <v>626.02759576483959</v>
      </c>
      <c r="X12" s="36">
        <f t="shared" ref="X12" si="47">W12*X$26</f>
        <v>813.83587449429149</v>
      </c>
      <c r="Y12" s="36">
        <f t="shared" ref="Y12" si="48">X12*Y$26</f>
        <v>903.35782068866365</v>
      </c>
      <c r="Z12" s="36">
        <f t="shared" ref="Z12" si="49">Y12*Z$26</f>
        <v>1002.7271809644168</v>
      </c>
      <c r="AA12" s="36">
        <f t="shared" ref="AA12" si="50">Z12*AA$26</f>
        <v>1113.0271708705027</v>
      </c>
      <c r="AB12" s="36">
        <f t="shared" ref="AB12" si="51">AA12*AB$26</f>
        <v>1235.4601596662581</v>
      </c>
      <c r="AC12" s="36">
        <f t="shared" ref="AC12" si="52">AB12*AC$26</f>
        <v>1371.3607772295466</v>
      </c>
    </row>
    <row r="13" spans="1:29" x14ac:dyDescent="0.25">
      <c r="A13" s="34">
        <v>710</v>
      </c>
      <c r="B13" s="36">
        <v>59.3</v>
      </c>
      <c r="C13" s="36">
        <f t="shared" ref="C13:W13" si="53">B13*C$26</f>
        <v>65.823000000000008</v>
      </c>
      <c r="D13" s="36">
        <f t="shared" si="53"/>
        <v>73.063530000000014</v>
      </c>
      <c r="E13" s="36">
        <f t="shared" si="53"/>
        <v>81.100518300000019</v>
      </c>
      <c r="F13" s="36">
        <f t="shared" si="53"/>
        <v>90.021575313000028</v>
      </c>
      <c r="G13" s="36">
        <f t="shared" si="53"/>
        <v>99.923948597430041</v>
      </c>
      <c r="H13" s="36">
        <f t="shared" si="53"/>
        <v>110.91558294314736</v>
      </c>
      <c r="I13" s="36">
        <f t="shared" si="53"/>
        <v>123.11629706689358</v>
      </c>
      <c r="J13" s="36">
        <f t="shared" si="53"/>
        <v>136.65908974425187</v>
      </c>
      <c r="K13" s="36">
        <f t="shared" si="53"/>
        <v>151.69158961611959</v>
      </c>
      <c r="L13" s="36">
        <f t="shared" si="53"/>
        <v>197.19906650095547</v>
      </c>
      <c r="M13" s="36">
        <f t="shared" si="53"/>
        <v>218.89096381606058</v>
      </c>
      <c r="N13" s="36">
        <f t="shared" si="53"/>
        <v>242.96896983582727</v>
      </c>
      <c r="O13" s="36">
        <f t="shared" si="53"/>
        <v>269.6955565177683</v>
      </c>
      <c r="P13" s="36">
        <f t="shared" si="53"/>
        <v>299.36206773472281</v>
      </c>
      <c r="Q13" s="36">
        <f t="shared" si="53"/>
        <v>332.29189518554233</v>
      </c>
      <c r="R13" s="36">
        <f t="shared" si="53"/>
        <v>431.97946374120505</v>
      </c>
      <c r="S13" s="36">
        <f t="shared" si="53"/>
        <v>479.49720475273767</v>
      </c>
      <c r="T13" s="36">
        <f t="shared" si="53"/>
        <v>532.24189727553892</v>
      </c>
      <c r="U13" s="36">
        <f t="shared" si="53"/>
        <v>590.78850597584824</v>
      </c>
      <c r="V13" s="36">
        <f t="shared" si="53"/>
        <v>655.77524163319163</v>
      </c>
      <c r="W13" s="36">
        <f t="shared" si="53"/>
        <v>727.91051821284282</v>
      </c>
      <c r="X13" s="36">
        <f t="shared" si="1"/>
        <v>946.28367367669568</v>
      </c>
      <c r="Y13" s="36">
        <f t="shared" si="2"/>
        <v>1050.3748777811322</v>
      </c>
      <c r="Z13" s="36">
        <f t="shared" si="3"/>
        <v>1165.9161143370568</v>
      </c>
      <c r="AA13" s="36">
        <f t="shared" si="4"/>
        <v>1294.1668869141331</v>
      </c>
      <c r="AB13" s="36">
        <f t="shared" si="5"/>
        <v>1436.525244474688</v>
      </c>
      <c r="AC13" s="36">
        <f t="shared" si="6"/>
        <v>1594.5430213669038</v>
      </c>
    </row>
    <row r="14" spans="1:29" x14ac:dyDescent="0.25">
      <c r="A14" s="34">
        <v>800</v>
      </c>
      <c r="B14" s="36">
        <v>85.6</v>
      </c>
      <c r="C14" s="36">
        <f t="shared" ref="C14:W14" si="54">B14*C$26</f>
        <v>95.016000000000005</v>
      </c>
      <c r="D14" s="36">
        <f t="shared" si="54"/>
        <v>105.46776000000001</v>
      </c>
      <c r="E14" s="36">
        <f t="shared" si="54"/>
        <v>117.06921360000003</v>
      </c>
      <c r="F14" s="36">
        <f t="shared" si="54"/>
        <v>129.94682709600005</v>
      </c>
      <c r="G14" s="36">
        <f t="shared" si="54"/>
        <v>144.24097807656005</v>
      </c>
      <c r="H14" s="36">
        <f t="shared" si="54"/>
        <v>160.10748566498168</v>
      </c>
      <c r="I14" s="36">
        <f t="shared" si="54"/>
        <v>177.71930908812968</v>
      </c>
      <c r="J14" s="36">
        <f t="shared" si="54"/>
        <v>197.26843308782395</v>
      </c>
      <c r="K14" s="36">
        <f t="shared" si="54"/>
        <v>218.96796072748461</v>
      </c>
      <c r="L14" s="36">
        <f t="shared" si="54"/>
        <v>284.65834894572998</v>
      </c>
      <c r="M14" s="36">
        <f t="shared" si="54"/>
        <v>315.97076732976029</v>
      </c>
      <c r="N14" s="36">
        <f t="shared" si="54"/>
        <v>350.72755173603394</v>
      </c>
      <c r="O14" s="36">
        <f t="shared" si="54"/>
        <v>389.30758242699773</v>
      </c>
      <c r="P14" s="36">
        <f t="shared" si="54"/>
        <v>432.13141649396749</v>
      </c>
      <c r="Q14" s="36">
        <f t="shared" si="54"/>
        <v>479.66587230830396</v>
      </c>
      <c r="R14" s="36">
        <f t="shared" si="54"/>
        <v>623.56563400079517</v>
      </c>
      <c r="S14" s="36">
        <f t="shared" si="54"/>
        <v>692.15785374088273</v>
      </c>
      <c r="T14" s="36">
        <f t="shared" si="54"/>
        <v>768.29521765237985</v>
      </c>
      <c r="U14" s="36">
        <f t="shared" si="54"/>
        <v>852.80769159414172</v>
      </c>
      <c r="V14" s="36">
        <f t="shared" si="54"/>
        <v>946.61653766949735</v>
      </c>
      <c r="W14" s="36">
        <f t="shared" si="54"/>
        <v>1050.7443568131421</v>
      </c>
      <c r="X14" s="36">
        <f t="shared" si="1"/>
        <v>1365.9676638570847</v>
      </c>
      <c r="Y14" s="36">
        <f t="shared" si="2"/>
        <v>1516.2241068813642</v>
      </c>
      <c r="Z14" s="36">
        <f t="shared" si="3"/>
        <v>1683.0087586383142</v>
      </c>
      <c r="AA14" s="36">
        <f t="shared" si="4"/>
        <v>1868.139722088529</v>
      </c>
      <c r="AB14" s="36">
        <f t="shared" si="5"/>
        <v>2073.6350915182675</v>
      </c>
      <c r="AC14" s="36">
        <f t="shared" si="6"/>
        <v>2301.734951585277</v>
      </c>
    </row>
    <row r="15" spans="1:29" x14ac:dyDescent="0.25">
      <c r="A15" s="34">
        <v>900</v>
      </c>
      <c r="B15" s="36">
        <v>98.2</v>
      </c>
      <c r="C15" s="36">
        <f t="shared" ref="C15:W15" si="55">B15*C$26</f>
        <v>109.00200000000001</v>
      </c>
      <c r="D15" s="36">
        <f t="shared" si="55"/>
        <v>120.99222000000002</v>
      </c>
      <c r="E15" s="36">
        <f t="shared" si="55"/>
        <v>134.30136420000002</v>
      </c>
      <c r="F15" s="36">
        <f t="shared" si="55"/>
        <v>149.07451426200004</v>
      </c>
      <c r="G15" s="36">
        <f t="shared" si="55"/>
        <v>165.47271083082006</v>
      </c>
      <c r="H15" s="36">
        <f t="shared" si="55"/>
        <v>183.67470902221029</v>
      </c>
      <c r="I15" s="36">
        <f t="shared" si="55"/>
        <v>203.87892701465344</v>
      </c>
      <c r="J15" s="36">
        <f t="shared" si="55"/>
        <v>226.30560898626533</v>
      </c>
      <c r="K15" s="36">
        <f t="shared" si="55"/>
        <v>251.19922597475454</v>
      </c>
      <c r="L15" s="36">
        <f t="shared" si="55"/>
        <v>326.55899376718094</v>
      </c>
      <c r="M15" s="36">
        <f t="shared" si="55"/>
        <v>362.48048308157087</v>
      </c>
      <c r="N15" s="36">
        <f t="shared" si="55"/>
        <v>402.35333622054372</v>
      </c>
      <c r="O15" s="36">
        <f t="shared" si="55"/>
        <v>446.61220320480356</v>
      </c>
      <c r="P15" s="36">
        <f t="shared" si="55"/>
        <v>495.73954555733201</v>
      </c>
      <c r="Q15" s="36">
        <f t="shared" si="55"/>
        <v>550.27089556863859</v>
      </c>
      <c r="R15" s="36">
        <f t="shared" si="55"/>
        <v>715.35216423923021</v>
      </c>
      <c r="S15" s="36">
        <f t="shared" si="55"/>
        <v>794.04090230554561</v>
      </c>
      <c r="T15" s="36">
        <f t="shared" si="55"/>
        <v>881.38540155915575</v>
      </c>
      <c r="U15" s="36">
        <f t="shared" si="55"/>
        <v>978.33779573066295</v>
      </c>
      <c r="V15" s="36">
        <f t="shared" si="55"/>
        <v>1085.9549532610361</v>
      </c>
      <c r="W15" s="36">
        <f t="shared" si="55"/>
        <v>1205.4099981197501</v>
      </c>
      <c r="X15" s="36">
        <f t="shared" si="1"/>
        <v>1567.0329975556751</v>
      </c>
      <c r="Y15" s="36">
        <f t="shared" si="2"/>
        <v>1739.4066272867994</v>
      </c>
      <c r="Z15" s="36">
        <f t="shared" si="3"/>
        <v>1930.7413562883476</v>
      </c>
      <c r="AA15" s="36">
        <f t="shared" si="4"/>
        <v>2143.122905480066</v>
      </c>
      <c r="AB15" s="36">
        <f t="shared" si="5"/>
        <v>2378.8664250828733</v>
      </c>
      <c r="AC15" s="36">
        <f t="shared" si="6"/>
        <v>2640.5417318419895</v>
      </c>
    </row>
    <row r="16" spans="1:29" x14ac:dyDescent="0.25">
      <c r="A16" s="34">
        <v>1000</v>
      </c>
      <c r="B16" s="36">
        <v>114</v>
      </c>
      <c r="C16" s="36">
        <f t="shared" ref="C16:W16" si="56">B16*C$26</f>
        <v>126.54</v>
      </c>
      <c r="D16" s="36">
        <f t="shared" si="56"/>
        <v>140.45940000000002</v>
      </c>
      <c r="E16" s="36">
        <f t="shared" si="56"/>
        <v>155.90993400000002</v>
      </c>
      <c r="F16" s="36">
        <f t="shared" si="56"/>
        <v>173.06002674000004</v>
      </c>
      <c r="G16" s="36">
        <f t="shared" si="56"/>
        <v>192.09662968140006</v>
      </c>
      <c r="H16" s="36">
        <f t="shared" si="56"/>
        <v>213.22725894635408</v>
      </c>
      <c r="I16" s="36">
        <f t="shared" si="56"/>
        <v>236.68225743045306</v>
      </c>
      <c r="J16" s="36">
        <f t="shared" si="56"/>
        <v>262.71730574780292</v>
      </c>
      <c r="K16" s="36">
        <f t="shared" si="56"/>
        <v>291.61620938006126</v>
      </c>
      <c r="L16" s="36">
        <f t="shared" si="56"/>
        <v>379.10107219407968</v>
      </c>
      <c r="M16" s="36">
        <f t="shared" si="56"/>
        <v>420.80219013542848</v>
      </c>
      <c r="N16" s="36">
        <f t="shared" si="56"/>
        <v>467.09043105032566</v>
      </c>
      <c r="O16" s="36">
        <f t="shared" si="56"/>
        <v>518.47037846586159</v>
      </c>
      <c r="P16" s="36">
        <f t="shared" si="56"/>
        <v>575.5021200971064</v>
      </c>
      <c r="Q16" s="36">
        <f t="shared" si="56"/>
        <v>638.80735330778816</v>
      </c>
      <c r="R16" s="36">
        <f t="shared" si="56"/>
        <v>830.44955930012463</v>
      </c>
      <c r="S16" s="36">
        <f t="shared" si="56"/>
        <v>921.79901082313847</v>
      </c>
      <c r="T16" s="36">
        <f t="shared" si="56"/>
        <v>1023.1969020136838</v>
      </c>
      <c r="U16" s="36">
        <f t="shared" si="56"/>
        <v>1135.7485612351891</v>
      </c>
      <c r="V16" s="36">
        <f t="shared" si="56"/>
        <v>1260.68090297106</v>
      </c>
      <c r="W16" s="36">
        <f t="shared" si="56"/>
        <v>1399.3558022978768</v>
      </c>
      <c r="X16" s="36">
        <f t="shared" si="1"/>
        <v>1819.1625429872399</v>
      </c>
      <c r="Y16" s="36">
        <f t="shared" si="2"/>
        <v>2019.2704227158365</v>
      </c>
      <c r="Z16" s="36">
        <f t="shared" si="3"/>
        <v>2241.3901692145787</v>
      </c>
      <c r="AA16" s="36">
        <f t="shared" si="4"/>
        <v>2487.9430878281823</v>
      </c>
      <c r="AB16" s="36">
        <f t="shared" si="5"/>
        <v>2761.6168274892825</v>
      </c>
      <c r="AC16" s="36">
        <f t="shared" si="6"/>
        <v>3065.3946785131038</v>
      </c>
    </row>
    <row r="17" spans="1:29" x14ac:dyDescent="0.25">
      <c r="A17" s="34">
        <v>1100</v>
      </c>
      <c r="B17" s="36">
        <v>142.6</v>
      </c>
      <c r="C17" s="36">
        <f t="shared" ref="C17:C23" si="57">B17*C$26</f>
        <v>158.286</v>
      </c>
      <c r="D17" s="36">
        <f t="shared" ref="D17:D23" si="58">C17*D$26</f>
        <v>175.69746000000001</v>
      </c>
      <c r="E17" s="36">
        <f t="shared" ref="E17:E23" si="59">D17*E$26</f>
        <v>195.02418060000002</v>
      </c>
      <c r="F17" s="36">
        <f t="shared" ref="F17:F23" si="60">E17*F$26</f>
        <v>216.47684046600006</v>
      </c>
      <c r="G17" s="36">
        <f t="shared" ref="G17:G23" si="61">F17*G$26</f>
        <v>240.28929291726007</v>
      </c>
      <c r="H17" s="36">
        <f t="shared" ref="H17:H23" si="62">G17*H$26</f>
        <v>266.72111513815872</v>
      </c>
      <c r="I17" s="36">
        <f t="shared" ref="I17:I23" si="63">H17*I$26</f>
        <v>296.06043780335619</v>
      </c>
      <c r="J17" s="36">
        <f t="shared" ref="J17:J23" si="64">I17*J$26</f>
        <v>328.62708596172541</v>
      </c>
      <c r="K17" s="36">
        <f t="shared" ref="K17:K23" si="65">J17*K$26</f>
        <v>364.77606541751521</v>
      </c>
      <c r="L17" s="36">
        <f t="shared" ref="L17:L23" si="66">K17*L$26</f>
        <v>474.20888504276979</v>
      </c>
      <c r="M17" s="36">
        <f t="shared" ref="M17:M23" si="67">L17*M$26</f>
        <v>526.3718623974745</v>
      </c>
      <c r="N17" s="36">
        <f t="shared" ref="N17:N23" si="68">M17*N$26</f>
        <v>584.2727672611968</v>
      </c>
      <c r="O17" s="36">
        <f t="shared" ref="O17:O23" si="69">N17*O$26</f>
        <v>648.54277165992846</v>
      </c>
      <c r="P17" s="36">
        <f t="shared" ref="P17:P23" si="70">O17*P$26</f>
        <v>719.88247654252064</v>
      </c>
      <c r="Q17" s="36">
        <f t="shared" ref="Q17:Q23" si="71">P17*Q$26</f>
        <v>799.06954896219793</v>
      </c>
      <c r="R17" s="36">
        <f t="shared" ref="R17:R23" si="72">Q17*R$26</f>
        <v>1038.7904136508573</v>
      </c>
      <c r="S17" s="36">
        <f t="shared" ref="S17:S23" si="73">R17*S$26</f>
        <v>1153.0573591524517</v>
      </c>
      <c r="T17" s="36">
        <f t="shared" ref="T17:T23" si="74">S17*T$26</f>
        <v>1279.8936686592215</v>
      </c>
      <c r="U17" s="36">
        <f t="shared" ref="U17:U23" si="75">T17*U$26</f>
        <v>1420.6819722117359</v>
      </c>
      <c r="V17" s="36">
        <f t="shared" ref="V17:V23" si="76">U17*V$26</f>
        <v>1576.956989155027</v>
      </c>
      <c r="W17" s="36">
        <f t="shared" ref="W17:W23" si="77">V17*W$26</f>
        <v>1750.4222579620803</v>
      </c>
      <c r="X17" s="36">
        <f t="shared" si="1"/>
        <v>2275.5489353507046</v>
      </c>
      <c r="Y17" s="36">
        <f t="shared" si="2"/>
        <v>2525.8593182392824</v>
      </c>
      <c r="Z17" s="36">
        <f t="shared" si="3"/>
        <v>2803.7038432456038</v>
      </c>
      <c r="AA17" s="36">
        <f t="shared" si="4"/>
        <v>3112.1112660026206</v>
      </c>
      <c r="AB17" s="36">
        <f t="shared" si="5"/>
        <v>3454.4435052629092</v>
      </c>
      <c r="AC17" s="36">
        <f t="shared" si="6"/>
        <v>3834.4322908418294</v>
      </c>
    </row>
    <row r="18" spans="1:29" x14ac:dyDescent="0.25">
      <c r="A18" s="34">
        <v>1200</v>
      </c>
      <c r="B18" s="36">
        <v>168</v>
      </c>
      <c r="C18" s="36">
        <f t="shared" si="57"/>
        <v>186.48000000000002</v>
      </c>
      <c r="D18" s="36">
        <f t="shared" si="58"/>
        <v>206.99280000000005</v>
      </c>
      <c r="E18" s="36">
        <f t="shared" si="59"/>
        <v>229.76200800000007</v>
      </c>
      <c r="F18" s="36">
        <f t="shared" si="60"/>
        <v>255.03582888000008</v>
      </c>
      <c r="G18" s="36">
        <f t="shared" si="61"/>
        <v>283.08977005680009</v>
      </c>
      <c r="H18" s="36">
        <f t="shared" si="62"/>
        <v>314.22964476304816</v>
      </c>
      <c r="I18" s="36">
        <f t="shared" si="63"/>
        <v>348.7949056869835</v>
      </c>
      <c r="J18" s="36">
        <f t="shared" si="64"/>
        <v>387.16234531255174</v>
      </c>
      <c r="K18" s="36">
        <f t="shared" si="65"/>
        <v>429.75020329693245</v>
      </c>
      <c r="L18" s="36">
        <f t="shared" si="66"/>
        <v>558.67526428601218</v>
      </c>
      <c r="M18" s="36">
        <f t="shared" si="67"/>
        <v>620.12954335747361</v>
      </c>
      <c r="N18" s="36">
        <f t="shared" si="68"/>
        <v>688.34379312679573</v>
      </c>
      <c r="O18" s="36">
        <f t="shared" si="69"/>
        <v>764.06161037074332</v>
      </c>
      <c r="P18" s="36">
        <f t="shared" si="70"/>
        <v>848.10838751152517</v>
      </c>
      <c r="Q18" s="36">
        <f t="shared" si="71"/>
        <v>941.40031013779299</v>
      </c>
      <c r="R18" s="36">
        <f t="shared" si="72"/>
        <v>1223.8204031791308</v>
      </c>
      <c r="S18" s="36">
        <f t="shared" si="73"/>
        <v>1358.4406475288354</v>
      </c>
      <c r="T18" s="36">
        <f t="shared" si="74"/>
        <v>1507.8691187570073</v>
      </c>
      <c r="U18" s="36">
        <f t="shared" si="75"/>
        <v>1673.7347218202783</v>
      </c>
      <c r="V18" s="36">
        <f t="shared" si="76"/>
        <v>1857.8455412205092</v>
      </c>
      <c r="W18" s="36">
        <f t="shared" si="77"/>
        <v>2062.2085507547654</v>
      </c>
      <c r="X18" s="36">
        <f t="shared" si="1"/>
        <v>2680.8711159811951</v>
      </c>
      <c r="Y18" s="36">
        <f t="shared" si="2"/>
        <v>2975.766938739127</v>
      </c>
      <c r="Z18" s="36">
        <f t="shared" si="3"/>
        <v>3303.1013020004311</v>
      </c>
      <c r="AA18" s="36">
        <f t="shared" si="4"/>
        <v>3666.4424452204789</v>
      </c>
      <c r="AB18" s="36">
        <f t="shared" si="5"/>
        <v>4069.7511141947321</v>
      </c>
      <c r="AC18" s="36">
        <f t="shared" si="6"/>
        <v>4517.4237367561527</v>
      </c>
    </row>
    <row r="19" spans="1:29" x14ac:dyDescent="0.25">
      <c r="A19" s="34">
        <v>1400</v>
      </c>
      <c r="B19" s="36">
        <v>224.5</v>
      </c>
      <c r="C19" s="36">
        <f t="shared" si="57"/>
        <v>249.19500000000002</v>
      </c>
      <c r="D19" s="36">
        <f t="shared" si="58"/>
        <v>276.60645000000005</v>
      </c>
      <c r="E19" s="36">
        <f t="shared" si="59"/>
        <v>307.03315950000007</v>
      </c>
      <c r="F19" s="36">
        <f t="shared" si="60"/>
        <v>340.80680704500008</v>
      </c>
      <c r="G19" s="36">
        <f t="shared" si="61"/>
        <v>378.29555581995015</v>
      </c>
      <c r="H19" s="36">
        <f t="shared" si="62"/>
        <v>419.90806696014471</v>
      </c>
      <c r="I19" s="36">
        <f t="shared" si="63"/>
        <v>466.09795432576067</v>
      </c>
      <c r="J19" s="36">
        <f t="shared" si="64"/>
        <v>517.36872930159439</v>
      </c>
      <c r="K19" s="36">
        <f t="shared" si="65"/>
        <v>574.27928952476987</v>
      </c>
      <c r="L19" s="36">
        <f t="shared" si="66"/>
        <v>746.56307638220085</v>
      </c>
      <c r="M19" s="36">
        <f t="shared" si="67"/>
        <v>828.68501478424298</v>
      </c>
      <c r="N19" s="36">
        <f t="shared" si="68"/>
        <v>919.84036641050977</v>
      </c>
      <c r="O19" s="36">
        <f t="shared" si="69"/>
        <v>1021.022806715666</v>
      </c>
      <c r="P19" s="36">
        <f t="shared" si="70"/>
        <v>1133.3353154543893</v>
      </c>
      <c r="Q19" s="36">
        <f t="shared" si="71"/>
        <v>1258.0022001543723</v>
      </c>
      <c r="R19" s="36">
        <f t="shared" si="72"/>
        <v>1635.402860200684</v>
      </c>
      <c r="S19" s="36">
        <f t="shared" si="73"/>
        <v>1815.2971748227594</v>
      </c>
      <c r="T19" s="36">
        <f t="shared" si="74"/>
        <v>2014.9798640532631</v>
      </c>
      <c r="U19" s="36">
        <f t="shared" si="75"/>
        <v>2236.6276490991222</v>
      </c>
      <c r="V19" s="36">
        <f t="shared" si="76"/>
        <v>2482.6566905000259</v>
      </c>
      <c r="W19" s="36">
        <f t="shared" si="77"/>
        <v>2755.748926455029</v>
      </c>
      <c r="X19" s="36">
        <f t="shared" si="1"/>
        <v>3582.4736043915377</v>
      </c>
      <c r="Y19" s="36">
        <f t="shared" si="2"/>
        <v>3976.5457008746071</v>
      </c>
      <c r="Z19" s="36">
        <f t="shared" si="3"/>
        <v>4413.9657279708144</v>
      </c>
      <c r="AA19" s="36">
        <f t="shared" si="4"/>
        <v>4899.5019580476046</v>
      </c>
      <c r="AB19" s="36">
        <f t="shared" si="5"/>
        <v>5438.4471734328417</v>
      </c>
      <c r="AC19" s="36">
        <f t="shared" si="6"/>
        <v>6036.676362510455</v>
      </c>
    </row>
    <row r="20" spans="1:29" x14ac:dyDescent="0.25">
      <c r="A20" s="34">
        <v>1600</v>
      </c>
      <c r="B20" s="36">
        <v>288.60000000000002</v>
      </c>
      <c r="C20" s="36">
        <f t="shared" si="57"/>
        <v>320.34600000000006</v>
      </c>
      <c r="D20" s="36">
        <f t="shared" si="58"/>
        <v>355.58406000000008</v>
      </c>
      <c r="E20" s="36">
        <f t="shared" si="59"/>
        <v>394.69830660000014</v>
      </c>
      <c r="F20" s="36">
        <f t="shared" si="60"/>
        <v>438.11512032600018</v>
      </c>
      <c r="G20" s="36">
        <f t="shared" si="61"/>
        <v>486.30778356186022</v>
      </c>
      <c r="H20" s="36">
        <f t="shared" si="62"/>
        <v>539.80163975366486</v>
      </c>
      <c r="I20" s="36">
        <f t="shared" si="63"/>
        <v>599.17982012656807</v>
      </c>
      <c r="J20" s="36">
        <f t="shared" si="64"/>
        <v>665.08960034049062</v>
      </c>
      <c r="K20" s="36">
        <f t="shared" si="65"/>
        <v>738.24945637794463</v>
      </c>
      <c r="L20" s="36">
        <f t="shared" si="66"/>
        <v>959.72429329132808</v>
      </c>
      <c r="M20" s="36">
        <f t="shared" si="67"/>
        <v>1065.2939655533742</v>
      </c>
      <c r="N20" s="36">
        <f t="shared" si="68"/>
        <v>1182.4763017642454</v>
      </c>
      <c r="O20" s="36">
        <f t="shared" si="69"/>
        <v>1312.5486949583126</v>
      </c>
      <c r="P20" s="36">
        <f t="shared" si="70"/>
        <v>1456.929051403727</v>
      </c>
      <c r="Q20" s="36">
        <f t="shared" si="71"/>
        <v>1617.1912470581372</v>
      </c>
      <c r="R20" s="36">
        <f t="shared" si="72"/>
        <v>2102.3486211755785</v>
      </c>
      <c r="S20" s="36">
        <f t="shared" si="73"/>
        <v>2333.6069695048923</v>
      </c>
      <c r="T20" s="36">
        <f t="shared" si="74"/>
        <v>2590.3037361504307</v>
      </c>
      <c r="U20" s="36">
        <f t="shared" si="75"/>
        <v>2875.2371471269785</v>
      </c>
      <c r="V20" s="36">
        <f t="shared" si="76"/>
        <v>3191.5132333109464</v>
      </c>
      <c r="W20" s="36">
        <f t="shared" si="77"/>
        <v>3542.5796889751509</v>
      </c>
      <c r="X20" s="36">
        <f t="shared" si="1"/>
        <v>4605.353595667696</v>
      </c>
      <c r="Y20" s="36">
        <f t="shared" si="2"/>
        <v>5111.9424911911428</v>
      </c>
      <c r="Z20" s="36">
        <f t="shared" si="3"/>
        <v>5674.2561652221693</v>
      </c>
      <c r="AA20" s="36">
        <f t="shared" si="4"/>
        <v>6298.4243433966085</v>
      </c>
      <c r="AB20" s="36">
        <f t="shared" si="5"/>
        <v>6991.2510211702356</v>
      </c>
      <c r="AC20" s="36">
        <f t="shared" si="6"/>
        <v>7760.2886334989626</v>
      </c>
    </row>
    <row r="21" spans="1:29" x14ac:dyDescent="0.25">
      <c r="A21" s="34">
        <v>1800</v>
      </c>
      <c r="B21" s="36">
        <v>360.1</v>
      </c>
      <c r="C21" s="36">
        <f t="shared" si="57"/>
        <v>399.71100000000007</v>
      </c>
      <c r="D21" s="36">
        <f t="shared" si="58"/>
        <v>443.67921000000013</v>
      </c>
      <c r="E21" s="36">
        <f t="shared" si="59"/>
        <v>492.4839231000002</v>
      </c>
      <c r="F21" s="36">
        <f t="shared" si="60"/>
        <v>546.65715464100026</v>
      </c>
      <c r="G21" s="36">
        <f t="shared" si="61"/>
        <v>606.78944165151029</v>
      </c>
      <c r="H21" s="36">
        <f t="shared" si="62"/>
        <v>673.53628023317651</v>
      </c>
      <c r="I21" s="36">
        <f t="shared" si="63"/>
        <v>747.625271058826</v>
      </c>
      <c r="J21" s="36">
        <f t="shared" si="64"/>
        <v>829.86405087529693</v>
      </c>
      <c r="K21" s="36">
        <f t="shared" si="65"/>
        <v>921.1490964715797</v>
      </c>
      <c r="L21" s="36">
        <f t="shared" si="66"/>
        <v>1197.4938254130536</v>
      </c>
      <c r="M21" s="36">
        <f t="shared" si="67"/>
        <v>1329.2181462084895</v>
      </c>
      <c r="N21" s="36">
        <f t="shared" si="68"/>
        <v>1475.4321422914236</v>
      </c>
      <c r="O21" s="36">
        <f t="shared" si="69"/>
        <v>1637.7296779434803</v>
      </c>
      <c r="P21" s="36">
        <f t="shared" si="70"/>
        <v>1817.8799425172633</v>
      </c>
      <c r="Q21" s="36">
        <f t="shared" si="71"/>
        <v>2017.8467361941625</v>
      </c>
      <c r="R21" s="36">
        <f t="shared" si="72"/>
        <v>2623.2007570524115</v>
      </c>
      <c r="S21" s="36">
        <f t="shared" si="73"/>
        <v>2911.7528403281772</v>
      </c>
      <c r="T21" s="36">
        <f t="shared" si="74"/>
        <v>3232.0456527642768</v>
      </c>
      <c r="U21" s="36">
        <f t="shared" si="75"/>
        <v>3587.5706745683474</v>
      </c>
      <c r="V21" s="36">
        <f t="shared" si="76"/>
        <v>3982.2034487708661</v>
      </c>
      <c r="W21" s="36">
        <f t="shared" si="77"/>
        <v>4420.2458281356621</v>
      </c>
      <c r="X21" s="36">
        <f t="shared" si="1"/>
        <v>5746.3195765763612</v>
      </c>
      <c r="Y21" s="36">
        <f t="shared" si="2"/>
        <v>6378.4147299997612</v>
      </c>
      <c r="Z21" s="36">
        <f t="shared" si="3"/>
        <v>7080.040350299736</v>
      </c>
      <c r="AA21" s="36">
        <f t="shared" si="4"/>
        <v>7858.8447888327073</v>
      </c>
      <c r="AB21" s="36">
        <f t="shared" si="5"/>
        <v>8723.3177156043057</v>
      </c>
      <c r="AC21" s="36">
        <f t="shared" si="6"/>
        <v>9682.8826643207794</v>
      </c>
    </row>
    <row r="22" spans="1:29" x14ac:dyDescent="0.25">
      <c r="A22" s="34">
        <v>2000</v>
      </c>
      <c r="B22" s="36">
        <v>439.1</v>
      </c>
      <c r="C22" s="36">
        <f t="shared" si="57"/>
        <v>487.40100000000007</v>
      </c>
      <c r="D22" s="36">
        <f t="shared" si="58"/>
        <v>541.01511000000016</v>
      </c>
      <c r="E22" s="36">
        <f t="shared" si="59"/>
        <v>600.52677210000024</v>
      </c>
      <c r="F22" s="36">
        <f t="shared" si="60"/>
        <v>666.58471703100031</v>
      </c>
      <c r="G22" s="36">
        <f t="shared" si="61"/>
        <v>739.90903590441042</v>
      </c>
      <c r="H22" s="36">
        <f t="shared" si="62"/>
        <v>821.2990298538956</v>
      </c>
      <c r="I22" s="36">
        <f t="shared" si="63"/>
        <v>911.64192313782416</v>
      </c>
      <c r="J22" s="36">
        <f t="shared" si="64"/>
        <v>1011.9225346829849</v>
      </c>
      <c r="K22" s="36">
        <f t="shared" si="65"/>
        <v>1123.2340134981132</v>
      </c>
      <c r="L22" s="36">
        <f t="shared" si="66"/>
        <v>1460.2042175475472</v>
      </c>
      <c r="M22" s="36">
        <f t="shared" si="67"/>
        <v>1620.8266814777776</v>
      </c>
      <c r="N22" s="36">
        <f t="shared" si="68"/>
        <v>1799.1176164403332</v>
      </c>
      <c r="O22" s="36">
        <f t="shared" si="69"/>
        <v>1997.0205542487699</v>
      </c>
      <c r="P22" s="36">
        <f t="shared" si="70"/>
        <v>2216.6928152161349</v>
      </c>
      <c r="Q22" s="36">
        <f t="shared" si="71"/>
        <v>2460.52902488991</v>
      </c>
      <c r="R22" s="36">
        <f t="shared" si="72"/>
        <v>3198.6877323568833</v>
      </c>
      <c r="S22" s="36">
        <f t="shared" si="73"/>
        <v>3550.5433829161407</v>
      </c>
      <c r="T22" s="36">
        <f t="shared" si="74"/>
        <v>3941.1031550369166</v>
      </c>
      <c r="U22" s="36">
        <f t="shared" si="75"/>
        <v>4374.6245020909782</v>
      </c>
      <c r="V22" s="36">
        <f t="shared" si="76"/>
        <v>4855.8331973209861</v>
      </c>
      <c r="W22" s="36">
        <f t="shared" si="77"/>
        <v>5389.9748490262946</v>
      </c>
      <c r="X22" s="36">
        <f t="shared" si="1"/>
        <v>7006.9673037341836</v>
      </c>
      <c r="Y22" s="36">
        <f t="shared" si="2"/>
        <v>7777.7337071449447</v>
      </c>
      <c r="Z22" s="36">
        <f t="shared" si="3"/>
        <v>8633.2844149308894</v>
      </c>
      <c r="AA22" s="36">
        <f t="shared" si="4"/>
        <v>9582.9457005732875</v>
      </c>
      <c r="AB22" s="36">
        <f t="shared" si="5"/>
        <v>10637.06972763635</v>
      </c>
      <c r="AC22" s="36">
        <f t="shared" si="6"/>
        <v>11807.14739767635</v>
      </c>
    </row>
    <row r="23" spans="1:29" x14ac:dyDescent="0.25">
      <c r="A23" s="34">
        <v>2200</v>
      </c>
      <c r="B23" s="36">
        <v>525.29999999999995</v>
      </c>
      <c r="C23" s="36">
        <f t="shared" si="57"/>
        <v>583.08299999999997</v>
      </c>
      <c r="D23" s="36">
        <f t="shared" si="58"/>
        <v>647.22212999999999</v>
      </c>
      <c r="E23" s="36">
        <f t="shared" si="59"/>
        <v>718.4165643</v>
      </c>
      <c r="F23" s="36">
        <f t="shared" si="60"/>
        <v>797.44238637300009</v>
      </c>
      <c r="G23" s="36">
        <f t="shared" si="61"/>
        <v>885.16104887403014</v>
      </c>
      <c r="H23" s="36">
        <f t="shared" si="62"/>
        <v>982.52876425017359</v>
      </c>
      <c r="I23" s="36">
        <f t="shared" si="63"/>
        <v>1090.6069283176928</v>
      </c>
      <c r="J23" s="36">
        <f t="shared" si="64"/>
        <v>1210.5736904326391</v>
      </c>
      <c r="K23" s="36">
        <f t="shared" si="65"/>
        <v>1343.7367963802294</v>
      </c>
      <c r="L23" s="36">
        <f t="shared" si="66"/>
        <v>1746.8578352942982</v>
      </c>
      <c r="M23" s="36">
        <f t="shared" si="67"/>
        <v>1939.0121971766712</v>
      </c>
      <c r="N23" s="36">
        <f t="shared" si="68"/>
        <v>2152.3035388661051</v>
      </c>
      <c r="O23" s="36">
        <f t="shared" si="69"/>
        <v>2389.0569281413768</v>
      </c>
      <c r="P23" s="36">
        <f t="shared" si="70"/>
        <v>2651.8531902369286</v>
      </c>
      <c r="Q23" s="36">
        <f t="shared" si="71"/>
        <v>2943.557041162991</v>
      </c>
      <c r="R23" s="36">
        <f t="shared" si="72"/>
        <v>3826.6241535118884</v>
      </c>
      <c r="S23" s="36">
        <f t="shared" si="73"/>
        <v>4247.5528103981969</v>
      </c>
      <c r="T23" s="36">
        <f t="shared" si="74"/>
        <v>4714.7836195419986</v>
      </c>
      <c r="U23" s="36">
        <f t="shared" si="75"/>
        <v>5233.4098176916186</v>
      </c>
      <c r="V23" s="36">
        <f t="shared" si="76"/>
        <v>5809.0848976376974</v>
      </c>
      <c r="W23" s="36">
        <f t="shared" si="77"/>
        <v>6448.0842363778447</v>
      </c>
      <c r="X23" s="36">
        <f t="shared" si="1"/>
        <v>8382.509507291199</v>
      </c>
      <c r="Y23" s="36">
        <f t="shared" si="2"/>
        <v>9304.5855530932313</v>
      </c>
      <c r="Z23" s="36">
        <f t="shared" si="3"/>
        <v>10328.089963933488</v>
      </c>
      <c r="AA23" s="36">
        <f t="shared" si="4"/>
        <v>11464.179859966172</v>
      </c>
      <c r="AB23" s="36">
        <f t="shared" si="5"/>
        <v>12725.239644562453</v>
      </c>
      <c r="AC23" s="36">
        <f t="shared" si="6"/>
        <v>14125.016005464324</v>
      </c>
    </row>
    <row r="24" spans="1:29" x14ac:dyDescent="0.25">
      <c r="A24" s="31"/>
    </row>
    <row r="25" spans="1:29" x14ac:dyDescent="0.25">
      <c r="A25" s="32" t="s">
        <v>23</v>
      </c>
      <c r="B25" s="33" t="s">
        <v>3</v>
      </c>
      <c r="C25" s="33" t="s">
        <v>4</v>
      </c>
      <c r="D25" s="33" t="s">
        <v>5</v>
      </c>
      <c r="E25" s="33" t="s">
        <v>6</v>
      </c>
      <c r="F25" s="33" t="s">
        <v>7</v>
      </c>
      <c r="G25" s="33" t="s">
        <v>8</v>
      </c>
      <c r="H25" s="33" t="s">
        <v>9</v>
      </c>
      <c r="I25" s="33" t="s">
        <v>10</v>
      </c>
      <c r="J25" s="33" t="s">
        <v>11</v>
      </c>
      <c r="K25" s="33" t="s">
        <v>12</v>
      </c>
      <c r="L25" s="33" t="s">
        <v>13</v>
      </c>
      <c r="M25" s="33" t="s">
        <v>14</v>
      </c>
      <c r="N25" s="33" t="s">
        <v>15</v>
      </c>
      <c r="O25" s="33" t="s">
        <v>16</v>
      </c>
      <c r="P25" s="33" t="s">
        <v>17</v>
      </c>
      <c r="Q25" s="33" t="s">
        <v>18</v>
      </c>
      <c r="R25" s="33" t="s">
        <v>20</v>
      </c>
      <c r="S25" s="33" t="s">
        <v>21</v>
      </c>
      <c r="T25" s="33" t="s">
        <v>24</v>
      </c>
      <c r="U25" s="33" t="s">
        <v>25</v>
      </c>
      <c r="V25" s="33" t="s">
        <v>26</v>
      </c>
      <c r="W25" s="33" t="s">
        <v>27</v>
      </c>
      <c r="X25" s="33" t="s">
        <v>102</v>
      </c>
      <c r="Y25" s="33" t="s">
        <v>101</v>
      </c>
      <c r="Z25" s="33" t="s">
        <v>103</v>
      </c>
      <c r="AA25" s="33" t="s">
        <v>104</v>
      </c>
      <c r="AB25" s="33" t="s">
        <v>105</v>
      </c>
      <c r="AC25" s="33" t="s">
        <v>106</v>
      </c>
    </row>
    <row r="26" spans="1:29" x14ac:dyDescent="0.25">
      <c r="A26" s="32" t="s">
        <v>28</v>
      </c>
      <c r="B26" s="33"/>
      <c r="C26" s="33">
        <v>1.1100000000000001</v>
      </c>
      <c r="D26" s="33">
        <v>1.1100000000000001</v>
      </c>
      <c r="E26" s="33">
        <v>1.1100000000000001</v>
      </c>
      <c r="F26" s="33">
        <v>1.1100000000000001</v>
      </c>
      <c r="G26" s="33">
        <v>1.1100000000000001</v>
      </c>
      <c r="H26" s="33">
        <v>1.1100000000000001</v>
      </c>
      <c r="I26" s="33">
        <v>1.1100000000000001</v>
      </c>
      <c r="J26" s="33">
        <v>1.1100000000000001</v>
      </c>
      <c r="K26" s="33">
        <v>1.1100000000000001</v>
      </c>
      <c r="L26" s="33">
        <v>1.3</v>
      </c>
      <c r="M26" s="33">
        <v>1.1100000000000001</v>
      </c>
      <c r="N26" s="33">
        <v>1.1100000000000001</v>
      </c>
      <c r="O26" s="33">
        <v>1.1100000000000001</v>
      </c>
      <c r="P26" s="33">
        <v>1.1100000000000001</v>
      </c>
      <c r="Q26" s="33">
        <v>1.1100000000000001</v>
      </c>
      <c r="R26" s="33">
        <v>1.3</v>
      </c>
      <c r="S26" s="33">
        <v>1.1100000000000001</v>
      </c>
      <c r="T26" s="33">
        <v>1.1100000000000001</v>
      </c>
      <c r="U26" s="33">
        <v>1.1100000000000001</v>
      </c>
      <c r="V26" s="33">
        <v>1.1100000000000001</v>
      </c>
      <c r="W26" s="33">
        <v>1.1100000000000001</v>
      </c>
      <c r="X26" s="33">
        <v>1.3</v>
      </c>
      <c r="Y26" s="33">
        <v>1.1100000000000001</v>
      </c>
      <c r="Z26" s="33">
        <v>1.1100000000000001</v>
      </c>
      <c r="AA26" s="33">
        <v>1.1100000000000001</v>
      </c>
      <c r="AB26" s="33">
        <v>1.1100000000000001</v>
      </c>
      <c r="AC26" s="33">
        <v>1.1100000000000001</v>
      </c>
    </row>
    <row r="27" spans="1:29" x14ac:dyDescent="0.25">
      <c r="A27" s="31"/>
    </row>
    <row r="28" spans="1:29" x14ac:dyDescent="0.25">
      <c r="A28" s="31"/>
    </row>
    <row r="29" spans="1:29" x14ac:dyDescent="0.25">
      <c r="A29" s="32" t="s">
        <v>36</v>
      </c>
      <c r="B29" s="33" t="s">
        <v>3</v>
      </c>
      <c r="C29" s="33" t="s">
        <v>4</v>
      </c>
      <c r="D29" s="33" t="s">
        <v>5</v>
      </c>
      <c r="E29" s="33" t="s">
        <v>6</v>
      </c>
      <c r="F29" s="33" t="s">
        <v>7</v>
      </c>
      <c r="G29" s="33" t="s">
        <v>8</v>
      </c>
      <c r="H29" s="33" t="s">
        <v>9</v>
      </c>
      <c r="I29" s="33" t="s">
        <v>10</v>
      </c>
      <c r="J29" s="33" t="s">
        <v>11</v>
      </c>
      <c r="K29" s="33" t="s">
        <v>12</v>
      </c>
      <c r="L29" s="33" t="s">
        <v>13</v>
      </c>
      <c r="M29" s="33" t="s">
        <v>14</v>
      </c>
      <c r="N29" s="33" t="s">
        <v>15</v>
      </c>
      <c r="O29" s="33" t="s">
        <v>16</v>
      </c>
      <c r="P29" s="33" t="s">
        <v>17</v>
      </c>
      <c r="Q29" s="33" t="s">
        <v>18</v>
      </c>
      <c r="R29" s="33" t="s">
        <v>20</v>
      </c>
      <c r="S29" s="33" t="s">
        <v>21</v>
      </c>
      <c r="T29" s="33" t="s">
        <v>24</v>
      </c>
      <c r="U29" s="33" t="s">
        <v>25</v>
      </c>
      <c r="V29" s="33" t="s">
        <v>26</v>
      </c>
      <c r="W29" s="33" t="s">
        <v>27</v>
      </c>
    </row>
    <row r="30" spans="1:29" x14ac:dyDescent="0.25">
      <c r="A30" s="34">
        <v>100</v>
      </c>
      <c r="B30" s="36">
        <v>10.199999999999999</v>
      </c>
      <c r="C30" s="36">
        <f>B30*C$26</f>
        <v>11.322000000000001</v>
      </c>
      <c r="D30" s="36">
        <f t="shared" ref="D30:W30" si="78">C30*D$26</f>
        <v>12.567420000000002</v>
      </c>
      <c r="E30" s="36">
        <f t="shared" si="78"/>
        <v>13.949836200000004</v>
      </c>
      <c r="F30" s="36">
        <f t="shared" si="78"/>
        <v>15.484318182000006</v>
      </c>
      <c r="G30" s="36">
        <f t="shared" si="78"/>
        <v>17.187593182020009</v>
      </c>
      <c r="H30" s="36">
        <f t="shared" si="78"/>
        <v>19.078228432042213</v>
      </c>
      <c r="I30" s="36">
        <f t="shared" si="78"/>
        <v>21.176833559566859</v>
      </c>
      <c r="J30" s="36">
        <f t="shared" si="78"/>
        <v>23.506285251119216</v>
      </c>
      <c r="K30" s="36">
        <f t="shared" si="78"/>
        <v>26.091976628742334</v>
      </c>
      <c r="L30" s="36">
        <f t="shared" si="78"/>
        <v>33.919569617365035</v>
      </c>
      <c r="M30" s="36">
        <f t="shared" si="78"/>
        <v>37.650722275275193</v>
      </c>
      <c r="N30" s="36">
        <f t="shared" si="78"/>
        <v>41.792301725555468</v>
      </c>
      <c r="O30" s="36">
        <f t="shared" si="78"/>
        <v>46.389454915366571</v>
      </c>
      <c r="P30" s="36">
        <f t="shared" si="78"/>
        <v>51.492294956056895</v>
      </c>
      <c r="Q30" s="36">
        <f t="shared" si="78"/>
        <v>57.156447401223161</v>
      </c>
      <c r="R30" s="36">
        <f t="shared" si="78"/>
        <v>74.303381621590106</v>
      </c>
      <c r="S30" s="36">
        <f t="shared" si="78"/>
        <v>82.476753599965022</v>
      </c>
      <c r="T30" s="36">
        <f t="shared" si="78"/>
        <v>91.549196495961183</v>
      </c>
      <c r="U30" s="36">
        <f t="shared" si="78"/>
        <v>101.61960811051692</v>
      </c>
      <c r="V30" s="36">
        <f t="shared" si="78"/>
        <v>112.7977650026738</v>
      </c>
      <c r="W30" s="36">
        <f t="shared" si="78"/>
        <v>125.20551915296792</v>
      </c>
    </row>
    <row r="31" spans="1:29" x14ac:dyDescent="0.25">
      <c r="A31" s="34">
        <v>110</v>
      </c>
      <c r="B31" s="36">
        <v>10.199999999999999</v>
      </c>
      <c r="C31" s="36">
        <f>B31*C$26</f>
        <v>11.322000000000001</v>
      </c>
      <c r="D31" s="36">
        <f t="shared" ref="D31:D32" si="79">C31*D$26</f>
        <v>12.567420000000002</v>
      </c>
      <c r="E31" s="36">
        <f t="shared" ref="E31:E32" si="80">D31*E$26</f>
        <v>13.949836200000004</v>
      </c>
      <c r="F31" s="36">
        <f t="shared" ref="F31:F32" si="81">E31*F$26</f>
        <v>15.484318182000006</v>
      </c>
      <c r="G31" s="36">
        <f t="shared" ref="G31:G32" si="82">F31*G$26</f>
        <v>17.187593182020009</v>
      </c>
      <c r="H31" s="36">
        <f t="shared" ref="H31:H32" si="83">G31*H$26</f>
        <v>19.078228432042213</v>
      </c>
      <c r="I31" s="36">
        <f t="shared" ref="I31:I32" si="84">H31*I$26</f>
        <v>21.176833559566859</v>
      </c>
      <c r="J31" s="36">
        <f t="shared" ref="J31:J32" si="85">I31*J$26</f>
        <v>23.506285251119216</v>
      </c>
      <c r="K31" s="36">
        <f t="shared" ref="K31:K32" si="86">J31*K$26</f>
        <v>26.091976628742334</v>
      </c>
      <c r="L31" s="36">
        <f t="shared" ref="L31:L32" si="87">K31*L$26</f>
        <v>33.919569617365035</v>
      </c>
      <c r="M31" s="36">
        <f t="shared" ref="M31:M32" si="88">L31*M$26</f>
        <v>37.650722275275193</v>
      </c>
      <c r="N31" s="36">
        <f t="shared" ref="N31:N32" si="89">M31*N$26</f>
        <v>41.792301725555468</v>
      </c>
      <c r="O31" s="36">
        <f t="shared" ref="O31:O32" si="90">N31*O$26</f>
        <v>46.389454915366571</v>
      </c>
      <c r="P31" s="36">
        <f t="shared" ref="P31:P32" si="91">O31*P$26</f>
        <v>51.492294956056895</v>
      </c>
      <c r="Q31" s="36">
        <f t="shared" ref="Q31:Q32" si="92">P31*Q$26</f>
        <v>57.156447401223161</v>
      </c>
      <c r="R31" s="36">
        <f t="shared" ref="R31:R32" si="93">Q31*R$26</f>
        <v>74.303381621590106</v>
      </c>
      <c r="S31" s="36">
        <f t="shared" ref="S31:S32" si="94">R31*S$26</f>
        <v>82.476753599965022</v>
      </c>
      <c r="T31" s="36">
        <f t="shared" ref="T31:T32" si="95">S31*T$26</f>
        <v>91.549196495961183</v>
      </c>
      <c r="U31" s="36">
        <f t="shared" ref="U31:U32" si="96">T31*U$26</f>
        <v>101.61960811051692</v>
      </c>
      <c r="V31" s="36">
        <f t="shared" ref="V31:V32" si="97">U31*V$26</f>
        <v>112.7977650026738</v>
      </c>
      <c r="W31" s="36">
        <f t="shared" ref="W31:W32" si="98">V31*W$26</f>
        <v>125.20551915296792</v>
      </c>
    </row>
    <row r="32" spans="1:29" x14ac:dyDescent="0.25">
      <c r="A32" s="34">
        <v>150</v>
      </c>
      <c r="B32" s="36">
        <v>14</v>
      </c>
      <c r="C32" s="36">
        <f t="shared" ref="C32" si="99">B32*C$26</f>
        <v>15.540000000000001</v>
      </c>
      <c r="D32" s="36">
        <f t="shared" si="79"/>
        <v>17.249400000000001</v>
      </c>
      <c r="E32" s="36">
        <f t="shared" si="80"/>
        <v>19.146834000000002</v>
      </c>
      <c r="F32" s="36">
        <f t="shared" si="81"/>
        <v>21.252985740000003</v>
      </c>
      <c r="G32" s="36">
        <f t="shared" si="82"/>
        <v>23.590814171400005</v>
      </c>
      <c r="H32" s="36">
        <f t="shared" si="83"/>
        <v>26.185803730254008</v>
      </c>
      <c r="I32" s="36">
        <f t="shared" si="84"/>
        <v>29.066242140581952</v>
      </c>
      <c r="J32" s="36">
        <f t="shared" si="85"/>
        <v>32.263528776045973</v>
      </c>
      <c r="K32" s="36">
        <f t="shared" si="86"/>
        <v>35.812516941411033</v>
      </c>
      <c r="L32" s="36">
        <f t="shared" si="87"/>
        <v>46.556272023834346</v>
      </c>
      <c r="M32" s="36">
        <f t="shared" si="88"/>
        <v>51.677461946456127</v>
      </c>
      <c r="N32" s="36">
        <f t="shared" si="89"/>
        <v>57.361982760566306</v>
      </c>
      <c r="O32" s="36">
        <f t="shared" si="90"/>
        <v>63.671800864228608</v>
      </c>
      <c r="P32" s="36">
        <f t="shared" si="91"/>
        <v>70.675698959293754</v>
      </c>
      <c r="Q32" s="36">
        <f t="shared" si="92"/>
        <v>78.450025844816068</v>
      </c>
      <c r="R32" s="36">
        <f t="shared" si="93"/>
        <v>101.9850335982609</v>
      </c>
      <c r="S32" s="36">
        <f t="shared" si="94"/>
        <v>113.2033872940696</v>
      </c>
      <c r="T32" s="36">
        <f t="shared" si="95"/>
        <v>125.65575989641727</v>
      </c>
      <c r="U32" s="36">
        <f t="shared" si="96"/>
        <v>139.47789348502317</v>
      </c>
      <c r="V32" s="36">
        <f t="shared" si="97"/>
        <v>154.82046176837574</v>
      </c>
      <c r="W32" s="36">
        <f t="shared" si="98"/>
        <v>171.85071256289709</v>
      </c>
    </row>
    <row r="33" spans="1:23" x14ac:dyDescent="0.25">
      <c r="A33" s="34">
        <v>180</v>
      </c>
      <c r="B33" s="36">
        <v>17.399999999999999</v>
      </c>
      <c r="C33" s="36">
        <f t="shared" ref="C33:W33" si="100">B33*C$26</f>
        <v>19.314</v>
      </c>
      <c r="D33" s="36">
        <f t="shared" si="100"/>
        <v>21.438540000000003</v>
      </c>
      <c r="E33" s="36">
        <f t="shared" si="100"/>
        <v>23.796779400000005</v>
      </c>
      <c r="F33" s="36">
        <f t="shared" si="100"/>
        <v>26.414425134000009</v>
      </c>
      <c r="G33" s="36">
        <f t="shared" si="100"/>
        <v>29.320011898740013</v>
      </c>
      <c r="H33" s="36">
        <f t="shared" si="100"/>
        <v>32.545213207601421</v>
      </c>
      <c r="I33" s="36">
        <f t="shared" si="100"/>
        <v>36.125186660437578</v>
      </c>
      <c r="J33" s="36">
        <f t="shared" si="100"/>
        <v>40.098957193085717</v>
      </c>
      <c r="K33" s="36">
        <f t="shared" si="100"/>
        <v>44.509842484325148</v>
      </c>
      <c r="L33" s="36">
        <f t="shared" si="100"/>
        <v>57.862795229622691</v>
      </c>
      <c r="M33" s="36">
        <f t="shared" si="100"/>
        <v>64.227702704881196</v>
      </c>
      <c r="N33" s="36">
        <f t="shared" si="100"/>
        <v>71.292750002418131</v>
      </c>
      <c r="O33" s="36">
        <f t="shared" si="100"/>
        <v>79.134952502684129</v>
      </c>
      <c r="P33" s="36">
        <f t="shared" si="100"/>
        <v>87.839797277979386</v>
      </c>
      <c r="Q33" s="36">
        <f t="shared" si="100"/>
        <v>97.502174978557122</v>
      </c>
      <c r="R33" s="36">
        <f t="shared" si="100"/>
        <v>126.75282747212427</v>
      </c>
      <c r="S33" s="36">
        <f t="shared" si="100"/>
        <v>140.69563849405796</v>
      </c>
      <c r="T33" s="36">
        <f t="shared" si="100"/>
        <v>156.17215872840436</v>
      </c>
      <c r="U33" s="36">
        <f t="shared" si="100"/>
        <v>173.35109618852886</v>
      </c>
      <c r="V33" s="36">
        <f t="shared" si="100"/>
        <v>192.41971676926704</v>
      </c>
      <c r="W33" s="36">
        <f t="shared" si="100"/>
        <v>213.58588561388643</v>
      </c>
    </row>
    <row r="34" spans="1:23" x14ac:dyDescent="0.25">
      <c r="A34" s="34">
        <v>200</v>
      </c>
      <c r="B34" s="36">
        <v>32.1</v>
      </c>
      <c r="C34" s="36">
        <f t="shared" ref="C34:W34" si="101">B34*C$26</f>
        <v>35.631000000000007</v>
      </c>
      <c r="D34" s="36">
        <f t="shared" si="101"/>
        <v>39.550410000000014</v>
      </c>
      <c r="E34" s="36">
        <f t="shared" si="101"/>
        <v>43.900955100000019</v>
      </c>
      <c r="F34" s="36">
        <f t="shared" si="101"/>
        <v>48.730060161000026</v>
      </c>
      <c r="G34" s="36">
        <f t="shared" si="101"/>
        <v>54.090366778710035</v>
      </c>
      <c r="H34" s="36">
        <f t="shared" si="101"/>
        <v>60.040307124368141</v>
      </c>
      <c r="I34" s="36">
        <f t="shared" si="101"/>
        <v>66.644740908048647</v>
      </c>
      <c r="J34" s="36">
        <f t="shared" si="101"/>
        <v>73.97566240793401</v>
      </c>
      <c r="K34" s="36">
        <f t="shared" si="101"/>
        <v>82.112985272806753</v>
      </c>
      <c r="L34" s="36">
        <f t="shared" si="101"/>
        <v>106.74688085464878</v>
      </c>
      <c r="M34" s="36">
        <f t="shared" si="101"/>
        <v>118.48903774866015</v>
      </c>
      <c r="N34" s="36">
        <f t="shared" si="101"/>
        <v>131.52283190101278</v>
      </c>
      <c r="O34" s="36">
        <f t="shared" si="101"/>
        <v>145.99034341012421</v>
      </c>
      <c r="P34" s="36">
        <f t="shared" si="101"/>
        <v>162.0492811852379</v>
      </c>
      <c r="Q34" s="36">
        <f t="shared" si="101"/>
        <v>179.8747021156141</v>
      </c>
      <c r="R34" s="36">
        <f t="shared" si="101"/>
        <v>233.83711275029833</v>
      </c>
      <c r="S34" s="36">
        <f t="shared" si="101"/>
        <v>259.55919515283119</v>
      </c>
      <c r="T34" s="36">
        <f t="shared" si="101"/>
        <v>288.11070661964266</v>
      </c>
      <c r="U34" s="36">
        <f t="shared" si="101"/>
        <v>319.8028843478034</v>
      </c>
      <c r="V34" s="36">
        <f t="shared" si="101"/>
        <v>354.98120162606182</v>
      </c>
      <c r="W34" s="36">
        <f t="shared" si="101"/>
        <v>394.02913380492868</v>
      </c>
    </row>
    <row r="35" spans="1:23" x14ac:dyDescent="0.25">
      <c r="A35" s="34">
        <v>225</v>
      </c>
      <c r="B35" s="36">
        <v>25.2</v>
      </c>
      <c r="C35" s="36">
        <f t="shared" ref="C35:W36" si="102">B35*C$26</f>
        <v>27.972000000000001</v>
      </c>
      <c r="D35" s="36">
        <f t="shared" si="102"/>
        <v>31.048920000000003</v>
      </c>
      <c r="E35" s="36">
        <f t="shared" si="102"/>
        <v>34.464301200000008</v>
      </c>
      <c r="F35" s="36">
        <f t="shared" si="102"/>
        <v>38.255374332000009</v>
      </c>
      <c r="G35" s="36">
        <f t="shared" si="102"/>
        <v>42.463465508520017</v>
      </c>
      <c r="H35" s="36">
        <f t="shared" si="102"/>
        <v>47.134446714457219</v>
      </c>
      <c r="I35" s="36">
        <f t="shared" si="102"/>
        <v>52.319235853047516</v>
      </c>
      <c r="J35" s="36">
        <f t="shared" si="102"/>
        <v>58.074351796882745</v>
      </c>
      <c r="K35" s="36">
        <f t="shared" si="102"/>
        <v>64.462530494539848</v>
      </c>
      <c r="L35" s="36">
        <f t="shared" si="102"/>
        <v>83.801289642901807</v>
      </c>
      <c r="M35" s="36">
        <f t="shared" si="102"/>
        <v>93.019431503621007</v>
      </c>
      <c r="N35" s="36">
        <f t="shared" si="102"/>
        <v>103.25156896901933</v>
      </c>
      <c r="O35" s="36">
        <f t="shared" si="102"/>
        <v>114.60924155561146</v>
      </c>
      <c r="P35" s="36">
        <f t="shared" si="102"/>
        <v>127.21625812672873</v>
      </c>
      <c r="Q35" s="36">
        <f t="shared" si="102"/>
        <v>141.2100465206689</v>
      </c>
      <c r="R35" s="36">
        <f t="shared" si="102"/>
        <v>183.57306047686959</v>
      </c>
      <c r="S35" s="36">
        <f t="shared" si="102"/>
        <v>203.76609712932526</v>
      </c>
      <c r="T35" s="36">
        <f t="shared" si="102"/>
        <v>226.18036781355107</v>
      </c>
      <c r="U35" s="36">
        <f t="shared" si="102"/>
        <v>251.06020827304172</v>
      </c>
      <c r="V35" s="36">
        <f t="shared" si="102"/>
        <v>278.67683118307633</v>
      </c>
      <c r="W35" s="36">
        <f t="shared" si="102"/>
        <v>309.33128261321474</v>
      </c>
    </row>
    <row r="36" spans="1:23" x14ac:dyDescent="0.25">
      <c r="A36" s="34">
        <v>250</v>
      </c>
      <c r="B36" s="36">
        <v>40.700000000000003</v>
      </c>
      <c r="C36" s="36">
        <f t="shared" si="102"/>
        <v>45.177000000000007</v>
      </c>
      <c r="D36" s="36">
        <f t="shared" si="102"/>
        <v>50.146470000000015</v>
      </c>
      <c r="E36" s="36">
        <f t="shared" si="102"/>
        <v>55.662581700000018</v>
      </c>
      <c r="F36" s="36">
        <f t="shared" si="102"/>
        <v>61.785465687000027</v>
      </c>
      <c r="G36" s="36">
        <f t="shared" si="102"/>
        <v>68.581866912570035</v>
      </c>
      <c r="H36" s="36">
        <f t="shared" si="102"/>
        <v>76.125872272952748</v>
      </c>
      <c r="I36" s="36">
        <f t="shared" si="102"/>
        <v>84.499718222977563</v>
      </c>
      <c r="J36" s="36">
        <f t="shared" si="102"/>
        <v>93.794687227505108</v>
      </c>
      <c r="K36" s="36">
        <f t="shared" si="102"/>
        <v>104.11210282253067</v>
      </c>
      <c r="L36" s="36">
        <f t="shared" si="102"/>
        <v>135.34573366928987</v>
      </c>
      <c r="M36" s="36">
        <f t="shared" si="102"/>
        <v>150.23376437291176</v>
      </c>
      <c r="N36" s="36">
        <f t="shared" si="102"/>
        <v>166.75947845393208</v>
      </c>
      <c r="O36" s="36">
        <f t="shared" si="102"/>
        <v>185.10302108386463</v>
      </c>
      <c r="P36" s="36">
        <f t="shared" si="102"/>
        <v>205.46435340308977</v>
      </c>
      <c r="Q36" s="36">
        <f t="shared" si="102"/>
        <v>228.06543227742966</v>
      </c>
      <c r="R36" s="36">
        <f t="shared" si="102"/>
        <v>296.48506196065858</v>
      </c>
      <c r="S36" s="36">
        <f t="shared" si="102"/>
        <v>329.09841877633107</v>
      </c>
      <c r="T36" s="36">
        <f t="shared" si="102"/>
        <v>365.2992448417275</v>
      </c>
      <c r="U36" s="36">
        <f t="shared" si="102"/>
        <v>405.48216177431755</v>
      </c>
      <c r="V36" s="36">
        <f t="shared" si="102"/>
        <v>450.08519956949249</v>
      </c>
      <c r="W36" s="36">
        <f t="shared" si="102"/>
        <v>499.59457152213673</v>
      </c>
    </row>
    <row r="37" spans="1:23" x14ac:dyDescent="0.25">
      <c r="A37" s="34">
        <v>300</v>
      </c>
      <c r="B37" s="36">
        <v>49.2</v>
      </c>
      <c r="C37" s="36">
        <f t="shared" ref="C37:W37" si="103">B37*C$26</f>
        <v>54.612000000000009</v>
      </c>
      <c r="D37" s="36">
        <f t="shared" si="103"/>
        <v>60.619320000000016</v>
      </c>
      <c r="E37" s="36">
        <f t="shared" si="103"/>
        <v>67.287445200000022</v>
      </c>
      <c r="F37" s="36">
        <f t="shared" si="103"/>
        <v>74.68906417200003</v>
      </c>
      <c r="G37" s="36">
        <f t="shared" si="103"/>
        <v>82.904861230920048</v>
      </c>
      <c r="H37" s="36">
        <f t="shared" si="103"/>
        <v>92.024395966321265</v>
      </c>
      <c r="I37" s="36">
        <f t="shared" si="103"/>
        <v>102.14707952261661</v>
      </c>
      <c r="J37" s="36">
        <f t="shared" si="103"/>
        <v>113.38325827010445</v>
      </c>
      <c r="K37" s="36">
        <f t="shared" si="103"/>
        <v>125.85541667981595</v>
      </c>
      <c r="L37" s="36">
        <f t="shared" si="103"/>
        <v>163.61204168376074</v>
      </c>
      <c r="M37" s="36">
        <f t="shared" si="103"/>
        <v>181.60936626897444</v>
      </c>
      <c r="N37" s="36">
        <f t="shared" si="103"/>
        <v>201.58639655856166</v>
      </c>
      <c r="O37" s="36">
        <f t="shared" si="103"/>
        <v>223.76090018000346</v>
      </c>
      <c r="P37" s="36">
        <f t="shared" si="103"/>
        <v>248.37459919980387</v>
      </c>
      <c r="Q37" s="36">
        <f t="shared" si="103"/>
        <v>275.69580511178231</v>
      </c>
      <c r="R37" s="36">
        <f t="shared" si="103"/>
        <v>358.404546645317</v>
      </c>
      <c r="S37" s="36">
        <f t="shared" si="103"/>
        <v>397.82904677630188</v>
      </c>
      <c r="T37" s="36">
        <f t="shared" si="103"/>
        <v>441.59024192169511</v>
      </c>
      <c r="U37" s="36">
        <f t="shared" si="103"/>
        <v>490.16516853308161</v>
      </c>
      <c r="V37" s="36">
        <f t="shared" si="103"/>
        <v>544.08333707172062</v>
      </c>
      <c r="W37" s="36">
        <f t="shared" si="103"/>
        <v>603.93250414960994</v>
      </c>
    </row>
    <row r="38" spans="1:23" x14ac:dyDescent="0.25">
      <c r="A38" s="34">
        <v>315</v>
      </c>
      <c r="B38" s="36">
        <v>44.7</v>
      </c>
      <c r="C38" s="36">
        <f t="shared" ref="C38:W39" si="104">B38*C$26</f>
        <v>49.617000000000004</v>
      </c>
      <c r="D38" s="36">
        <f t="shared" si="104"/>
        <v>55.074870000000011</v>
      </c>
      <c r="E38" s="36">
        <f t="shared" si="104"/>
        <v>61.133105700000016</v>
      </c>
      <c r="F38" s="36">
        <f t="shared" si="104"/>
        <v>67.857747327000027</v>
      </c>
      <c r="G38" s="36">
        <f t="shared" si="104"/>
        <v>75.322099532970043</v>
      </c>
      <c r="H38" s="36">
        <f t="shared" si="104"/>
        <v>83.607530481596754</v>
      </c>
      <c r="I38" s="36">
        <f t="shared" si="104"/>
        <v>92.804358834572412</v>
      </c>
      <c r="J38" s="36">
        <f t="shared" si="104"/>
        <v>103.01283830637539</v>
      </c>
      <c r="K38" s="36">
        <f t="shared" si="104"/>
        <v>114.34425052007668</v>
      </c>
      <c r="L38" s="36">
        <f t="shared" si="104"/>
        <v>148.64752567609969</v>
      </c>
      <c r="M38" s="36">
        <f t="shared" si="104"/>
        <v>164.99875350047068</v>
      </c>
      <c r="N38" s="36">
        <f t="shared" si="104"/>
        <v>183.14861638552247</v>
      </c>
      <c r="O38" s="36">
        <f t="shared" si="104"/>
        <v>203.29496418792996</v>
      </c>
      <c r="P38" s="36">
        <f t="shared" si="104"/>
        <v>225.65741024860228</v>
      </c>
      <c r="Q38" s="36">
        <f t="shared" si="104"/>
        <v>250.47972537594856</v>
      </c>
      <c r="R38" s="36">
        <f t="shared" si="104"/>
        <v>325.62364298873314</v>
      </c>
      <c r="S38" s="36">
        <f t="shared" si="104"/>
        <v>361.4422437174938</v>
      </c>
      <c r="T38" s="36">
        <f t="shared" si="104"/>
        <v>401.20089052641816</v>
      </c>
      <c r="U38" s="36">
        <f t="shared" si="104"/>
        <v>445.33298848432418</v>
      </c>
      <c r="V38" s="36">
        <f t="shared" si="104"/>
        <v>494.3196172175999</v>
      </c>
      <c r="W38" s="36">
        <f t="shared" si="104"/>
        <v>548.69477511153593</v>
      </c>
    </row>
    <row r="39" spans="1:23" x14ac:dyDescent="0.25">
      <c r="A39" s="34">
        <v>350</v>
      </c>
      <c r="B39" s="36">
        <v>53</v>
      </c>
      <c r="C39" s="36">
        <f t="shared" si="104"/>
        <v>58.830000000000005</v>
      </c>
      <c r="D39" s="36">
        <f t="shared" si="104"/>
        <v>65.301300000000012</v>
      </c>
      <c r="E39" s="36">
        <f t="shared" si="104"/>
        <v>72.484443000000013</v>
      </c>
      <c r="F39" s="36">
        <f t="shared" si="104"/>
        <v>80.45773173000002</v>
      </c>
      <c r="G39" s="36">
        <f t="shared" si="104"/>
        <v>89.308082220300037</v>
      </c>
      <c r="H39" s="36">
        <f t="shared" si="104"/>
        <v>99.13197126453305</v>
      </c>
      <c r="I39" s="36">
        <f t="shared" si="104"/>
        <v>110.0364881036317</v>
      </c>
      <c r="J39" s="36">
        <f t="shared" si="104"/>
        <v>122.1405017950312</v>
      </c>
      <c r="K39" s="36">
        <f t="shared" si="104"/>
        <v>135.57595699248463</v>
      </c>
      <c r="L39" s="36">
        <f t="shared" si="104"/>
        <v>176.24874409023002</v>
      </c>
      <c r="M39" s="36">
        <f t="shared" si="104"/>
        <v>195.63610594015535</v>
      </c>
      <c r="N39" s="36">
        <f t="shared" si="104"/>
        <v>217.15607759357246</v>
      </c>
      <c r="O39" s="36">
        <f t="shared" si="104"/>
        <v>241.04324612886546</v>
      </c>
      <c r="P39" s="36">
        <f t="shared" si="104"/>
        <v>267.5580032030407</v>
      </c>
      <c r="Q39" s="36">
        <f t="shared" si="104"/>
        <v>296.98938355537518</v>
      </c>
      <c r="R39" s="36">
        <f t="shared" si="104"/>
        <v>386.08619862198776</v>
      </c>
      <c r="S39" s="36">
        <f t="shared" si="104"/>
        <v>428.55568047040646</v>
      </c>
      <c r="T39" s="36">
        <f t="shared" si="104"/>
        <v>475.69680532215119</v>
      </c>
      <c r="U39" s="36">
        <f t="shared" si="104"/>
        <v>528.02345390758785</v>
      </c>
      <c r="V39" s="36">
        <f t="shared" si="104"/>
        <v>586.10603383742261</v>
      </c>
      <c r="W39" s="36">
        <f t="shared" si="104"/>
        <v>650.57769755953916</v>
      </c>
    </row>
    <row r="40" spans="1:23" x14ac:dyDescent="0.25">
      <c r="A40" s="34">
        <v>400</v>
      </c>
      <c r="B40" s="36">
        <v>56.8</v>
      </c>
      <c r="C40" s="36">
        <f t="shared" ref="C40:W40" si="105">B40*C$26</f>
        <v>63.048000000000002</v>
      </c>
      <c r="D40" s="36">
        <f t="shared" si="105"/>
        <v>69.983280000000008</v>
      </c>
      <c r="E40" s="36">
        <f t="shared" si="105"/>
        <v>77.681440800000018</v>
      </c>
      <c r="F40" s="36">
        <f t="shared" si="105"/>
        <v>86.226399288000025</v>
      </c>
      <c r="G40" s="36">
        <f t="shared" si="105"/>
        <v>95.71130320968004</v>
      </c>
      <c r="H40" s="36">
        <f t="shared" si="105"/>
        <v>106.23954656274485</v>
      </c>
      <c r="I40" s="36">
        <f t="shared" si="105"/>
        <v>117.92589668464679</v>
      </c>
      <c r="J40" s="36">
        <f t="shared" si="105"/>
        <v>130.89774531995795</v>
      </c>
      <c r="K40" s="36">
        <f t="shared" si="105"/>
        <v>145.29649730515334</v>
      </c>
      <c r="L40" s="36">
        <f t="shared" si="105"/>
        <v>188.88544649669936</v>
      </c>
      <c r="M40" s="36">
        <f t="shared" si="105"/>
        <v>209.66284561133631</v>
      </c>
      <c r="N40" s="36">
        <f t="shared" si="105"/>
        <v>232.72575862858332</v>
      </c>
      <c r="O40" s="36">
        <f t="shared" si="105"/>
        <v>258.32559207772749</v>
      </c>
      <c r="P40" s="36">
        <f t="shared" si="105"/>
        <v>286.74140720627753</v>
      </c>
      <c r="Q40" s="36">
        <f t="shared" si="105"/>
        <v>318.28296199896806</v>
      </c>
      <c r="R40" s="36">
        <f t="shared" si="105"/>
        <v>413.76785059865847</v>
      </c>
      <c r="S40" s="36">
        <f t="shared" si="105"/>
        <v>459.28231416451092</v>
      </c>
      <c r="T40" s="36">
        <f t="shared" si="105"/>
        <v>509.80336872260716</v>
      </c>
      <c r="U40" s="36">
        <f t="shared" si="105"/>
        <v>565.88173928209403</v>
      </c>
      <c r="V40" s="36">
        <f t="shared" si="105"/>
        <v>628.12873060312438</v>
      </c>
      <c r="W40" s="36">
        <f t="shared" si="105"/>
        <v>697.22289096946815</v>
      </c>
    </row>
    <row r="41" spans="1:23" x14ac:dyDescent="0.25">
      <c r="A41" s="34">
        <v>500</v>
      </c>
      <c r="B41" s="36">
        <v>73.2</v>
      </c>
      <c r="C41" s="36">
        <f t="shared" ref="C41:W41" si="106">B41*C$26</f>
        <v>81.25200000000001</v>
      </c>
      <c r="D41" s="36">
        <f t="shared" si="106"/>
        <v>90.189720000000023</v>
      </c>
      <c r="E41" s="36">
        <f t="shared" si="106"/>
        <v>100.11058920000004</v>
      </c>
      <c r="F41" s="36">
        <f t="shared" si="106"/>
        <v>111.12275401200004</v>
      </c>
      <c r="G41" s="36">
        <f t="shared" si="106"/>
        <v>123.34625695332007</v>
      </c>
      <c r="H41" s="36">
        <f t="shared" si="106"/>
        <v>136.91434521818528</v>
      </c>
      <c r="I41" s="36">
        <f t="shared" si="106"/>
        <v>151.97492319218566</v>
      </c>
      <c r="J41" s="36">
        <f t="shared" si="106"/>
        <v>168.69216474332609</v>
      </c>
      <c r="K41" s="36">
        <f t="shared" si="106"/>
        <v>187.24830286509197</v>
      </c>
      <c r="L41" s="36">
        <f t="shared" si="106"/>
        <v>243.42279372461957</v>
      </c>
      <c r="M41" s="36">
        <f t="shared" si="106"/>
        <v>270.19930103432773</v>
      </c>
      <c r="N41" s="36">
        <f t="shared" si="106"/>
        <v>299.92122414810382</v>
      </c>
      <c r="O41" s="36">
        <f t="shared" si="106"/>
        <v>332.91255880439525</v>
      </c>
      <c r="P41" s="36">
        <f t="shared" si="106"/>
        <v>369.53294027287876</v>
      </c>
      <c r="Q41" s="36">
        <f t="shared" si="106"/>
        <v>410.18156370289546</v>
      </c>
      <c r="R41" s="36">
        <f t="shared" si="106"/>
        <v>533.23603281376415</v>
      </c>
      <c r="S41" s="36">
        <f t="shared" si="106"/>
        <v>591.89199642327821</v>
      </c>
      <c r="T41" s="36">
        <f t="shared" si="106"/>
        <v>657.00011602983886</v>
      </c>
      <c r="U41" s="36">
        <f t="shared" si="106"/>
        <v>729.27012879312122</v>
      </c>
      <c r="V41" s="36">
        <f t="shared" si="106"/>
        <v>809.48984296036463</v>
      </c>
      <c r="W41" s="36">
        <f t="shared" si="106"/>
        <v>898.5337256860048</v>
      </c>
    </row>
    <row r="42" spans="1:23" x14ac:dyDescent="0.25">
      <c r="A42" s="34">
        <v>600</v>
      </c>
      <c r="B42" s="36">
        <v>98.1</v>
      </c>
      <c r="C42" s="36">
        <f t="shared" ref="C42:W42" si="107">B42*C$26</f>
        <v>108.89100000000001</v>
      </c>
      <c r="D42" s="36">
        <f t="shared" si="107"/>
        <v>120.86901000000002</v>
      </c>
      <c r="E42" s="36">
        <f t="shared" si="107"/>
        <v>134.16460110000003</v>
      </c>
      <c r="F42" s="36">
        <f t="shared" si="107"/>
        <v>148.92270722100005</v>
      </c>
      <c r="G42" s="36">
        <f t="shared" si="107"/>
        <v>165.30420501531006</v>
      </c>
      <c r="H42" s="36">
        <f t="shared" si="107"/>
        <v>183.48766756699419</v>
      </c>
      <c r="I42" s="36">
        <f t="shared" si="107"/>
        <v>203.67131099936356</v>
      </c>
      <c r="J42" s="36">
        <f t="shared" si="107"/>
        <v>226.07515520929357</v>
      </c>
      <c r="K42" s="36">
        <f t="shared" si="107"/>
        <v>250.94342228231588</v>
      </c>
      <c r="L42" s="36">
        <f t="shared" si="107"/>
        <v>326.22644896701064</v>
      </c>
      <c r="M42" s="36">
        <f t="shared" si="107"/>
        <v>362.11135835338183</v>
      </c>
      <c r="N42" s="36">
        <f t="shared" si="107"/>
        <v>401.94360777225387</v>
      </c>
      <c r="O42" s="36">
        <f t="shared" si="107"/>
        <v>446.15740462720186</v>
      </c>
      <c r="P42" s="36">
        <f t="shared" si="107"/>
        <v>495.23471913619409</v>
      </c>
      <c r="Q42" s="36">
        <f t="shared" si="107"/>
        <v>549.71053824117553</v>
      </c>
      <c r="R42" s="36">
        <f t="shared" si="107"/>
        <v>714.62369971352825</v>
      </c>
      <c r="S42" s="36">
        <f t="shared" si="107"/>
        <v>793.23230668201643</v>
      </c>
      <c r="T42" s="36">
        <f t="shared" si="107"/>
        <v>880.48786041703829</v>
      </c>
      <c r="U42" s="36">
        <f t="shared" si="107"/>
        <v>977.34152506291264</v>
      </c>
      <c r="V42" s="36">
        <f t="shared" si="107"/>
        <v>1084.8490928198332</v>
      </c>
      <c r="W42" s="36">
        <f t="shared" si="107"/>
        <v>1204.1824930300149</v>
      </c>
    </row>
    <row r="43" spans="1:23" x14ac:dyDescent="0.25">
      <c r="A43" s="34">
        <v>700</v>
      </c>
      <c r="B43" s="36">
        <v>113.3</v>
      </c>
      <c r="C43" s="36">
        <f t="shared" ref="C43:W43" si="108">B43*C$26</f>
        <v>125.76300000000001</v>
      </c>
      <c r="D43" s="36">
        <f t="shared" si="108"/>
        <v>139.59693000000001</v>
      </c>
      <c r="E43" s="36">
        <f t="shared" si="108"/>
        <v>154.95259230000002</v>
      </c>
      <c r="F43" s="36">
        <f t="shared" si="108"/>
        <v>171.99737745300004</v>
      </c>
      <c r="G43" s="36">
        <f t="shared" si="108"/>
        <v>190.91708897283007</v>
      </c>
      <c r="H43" s="36">
        <f t="shared" si="108"/>
        <v>211.91796875984139</v>
      </c>
      <c r="I43" s="36">
        <f t="shared" si="108"/>
        <v>235.22894532342397</v>
      </c>
      <c r="J43" s="36">
        <f t="shared" si="108"/>
        <v>261.10412930900065</v>
      </c>
      <c r="K43" s="36">
        <f t="shared" si="108"/>
        <v>289.82558353299078</v>
      </c>
      <c r="L43" s="36">
        <f t="shared" si="108"/>
        <v>376.773258592888</v>
      </c>
      <c r="M43" s="36">
        <f t="shared" si="108"/>
        <v>418.21831703810574</v>
      </c>
      <c r="N43" s="36">
        <f t="shared" si="108"/>
        <v>464.22233191229742</v>
      </c>
      <c r="O43" s="36">
        <f t="shared" si="108"/>
        <v>515.28678842265015</v>
      </c>
      <c r="P43" s="36">
        <f t="shared" si="108"/>
        <v>571.96833514914169</v>
      </c>
      <c r="Q43" s="36">
        <f t="shared" si="108"/>
        <v>634.88485201554738</v>
      </c>
      <c r="R43" s="36">
        <f t="shared" si="108"/>
        <v>825.35030762021165</v>
      </c>
      <c r="S43" s="36">
        <f t="shared" si="108"/>
        <v>916.13884145843497</v>
      </c>
      <c r="T43" s="36">
        <f t="shared" si="108"/>
        <v>1016.9141140188628</v>
      </c>
      <c r="U43" s="36">
        <f t="shared" si="108"/>
        <v>1128.7746665609379</v>
      </c>
      <c r="V43" s="36">
        <f t="shared" si="108"/>
        <v>1252.9398798826412</v>
      </c>
      <c r="W43" s="36">
        <f t="shared" si="108"/>
        <v>1390.7632666697318</v>
      </c>
    </row>
    <row r="44" spans="1:23" x14ac:dyDescent="0.25">
      <c r="A44" s="34">
        <v>800</v>
      </c>
      <c r="B44" s="36">
        <v>128.4</v>
      </c>
      <c r="C44" s="36">
        <f t="shared" ref="C44:W44" si="109">B44*C$26</f>
        <v>142.52400000000003</v>
      </c>
      <c r="D44" s="36">
        <f t="shared" si="109"/>
        <v>158.20164000000005</v>
      </c>
      <c r="E44" s="36">
        <f t="shared" si="109"/>
        <v>175.60382040000007</v>
      </c>
      <c r="F44" s="36">
        <f t="shared" si="109"/>
        <v>194.9202406440001</v>
      </c>
      <c r="G44" s="36">
        <f t="shared" si="109"/>
        <v>216.36146711484014</v>
      </c>
      <c r="H44" s="36">
        <f t="shared" si="109"/>
        <v>240.16122849747256</v>
      </c>
      <c r="I44" s="36">
        <f t="shared" si="109"/>
        <v>266.57896363219459</v>
      </c>
      <c r="J44" s="36">
        <f t="shared" si="109"/>
        <v>295.90264963173604</v>
      </c>
      <c r="K44" s="36">
        <f t="shared" si="109"/>
        <v>328.45194109122701</v>
      </c>
      <c r="L44" s="36">
        <f t="shared" si="109"/>
        <v>426.98752341859512</v>
      </c>
      <c r="M44" s="36">
        <f t="shared" si="109"/>
        <v>473.95615099464061</v>
      </c>
      <c r="N44" s="36">
        <f t="shared" si="109"/>
        <v>526.09132760405112</v>
      </c>
      <c r="O44" s="36">
        <f t="shared" si="109"/>
        <v>583.96137364049684</v>
      </c>
      <c r="P44" s="36">
        <f t="shared" si="109"/>
        <v>648.19712474095161</v>
      </c>
      <c r="Q44" s="36">
        <f t="shared" si="109"/>
        <v>719.4988084624564</v>
      </c>
      <c r="R44" s="36">
        <f t="shared" si="109"/>
        <v>935.34845100119333</v>
      </c>
      <c r="S44" s="36">
        <f t="shared" si="109"/>
        <v>1038.2367806113248</v>
      </c>
      <c r="T44" s="36">
        <f t="shared" si="109"/>
        <v>1152.4428264785706</v>
      </c>
      <c r="U44" s="36">
        <f t="shared" si="109"/>
        <v>1279.2115373912136</v>
      </c>
      <c r="V44" s="36">
        <f t="shared" si="109"/>
        <v>1419.9248065042473</v>
      </c>
      <c r="W44" s="36">
        <f t="shared" si="109"/>
        <v>1576.1165352197147</v>
      </c>
    </row>
    <row r="45" spans="1:23" x14ac:dyDescent="0.25">
      <c r="A45" s="34">
        <v>900</v>
      </c>
      <c r="B45" s="36">
        <v>157.80000000000001</v>
      </c>
      <c r="C45" s="36">
        <f t="shared" ref="C45:W47" si="110">B45*C$26</f>
        <v>175.15800000000002</v>
      </c>
      <c r="D45" s="36">
        <f t="shared" si="110"/>
        <v>194.42538000000005</v>
      </c>
      <c r="E45" s="36">
        <f t="shared" si="110"/>
        <v>215.81217180000007</v>
      </c>
      <c r="F45" s="36">
        <f t="shared" si="110"/>
        <v>239.5515106980001</v>
      </c>
      <c r="G45" s="36">
        <f t="shared" si="110"/>
        <v>265.90217687478014</v>
      </c>
      <c r="H45" s="36">
        <f t="shared" si="110"/>
        <v>295.15141633100598</v>
      </c>
      <c r="I45" s="36">
        <f t="shared" si="110"/>
        <v>327.61807212741667</v>
      </c>
      <c r="J45" s="36">
        <f t="shared" si="110"/>
        <v>363.65606006143253</v>
      </c>
      <c r="K45" s="36">
        <f t="shared" si="110"/>
        <v>403.65822666819014</v>
      </c>
      <c r="L45" s="36">
        <f t="shared" si="110"/>
        <v>524.75569466864715</v>
      </c>
      <c r="M45" s="36">
        <f t="shared" si="110"/>
        <v>582.47882108219835</v>
      </c>
      <c r="N45" s="36">
        <f t="shared" si="110"/>
        <v>646.55149140124024</v>
      </c>
      <c r="O45" s="36">
        <f t="shared" si="110"/>
        <v>717.6721554553767</v>
      </c>
      <c r="P45" s="36">
        <f t="shared" si="110"/>
        <v>796.61609255546819</v>
      </c>
      <c r="Q45" s="36">
        <f t="shared" si="110"/>
        <v>884.24386273656978</v>
      </c>
      <c r="R45" s="36">
        <f t="shared" si="110"/>
        <v>1149.5170215575408</v>
      </c>
      <c r="S45" s="36">
        <f t="shared" si="110"/>
        <v>1275.9638939288704</v>
      </c>
      <c r="T45" s="36">
        <f t="shared" si="110"/>
        <v>1416.3199222610463</v>
      </c>
      <c r="U45" s="36">
        <f t="shared" si="110"/>
        <v>1572.1151137097615</v>
      </c>
      <c r="V45" s="36">
        <f t="shared" si="110"/>
        <v>1745.0477762178355</v>
      </c>
      <c r="W45" s="36">
        <f t="shared" si="110"/>
        <v>1937.0030316017976</v>
      </c>
    </row>
    <row r="46" spans="1:23" x14ac:dyDescent="0.25">
      <c r="A46" s="34">
        <v>1000</v>
      </c>
      <c r="B46" s="36">
        <v>187.2</v>
      </c>
      <c r="C46" s="36">
        <f t="shared" ref="C46" si="111">B46*C$26</f>
        <v>207.792</v>
      </c>
      <c r="D46" s="36">
        <f t="shared" ref="D46" si="112">C46*D$26</f>
        <v>230.64912000000001</v>
      </c>
      <c r="E46" s="36">
        <f t="shared" ref="E46" si="113">D46*E$26</f>
        <v>256.02052320000001</v>
      </c>
      <c r="F46" s="36">
        <f t="shared" ref="F46" si="114">E46*F$26</f>
        <v>284.18278075200004</v>
      </c>
      <c r="G46" s="36">
        <f t="shared" ref="G46" si="115">F46*G$26</f>
        <v>315.44288663472008</v>
      </c>
      <c r="H46" s="36">
        <f t="shared" ref="H46" si="116">G46*H$26</f>
        <v>350.14160416453933</v>
      </c>
      <c r="I46" s="36">
        <f t="shared" ref="I46" si="117">H46*I$26</f>
        <v>388.65718062263869</v>
      </c>
      <c r="J46" s="36">
        <f t="shared" ref="J46" si="118">I46*J$26</f>
        <v>431.40947049112896</v>
      </c>
      <c r="K46" s="36">
        <f t="shared" ref="K46" si="119">J46*K$26</f>
        <v>478.86451224515321</v>
      </c>
      <c r="L46" s="36">
        <f t="shared" ref="L46" si="120">K46*L$26</f>
        <v>622.52386591869924</v>
      </c>
      <c r="M46" s="36">
        <f t="shared" ref="M46" si="121">L46*M$26</f>
        <v>691.00149116975626</v>
      </c>
      <c r="N46" s="36">
        <f t="shared" ref="N46" si="122">M46*N$26</f>
        <v>767.01165519842948</v>
      </c>
      <c r="O46" s="36">
        <f t="shared" ref="O46" si="123">N46*O$26</f>
        <v>851.38293727025678</v>
      </c>
      <c r="P46" s="36">
        <f t="shared" ref="P46" si="124">O46*P$26</f>
        <v>945.0350603699851</v>
      </c>
      <c r="Q46" s="36">
        <f t="shared" ref="Q46" si="125">P46*Q$26</f>
        <v>1048.9889170106835</v>
      </c>
      <c r="R46" s="36">
        <f t="shared" ref="R46" si="126">Q46*R$26</f>
        <v>1363.6855921138886</v>
      </c>
      <c r="S46" s="36">
        <f t="shared" ref="S46" si="127">R46*S$26</f>
        <v>1513.6910072464163</v>
      </c>
      <c r="T46" s="36">
        <f t="shared" ref="T46" si="128">S46*T$26</f>
        <v>1680.1970180435223</v>
      </c>
      <c r="U46" s="36">
        <f t="shared" ref="U46" si="129">T46*U$26</f>
        <v>1865.0186900283099</v>
      </c>
      <c r="V46" s="36">
        <f t="shared" ref="V46" si="130">U46*V$26</f>
        <v>2070.1707459314243</v>
      </c>
      <c r="W46" s="36">
        <f t="shared" ref="W46" si="131">V46*W$26</f>
        <v>2297.8895279838812</v>
      </c>
    </row>
    <row r="47" spans="1:23" x14ac:dyDescent="0.25">
      <c r="A47" s="34">
        <v>1200</v>
      </c>
      <c r="B47" s="36">
        <v>272.89999999999998</v>
      </c>
      <c r="C47" s="36">
        <f t="shared" si="110"/>
        <v>302.91899999999998</v>
      </c>
      <c r="D47" s="36">
        <f t="shared" si="110"/>
        <v>336.24009000000001</v>
      </c>
      <c r="E47" s="36">
        <f t="shared" si="110"/>
        <v>373.22649990000002</v>
      </c>
      <c r="F47" s="36">
        <f t="shared" si="110"/>
        <v>414.28141488900008</v>
      </c>
      <c r="G47" s="36">
        <f t="shared" si="110"/>
        <v>459.85237052679014</v>
      </c>
      <c r="H47" s="36">
        <f t="shared" si="110"/>
        <v>510.43613128473709</v>
      </c>
      <c r="I47" s="36">
        <f t="shared" si="110"/>
        <v>566.58410572605817</v>
      </c>
      <c r="J47" s="36">
        <f t="shared" si="110"/>
        <v>628.90835735592464</v>
      </c>
      <c r="K47" s="36">
        <f t="shared" si="110"/>
        <v>698.08827666507636</v>
      </c>
      <c r="L47" s="36">
        <f t="shared" si="110"/>
        <v>907.5147596645993</v>
      </c>
      <c r="M47" s="36">
        <f t="shared" si="110"/>
        <v>1007.3413832277054</v>
      </c>
      <c r="N47" s="36">
        <f t="shared" si="110"/>
        <v>1118.1489353827531</v>
      </c>
      <c r="O47" s="36">
        <f t="shared" si="110"/>
        <v>1241.145318274856</v>
      </c>
      <c r="P47" s="36">
        <f t="shared" si="110"/>
        <v>1377.6713032850903</v>
      </c>
      <c r="Q47" s="36">
        <f t="shared" si="110"/>
        <v>1529.2151466464504</v>
      </c>
      <c r="R47" s="36">
        <f t="shared" si="110"/>
        <v>1987.9796906403856</v>
      </c>
      <c r="S47" s="36">
        <f t="shared" si="110"/>
        <v>2206.6574566108284</v>
      </c>
      <c r="T47" s="36">
        <f t="shared" si="110"/>
        <v>2449.3897768380198</v>
      </c>
      <c r="U47" s="36">
        <f t="shared" si="110"/>
        <v>2718.8226522902023</v>
      </c>
      <c r="V47" s="36">
        <f t="shared" si="110"/>
        <v>3017.8931440421247</v>
      </c>
      <c r="W47" s="36">
        <f t="shared" si="110"/>
        <v>3349.8613898867588</v>
      </c>
    </row>
    <row r="48" spans="1:23" x14ac:dyDescent="0.25">
      <c r="A48" s="31"/>
    </row>
    <row r="49" spans="1:1" x14ac:dyDescent="0.25">
      <c r="A49" s="3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DA5D4-C42C-41C9-A6FF-A8A5203C1D8E}">
  <dimension ref="A1:AC7"/>
  <sheetViews>
    <sheetView zoomScale="80" zoomScaleNormal="80" workbookViewId="0">
      <selection activeCell="Z16" sqref="Z16"/>
    </sheetView>
  </sheetViews>
  <sheetFormatPr defaultRowHeight="15" x14ac:dyDescent="0.25"/>
  <cols>
    <col min="1" max="1" width="22.85546875" style="5" customWidth="1"/>
    <col min="2" max="29" width="12.7109375" style="1" customWidth="1"/>
    <col min="30" max="16384" width="9.140625" style="1"/>
  </cols>
  <sheetData>
    <row r="1" spans="1:29" x14ac:dyDescent="0.25">
      <c r="A1" s="32"/>
      <c r="B1" s="33" t="s">
        <v>3</v>
      </c>
      <c r="C1" s="33" t="s">
        <v>4</v>
      </c>
      <c r="D1" s="33" t="s">
        <v>5</v>
      </c>
      <c r="E1" s="33" t="s">
        <v>6</v>
      </c>
      <c r="F1" s="33" t="s">
        <v>7</v>
      </c>
      <c r="G1" s="33" t="s">
        <v>8</v>
      </c>
      <c r="H1" s="33" t="s">
        <v>9</v>
      </c>
      <c r="I1" s="33" t="s">
        <v>10</v>
      </c>
      <c r="J1" s="33" t="s">
        <v>11</v>
      </c>
      <c r="K1" s="33" t="s">
        <v>12</v>
      </c>
      <c r="L1" s="33" t="s">
        <v>13</v>
      </c>
      <c r="M1" s="33" t="s">
        <v>14</v>
      </c>
      <c r="N1" s="33" t="s">
        <v>15</v>
      </c>
      <c r="O1" s="33" t="s">
        <v>16</v>
      </c>
      <c r="P1" s="33" t="s">
        <v>17</v>
      </c>
      <c r="Q1" s="33" t="s">
        <v>18</v>
      </c>
      <c r="R1" s="33" t="s">
        <v>20</v>
      </c>
      <c r="S1" s="33" t="s">
        <v>21</v>
      </c>
      <c r="T1" s="33" t="s">
        <v>24</v>
      </c>
      <c r="U1" s="33" t="s">
        <v>25</v>
      </c>
      <c r="V1" s="33" t="s">
        <v>26</v>
      </c>
      <c r="W1" s="33" t="s">
        <v>27</v>
      </c>
      <c r="X1" s="33" t="s">
        <v>102</v>
      </c>
      <c r="Y1" s="33" t="s">
        <v>101</v>
      </c>
      <c r="Z1" s="33" t="s">
        <v>103</v>
      </c>
      <c r="AA1" s="33" t="s">
        <v>104</v>
      </c>
      <c r="AB1" s="33" t="s">
        <v>105</v>
      </c>
      <c r="AC1" s="33" t="s">
        <v>106</v>
      </c>
    </row>
    <row r="2" spans="1:29" x14ac:dyDescent="0.25">
      <c r="A2" s="34" t="s">
        <v>37</v>
      </c>
      <c r="B2" s="36">
        <v>703.81170599999996</v>
      </c>
      <c r="C2" s="36">
        <v>813.60938199999998</v>
      </c>
      <c r="D2" s="36">
        <v>884.92778500000009</v>
      </c>
      <c r="E2" s="36">
        <v>1089.5106879999998</v>
      </c>
      <c r="F2" s="36">
        <v>1253.937091</v>
      </c>
      <c r="G2" s="36">
        <f t="shared" ref="G2:W2" si="0">F2*G$7</f>
        <v>1391.8701710100001</v>
      </c>
      <c r="H2" s="36">
        <f t="shared" si="0"/>
        <v>1544.9758898211003</v>
      </c>
      <c r="I2" s="36">
        <f t="shared" si="0"/>
        <v>1714.9232377014214</v>
      </c>
      <c r="J2" s="36">
        <f t="shared" si="0"/>
        <v>1903.5647938485779</v>
      </c>
      <c r="K2" s="36">
        <f t="shared" si="0"/>
        <v>2112.9569211719217</v>
      </c>
      <c r="L2" s="36">
        <f t="shared" si="0"/>
        <v>2746.8439975234983</v>
      </c>
      <c r="M2" s="36">
        <f t="shared" si="0"/>
        <v>3048.9968372510834</v>
      </c>
      <c r="N2" s="36">
        <f t="shared" si="0"/>
        <v>3384.386489348703</v>
      </c>
      <c r="O2" s="36">
        <f t="shared" si="0"/>
        <v>3756.6690031770609</v>
      </c>
      <c r="P2" s="36">
        <f t="shared" si="0"/>
        <v>4169.9025935265381</v>
      </c>
      <c r="Q2" s="36">
        <f t="shared" si="0"/>
        <v>4628.5918788144581</v>
      </c>
      <c r="R2" s="36">
        <f t="shared" si="0"/>
        <v>6017.1694424587959</v>
      </c>
      <c r="S2" s="36">
        <f t="shared" si="0"/>
        <v>6679.0580811292639</v>
      </c>
      <c r="T2" s="36">
        <f t="shared" si="0"/>
        <v>7413.7544700534836</v>
      </c>
      <c r="U2" s="36">
        <f t="shared" si="0"/>
        <v>8229.2674617593675</v>
      </c>
      <c r="V2" s="36">
        <f t="shared" si="0"/>
        <v>9134.4868825528993</v>
      </c>
      <c r="W2" s="36">
        <f t="shared" si="0"/>
        <v>10139.28043963372</v>
      </c>
      <c r="X2" s="36">
        <f t="shared" ref="X2" si="1">W2*X$7</f>
        <v>13181.064571523835</v>
      </c>
      <c r="Y2" s="36">
        <f t="shared" ref="Y2" si="2">X2*Y$7</f>
        <v>14630.981674391458</v>
      </c>
      <c r="Z2" s="36">
        <f t="shared" ref="Z2" si="3">Y2*Z$7</f>
        <v>16240.389658574521</v>
      </c>
      <c r="AA2" s="36">
        <f t="shared" ref="AA2" si="4">Z2*AA$7</f>
        <v>18026.832521017721</v>
      </c>
      <c r="AB2" s="36">
        <f t="shared" ref="AB2" si="5">AA2*AB$7</f>
        <v>20009.784098329674</v>
      </c>
      <c r="AC2" s="36">
        <f t="shared" ref="AC2" si="6">AB2*AC$7</f>
        <v>22210.86034914594</v>
      </c>
    </row>
    <row r="3" spans="1:29" x14ac:dyDescent="0.25">
      <c r="A3" s="34" t="s">
        <v>38</v>
      </c>
      <c r="B3" s="36">
        <v>895.2</v>
      </c>
      <c r="C3" s="36">
        <f>B3*C7</f>
        <v>993.67200000000014</v>
      </c>
      <c r="D3" s="36">
        <f t="shared" ref="D3:W3" si="7">C3*D7</f>
        <v>1102.9759200000003</v>
      </c>
      <c r="E3" s="36">
        <f t="shared" si="7"/>
        <v>1224.3032712000004</v>
      </c>
      <c r="F3" s="36">
        <f t="shared" si="7"/>
        <v>1358.9766310320006</v>
      </c>
      <c r="G3" s="36">
        <f t="shared" si="7"/>
        <v>1508.4640604455208</v>
      </c>
      <c r="H3" s="36">
        <f t="shared" si="7"/>
        <v>1674.3951070945282</v>
      </c>
      <c r="I3" s="36">
        <f t="shared" si="7"/>
        <v>1858.5785688749263</v>
      </c>
      <c r="J3" s="36">
        <f t="shared" si="7"/>
        <v>2063.0222114511685</v>
      </c>
      <c r="K3" s="36">
        <f t="shared" si="7"/>
        <v>2289.9546547107971</v>
      </c>
      <c r="L3" s="36">
        <f t="shared" si="7"/>
        <v>2976.9410511240362</v>
      </c>
      <c r="M3" s="36">
        <f t="shared" si="7"/>
        <v>3304.4045667476803</v>
      </c>
      <c r="N3" s="36">
        <f t="shared" si="7"/>
        <v>3667.8890690899257</v>
      </c>
      <c r="O3" s="36">
        <f t="shared" si="7"/>
        <v>4071.3568666898177</v>
      </c>
      <c r="P3" s="36">
        <f t="shared" si="7"/>
        <v>4519.2061220256983</v>
      </c>
      <c r="Q3" s="36">
        <f t="shared" si="7"/>
        <v>5016.3187954485256</v>
      </c>
      <c r="R3" s="36">
        <f t="shared" si="7"/>
        <v>6521.2144340830837</v>
      </c>
      <c r="S3" s="36">
        <f t="shared" si="7"/>
        <v>7238.5480218322236</v>
      </c>
      <c r="T3" s="36">
        <f t="shared" si="7"/>
        <v>8034.7883042337689</v>
      </c>
      <c r="U3" s="36">
        <f t="shared" si="7"/>
        <v>8918.6150176994852</v>
      </c>
      <c r="V3" s="36">
        <f t="shared" si="7"/>
        <v>9899.66266964643</v>
      </c>
      <c r="W3" s="36">
        <f t="shared" si="7"/>
        <v>10988.625563307538</v>
      </c>
      <c r="X3" s="36">
        <f t="shared" ref="X3" si="8">W3*X7</f>
        <v>14285.2132322998</v>
      </c>
      <c r="Y3" s="36">
        <f t="shared" ref="Y3" si="9">X3*Y7</f>
        <v>15856.58668785278</v>
      </c>
      <c r="Z3" s="36">
        <f t="shared" ref="Z3" si="10">Y3*Z7</f>
        <v>17600.811223516586</v>
      </c>
      <c r="AA3" s="36">
        <f t="shared" ref="AA3" si="11">Z3*AA7</f>
        <v>19536.900458103413</v>
      </c>
      <c r="AB3" s="36">
        <f t="shared" ref="AB3" si="12">AA3*AB7</f>
        <v>21685.95950849479</v>
      </c>
      <c r="AC3" s="36">
        <f t="shared" ref="AC3" si="13">AB3*AC7</f>
        <v>24071.415054429221</v>
      </c>
    </row>
    <row r="4" spans="1:29" x14ac:dyDescent="0.25">
      <c r="A4" s="34" t="s">
        <v>39</v>
      </c>
      <c r="B4" s="36">
        <f>C4/C7</f>
        <v>1234.7521108108108</v>
      </c>
      <c r="C4" s="36">
        <v>1370.5748430000001</v>
      </c>
      <c r="D4" s="36">
        <v>1564.5066019999999</v>
      </c>
      <c r="E4" s="36">
        <v>1764.035294</v>
      </c>
      <c r="F4" s="36">
        <v>1988.494553</v>
      </c>
      <c r="G4" s="36">
        <v>2207.7837450000002</v>
      </c>
      <c r="H4" s="36">
        <v>2699.9699430000001</v>
      </c>
      <c r="I4" s="36">
        <v>2992.5529999999999</v>
      </c>
      <c r="J4" s="36">
        <v>3291.6158369999998</v>
      </c>
      <c r="K4" s="36">
        <v>3548.1071010000001</v>
      </c>
      <c r="L4" s="36">
        <v>3864.5382979999999</v>
      </c>
      <c r="M4" s="36">
        <v>4134.5475000000006</v>
      </c>
      <c r="N4" s="36">
        <v>4391.3320999999996</v>
      </c>
      <c r="O4" s="36">
        <v>4825.3220000000001</v>
      </c>
      <c r="P4" s="36">
        <v>5030.5</v>
      </c>
      <c r="Q4" s="36">
        <v>5235.6000000000004</v>
      </c>
      <c r="R4" s="36">
        <v>5440.7698999999993</v>
      </c>
      <c r="S4" s="36">
        <v>7069.9</v>
      </c>
      <c r="T4" s="36">
        <v>8699.0725000000002</v>
      </c>
      <c r="U4" s="36">
        <f>T4*U$7</f>
        <v>9655.9704750000019</v>
      </c>
      <c r="V4" s="36">
        <f>U4*V$7</f>
        <v>10718.127227250003</v>
      </c>
      <c r="W4" s="36">
        <f>V4*W$7</f>
        <v>11897.121222247504</v>
      </c>
      <c r="X4" s="36">
        <f t="shared" ref="X4:AC4" si="14">W4*X$7</f>
        <v>15466.257588921755</v>
      </c>
      <c r="Y4" s="36">
        <f t="shared" si="14"/>
        <v>17167.54592370315</v>
      </c>
      <c r="Z4" s="36">
        <f t="shared" si="14"/>
        <v>19055.975975310499</v>
      </c>
      <c r="AA4" s="36">
        <f t="shared" si="14"/>
        <v>21152.133332594654</v>
      </c>
      <c r="AB4" s="36">
        <f t="shared" si="14"/>
        <v>23478.867999180067</v>
      </c>
      <c r="AC4" s="36">
        <f t="shared" si="14"/>
        <v>26061.543479089876</v>
      </c>
    </row>
    <row r="5" spans="1:29" x14ac:dyDescent="0.25">
      <c r="A5" s="31"/>
    </row>
    <row r="6" spans="1:29" x14ac:dyDescent="0.25">
      <c r="A6" s="32" t="s">
        <v>23</v>
      </c>
      <c r="B6" s="33" t="s">
        <v>3</v>
      </c>
      <c r="C6" s="33" t="s">
        <v>4</v>
      </c>
      <c r="D6" s="33" t="s">
        <v>5</v>
      </c>
      <c r="E6" s="33" t="s">
        <v>6</v>
      </c>
      <c r="F6" s="33" t="s">
        <v>7</v>
      </c>
      <c r="G6" s="33" t="s">
        <v>8</v>
      </c>
      <c r="H6" s="33" t="s">
        <v>9</v>
      </c>
      <c r="I6" s="33" t="s">
        <v>10</v>
      </c>
      <c r="J6" s="33" t="s">
        <v>11</v>
      </c>
      <c r="K6" s="33" t="s">
        <v>12</v>
      </c>
      <c r="L6" s="33" t="s">
        <v>13</v>
      </c>
      <c r="M6" s="33" t="s">
        <v>14</v>
      </c>
      <c r="N6" s="33" t="s">
        <v>15</v>
      </c>
      <c r="O6" s="33" t="s">
        <v>16</v>
      </c>
      <c r="P6" s="33" t="s">
        <v>17</v>
      </c>
      <c r="Q6" s="33" t="s">
        <v>18</v>
      </c>
      <c r="R6" s="33" t="s">
        <v>20</v>
      </c>
      <c r="S6" s="33" t="s">
        <v>21</v>
      </c>
      <c r="T6" s="33" t="s">
        <v>24</v>
      </c>
      <c r="U6" s="33" t="s">
        <v>25</v>
      </c>
      <c r="V6" s="33" t="s">
        <v>26</v>
      </c>
      <c r="W6" s="33" t="s">
        <v>27</v>
      </c>
      <c r="X6" s="33" t="s">
        <v>102</v>
      </c>
      <c r="Y6" s="33" t="s">
        <v>101</v>
      </c>
      <c r="Z6" s="33" t="s">
        <v>103</v>
      </c>
      <c r="AA6" s="33" t="s">
        <v>104</v>
      </c>
      <c r="AB6" s="33" t="s">
        <v>105</v>
      </c>
      <c r="AC6" s="33" t="s">
        <v>106</v>
      </c>
    </row>
    <row r="7" spans="1:29" x14ac:dyDescent="0.25">
      <c r="A7" s="32" t="s">
        <v>28</v>
      </c>
      <c r="B7" s="33"/>
      <c r="C7" s="33">
        <v>1.1100000000000001</v>
      </c>
      <c r="D7" s="33">
        <v>1.1100000000000001</v>
      </c>
      <c r="E7" s="33">
        <v>1.1100000000000001</v>
      </c>
      <c r="F7" s="33">
        <v>1.1100000000000001</v>
      </c>
      <c r="G7" s="33">
        <v>1.1100000000000001</v>
      </c>
      <c r="H7" s="33">
        <v>1.1100000000000001</v>
      </c>
      <c r="I7" s="33">
        <v>1.1100000000000001</v>
      </c>
      <c r="J7" s="33">
        <v>1.1100000000000001</v>
      </c>
      <c r="K7" s="33">
        <v>1.1100000000000001</v>
      </c>
      <c r="L7" s="33">
        <v>1.3</v>
      </c>
      <c r="M7" s="33">
        <v>1.1100000000000001</v>
      </c>
      <c r="N7" s="33">
        <v>1.1100000000000001</v>
      </c>
      <c r="O7" s="33">
        <v>1.1100000000000001</v>
      </c>
      <c r="P7" s="33">
        <v>1.1100000000000001</v>
      </c>
      <c r="Q7" s="33">
        <v>1.1100000000000001</v>
      </c>
      <c r="R7" s="33">
        <v>1.3</v>
      </c>
      <c r="S7" s="33">
        <v>1.1100000000000001</v>
      </c>
      <c r="T7" s="33">
        <v>1.1100000000000001</v>
      </c>
      <c r="U7" s="33">
        <v>1.1100000000000001</v>
      </c>
      <c r="V7" s="33">
        <v>1.1100000000000001</v>
      </c>
      <c r="W7" s="33">
        <v>1.1100000000000001</v>
      </c>
      <c r="X7" s="33">
        <v>1.3</v>
      </c>
      <c r="Y7" s="33">
        <v>1.1100000000000001</v>
      </c>
      <c r="Z7" s="33">
        <v>1.1100000000000001</v>
      </c>
      <c r="AA7" s="33">
        <v>1.1100000000000001</v>
      </c>
      <c r="AB7" s="33">
        <v>1.1100000000000001</v>
      </c>
      <c r="AC7" s="33">
        <v>1.1100000000000001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5C486-FB30-4817-8B6B-F638452BB81F}">
  <dimension ref="A1:Q239"/>
  <sheetViews>
    <sheetView topLeftCell="A199" workbookViewId="0">
      <selection activeCell="E220" sqref="E220:E228"/>
    </sheetView>
  </sheetViews>
  <sheetFormatPr defaultRowHeight="15" x14ac:dyDescent="0.25"/>
  <cols>
    <col min="1" max="1" width="13.140625" style="1" customWidth="1"/>
    <col min="2" max="2" width="14.85546875" style="1" customWidth="1"/>
    <col min="3" max="3" width="9.140625" style="80"/>
    <col min="4" max="10" width="13" style="37" customWidth="1"/>
    <col min="11" max="12" width="17.7109375" style="37" customWidth="1"/>
    <col min="13" max="13" width="21.140625" style="37" customWidth="1"/>
    <col min="14" max="17" width="17.7109375" style="37" customWidth="1"/>
    <col min="18" max="16384" width="9.140625" style="1"/>
  </cols>
  <sheetData>
    <row r="1" spans="1:17" ht="15" customHeight="1" x14ac:dyDescent="0.25">
      <c r="A1" s="249" t="s">
        <v>34</v>
      </c>
      <c r="B1" s="249" t="s">
        <v>33</v>
      </c>
      <c r="C1" s="250" t="s">
        <v>29</v>
      </c>
      <c r="D1" s="63" t="s">
        <v>107</v>
      </c>
      <c r="E1" s="45" t="s">
        <v>108</v>
      </c>
      <c r="F1" s="44" t="s">
        <v>109</v>
      </c>
      <c r="G1" s="70" t="s">
        <v>110</v>
      </c>
      <c r="H1" s="74" t="s">
        <v>111</v>
      </c>
      <c r="I1" s="42" t="s">
        <v>112</v>
      </c>
      <c r="J1" s="43" t="s">
        <v>113</v>
      </c>
      <c r="K1" s="63" t="s">
        <v>107</v>
      </c>
      <c r="L1" s="45" t="s">
        <v>108</v>
      </c>
      <c r="M1" s="44" t="s">
        <v>109</v>
      </c>
      <c r="N1" s="70" t="s">
        <v>110</v>
      </c>
      <c r="O1" s="74" t="s">
        <v>111</v>
      </c>
      <c r="P1" s="42" t="s">
        <v>112</v>
      </c>
      <c r="Q1" s="43" t="s">
        <v>113</v>
      </c>
    </row>
    <row r="2" spans="1:17" ht="30" x14ac:dyDescent="0.25">
      <c r="A2" s="249"/>
      <c r="B2" s="249"/>
      <c r="C2" s="250"/>
      <c r="D2" s="64" t="s">
        <v>30</v>
      </c>
      <c r="E2" s="57" t="s">
        <v>30</v>
      </c>
      <c r="F2" s="49" t="s">
        <v>30</v>
      </c>
      <c r="G2" s="71" t="s">
        <v>30</v>
      </c>
      <c r="H2" s="75" t="s">
        <v>30</v>
      </c>
      <c r="I2" s="47" t="s">
        <v>30</v>
      </c>
      <c r="J2" s="59" t="s">
        <v>30</v>
      </c>
      <c r="K2" s="64" t="s">
        <v>31</v>
      </c>
      <c r="L2" s="57" t="s">
        <v>31</v>
      </c>
      <c r="M2" s="49" t="s">
        <v>31</v>
      </c>
      <c r="N2" s="71" t="s">
        <v>31</v>
      </c>
      <c r="O2" s="75" t="s">
        <v>31</v>
      </c>
      <c r="P2" s="47" t="s">
        <v>31</v>
      </c>
      <c r="Q2" s="59" t="s">
        <v>31</v>
      </c>
    </row>
    <row r="3" spans="1:17" x14ac:dyDescent="0.25">
      <c r="A3" s="35">
        <v>200</v>
      </c>
      <c r="B3" s="35" t="s">
        <v>3</v>
      </c>
      <c r="C3" s="36">
        <f>IFERROR(VLOOKUP($A3,'Pipe Rate'!$A$1:$AC$23,MATCH($B3,'Pipe Rate'!$B$1:$AC$1,0)+1,0),"N/F")</f>
        <v>10.5</v>
      </c>
      <c r="D3" s="65">
        <v>41778</v>
      </c>
      <c r="E3" s="51">
        <v>41778</v>
      </c>
      <c r="F3" s="68">
        <v>41778</v>
      </c>
      <c r="G3" s="72">
        <v>41778</v>
      </c>
      <c r="H3" s="55">
        <v>41778</v>
      </c>
      <c r="I3" s="77">
        <v>41778</v>
      </c>
      <c r="J3" s="53">
        <v>41778</v>
      </c>
      <c r="K3" s="65">
        <f t="shared" ref="K3:Q3" si="0">IFERROR(D3*$C3,0)</f>
        <v>438669</v>
      </c>
      <c r="L3" s="51">
        <f t="shared" si="0"/>
        <v>438669</v>
      </c>
      <c r="M3" s="68">
        <f t="shared" si="0"/>
        <v>438669</v>
      </c>
      <c r="N3" s="72">
        <f t="shared" si="0"/>
        <v>438669</v>
      </c>
      <c r="O3" s="55">
        <f t="shared" si="0"/>
        <v>438669</v>
      </c>
      <c r="P3" s="77">
        <f t="shared" si="0"/>
        <v>438669</v>
      </c>
      <c r="Q3" s="53">
        <f t="shared" si="0"/>
        <v>438669</v>
      </c>
    </row>
    <row r="4" spans="1:17" x14ac:dyDescent="0.25">
      <c r="A4" s="35">
        <v>200</v>
      </c>
      <c r="B4" s="35" t="s">
        <v>4</v>
      </c>
      <c r="C4" s="36">
        <f>IFERROR(VLOOKUP($A4,'Pipe Rate'!$A$1:$AC$23,MATCH($B4,'Pipe Rate'!$B$1:$AC$1,0)+1,0),"N/F")</f>
        <v>11.655000000000001</v>
      </c>
      <c r="D4" s="65">
        <v>514857</v>
      </c>
      <c r="E4" s="51">
        <v>514747</v>
      </c>
      <c r="F4" s="68">
        <v>514857</v>
      </c>
      <c r="G4" s="72">
        <v>515009</v>
      </c>
      <c r="H4" s="55">
        <v>515043</v>
      </c>
      <c r="I4" s="77">
        <v>515043</v>
      </c>
      <c r="J4" s="53">
        <v>514857</v>
      </c>
      <c r="K4" s="65">
        <f t="shared" ref="K4:K67" si="1">IFERROR(D4*$C4,0)</f>
        <v>6000658.3350000009</v>
      </c>
      <c r="L4" s="51">
        <f t="shared" ref="L4:L67" si="2">IFERROR(E4*$C4,0)</f>
        <v>5999376.2850000001</v>
      </c>
      <c r="M4" s="68">
        <f t="shared" ref="M4:M67" si="3">IFERROR(F4*$C4,0)</f>
        <v>6000658.3350000009</v>
      </c>
      <c r="N4" s="72">
        <f t="shared" ref="N4:N67" si="4">IFERROR(G4*$C4,0)</f>
        <v>6002429.8950000005</v>
      </c>
      <c r="O4" s="55">
        <f t="shared" ref="O4:O67" si="5">IFERROR(H4*$C4,0)</f>
        <v>6002826.165000001</v>
      </c>
      <c r="P4" s="77">
        <f t="shared" ref="P4:P67" si="6">IFERROR(I4*$C4,0)</f>
        <v>6002826.165000001</v>
      </c>
      <c r="Q4" s="53">
        <f t="shared" ref="Q4:Q67" si="7">IFERROR(J4*$C4,0)</f>
        <v>6000658.3350000009</v>
      </c>
    </row>
    <row r="5" spans="1:17" x14ac:dyDescent="0.25">
      <c r="A5" s="35">
        <v>200</v>
      </c>
      <c r="B5" s="35" t="s">
        <v>5</v>
      </c>
      <c r="C5" s="36">
        <f>IFERROR(VLOOKUP($A5,'Pipe Rate'!$A$1:$AC$23,MATCH($B5,'Pipe Rate'!$B$1:$AC$1,0)+1,0),"N/F")</f>
        <v>12.937050000000003</v>
      </c>
      <c r="D5" s="65">
        <v>205654</v>
      </c>
      <c r="E5" s="51">
        <v>205654</v>
      </c>
      <c r="F5" s="68">
        <v>205654</v>
      </c>
      <c r="G5" s="72">
        <v>205654</v>
      </c>
      <c r="H5" s="55">
        <v>205897</v>
      </c>
      <c r="I5" s="77">
        <v>206004</v>
      </c>
      <c r="J5" s="53">
        <v>205760</v>
      </c>
      <c r="K5" s="65">
        <f t="shared" si="1"/>
        <v>2660556.0807000007</v>
      </c>
      <c r="L5" s="51">
        <f t="shared" si="2"/>
        <v>2660556.0807000007</v>
      </c>
      <c r="M5" s="68">
        <f t="shared" si="3"/>
        <v>2660556.0807000007</v>
      </c>
      <c r="N5" s="72">
        <f t="shared" si="4"/>
        <v>2660556.0807000007</v>
      </c>
      <c r="O5" s="55">
        <f t="shared" si="5"/>
        <v>2663699.7838500007</v>
      </c>
      <c r="P5" s="77">
        <f t="shared" si="6"/>
        <v>2665084.0482000005</v>
      </c>
      <c r="Q5" s="53">
        <f t="shared" si="7"/>
        <v>2661927.4080000008</v>
      </c>
    </row>
    <row r="6" spans="1:17" x14ac:dyDescent="0.25">
      <c r="A6" s="35">
        <v>200</v>
      </c>
      <c r="B6" s="35" t="s">
        <v>6</v>
      </c>
      <c r="C6" s="36">
        <f>IFERROR(VLOOKUP($A6,'Pipe Rate'!$A$1:$AC$23,MATCH($B6,'Pipe Rate'!$B$1:$AC$1,0)+1,0),"N/F")</f>
        <v>14.360125500000004</v>
      </c>
      <c r="D6" s="65">
        <v>115195</v>
      </c>
      <c r="E6" s="51">
        <v>115195</v>
      </c>
      <c r="F6" s="68">
        <v>115299</v>
      </c>
      <c r="G6" s="72">
        <v>115399</v>
      </c>
      <c r="H6" s="55">
        <v>115541</v>
      </c>
      <c r="I6" s="77">
        <v>115601</v>
      </c>
      <c r="J6" s="53">
        <v>115255</v>
      </c>
      <c r="K6" s="65">
        <f t="shared" si="1"/>
        <v>1654214.6569725005</v>
      </c>
      <c r="L6" s="51">
        <f t="shared" si="2"/>
        <v>1654214.6569725005</v>
      </c>
      <c r="M6" s="68">
        <f t="shared" si="3"/>
        <v>1655708.1100245004</v>
      </c>
      <c r="N6" s="72">
        <f t="shared" si="4"/>
        <v>1657144.1225745005</v>
      </c>
      <c r="O6" s="55">
        <f t="shared" si="5"/>
        <v>1659183.2603955006</v>
      </c>
      <c r="P6" s="77">
        <f t="shared" si="6"/>
        <v>1660044.8679255005</v>
      </c>
      <c r="Q6" s="53">
        <f t="shared" si="7"/>
        <v>1655076.2645025004</v>
      </c>
    </row>
    <row r="7" spans="1:17" x14ac:dyDescent="0.25">
      <c r="A7" s="35">
        <v>200</v>
      </c>
      <c r="B7" s="35" t="s">
        <v>7</v>
      </c>
      <c r="C7" s="36">
        <f>IFERROR(VLOOKUP($A7,'Pipe Rate'!$A$1:$AC$23,MATCH($B7,'Pipe Rate'!$B$1:$AC$1,0)+1,0),"N/F")</f>
        <v>15.939739305000005</v>
      </c>
      <c r="D7" s="65">
        <v>91089</v>
      </c>
      <c r="E7" s="51">
        <v>91089</v>
      </c>
      <c r="F7" s="68">
        <v>91301</v>
      </c>
      <c r="G7" s="72">
        <v>91456</v>
      </c>
      <c r="H7" s="55">
        <v>91966</v>
      </c>
      <c r="I7" s="77">
        <v>92548</v>
      </c>
      <c r="J7" s="53">
        <v>91672</v>
      </c>
      <c r="K7" s="65">
        <f t="shared" si="1"/>
        <v>1451934.9135531455</v>
      </c>
      <c r="L7" s="51">
        <f t="shared" si="2"/>
        <v>1451934.9135531455</v>
      </c>
      <c r="M7" s="68">
        <f t="shared" si="3"/>
        <v>1455314.1382858055</v>
      </c>
      <c r="N7" s="72">
        <f t="shared" si="4"/>
        <v>1457784.7978780805</v>
      </c>
      <c r="O7" s="55">
        <f t="shared" si="5"/>
        <v>1465914.0649236306</v>
      </c>
      <c r="P7" s="77">
        <f t="shared" si="6"/>
        <v>1475190.9931991405</v>
      </c>
      <c r="Q7" s="53">
        <f t="shared" si="7"/>
        <v>1461227.7815679605</v>
      </c>
    </row>
    <row r="8" spans="1:17" x14ac:dyDescent="0.25">
      <c r="A8" s="35">
        <v>200</v>
      </c>
      <c r="B8" s="35" t="s">
        <v>8</v>
      </c>
      <c r="C8" s="36">
        <f>IFERROR(VLOOKUP($A8,'Pipe Rate'!$A$1:$AC$23,MATCH($B8,'Pipe Rate'!$B$1:$AC$1,0)+1,0),"N/F")</f>
        <v>17.693110628550006</v>
      </c>
      <c r="D8" s="65">
        <v>68027</v>
      </c>
      <c r="E8" s="51">
        <v>68027</v>
      </c>
      <c r="F8" s="68">
        <v>68532</v>
      </c>
      <c r="G8" s="72">
        <v>68615</v>
      </c>
      <c r="H8" s="55">
        <v>68961</v>
      </c>
      <c r="I8" s="77">
        <v>69555</v>
      </c>
      <c r="J8" s="53">
        <v>68620</v>
      </c>
      <c r="K8" s="65">
        <f t="shared" si="1"/>
        <v>1203609.2367283714</v>
      </c>
      <c r="L8" s="51">
        <f t="shared" si="2"/>
        <v>1203609.2367283714</v>
      </c>
      <c r="M8" s="68">
        <f t="shared" si="3"/>
        <v>1212544.2575957889</v>
      </c>
      <c r="N8" s="72">
        <f t="shared" si="4"/>
        <v>1214012.7857779586</v>
      </c>
      <c r="O8" s="55">
        <f t="shared" si="5"/>
        <v>1220134.6020554369</v>
      </c>
      <c r="P8" s="77">
        <f t="shared" si="6"/>
        <v>1230644.3097687957</v>
      </c>
      <c r="Q8" s="53">
        <f t="shared" si="7"/>
        <v>1214101.2513311014</v>
      </c>
    </row>
    <row r="9" spans="1:17" x14ac:dyDescent="0.25">
      <c r="A9" s="35">
        <v>200</v>
      </c>
      <c r="B9" s="35" t="s">
        <v>10</v>
      </c>
      <c r="C9" s="36">
        <f>IFERROR(VLOOKUP($A9,'Pipe Rate'!$A$1:$AC$23,MATCH($B9,'Pipe Rate'!$B$1:$AC$1,0)+1,0),"N/F")</f>
        <v>21.799681605436469</v>
      </c>
      <c r="D9" s="65">
        <v>89736</v>
      </c>
      <c r="E9" s="51">
        <v>89736</v>
      </c>
      <c r="F9" s="68">
        <v>90371</v>
      </c>
      <c r="G9" s="72">
        <v>90640</v>
      </c>
      <c r="H9" s="55">
        <v>91240</v>
      </c>
      <c r="I9" s="77">
        <v>92062</v>
      </c>
      <c r="J9" s="53">
        <v>90558</v>
      </c>
      <c r="K9" s="65">
        <f t="shared" si="1"/>
        <v>1956216.2285454469</v>
      </c>
      <c r="L9" s="51">
        <f t="shared" si="2"/>
        <v>1956216.2285454469</v>
      </c>
      <c r="M9" s="68">
        <f t="shared" si="3"/>
        <v>1970059.026364899</v>
      </c>
      <c r="N9" s="72">
        <f t="shared" si="4"/>
        <v>1975923.1407167616</v>
      </c>
      <c r="O9" s="55">
        <f t="shared" si="5"/>
        <v>1989002.9496800234</v>
      </c>
      <c r="P9" s="77">
        <f t="shared" si="6"/>
        <v>2006922.2879596921</v>
      </c>
      <c r="Q9" s="53">
        <f t="shared" si="7"/>
        <v>1974135.5668251158</v>
      </c>
    </row>
    <row r="10" spans="1:17" x14ac:dyDescent="0.25">
      <c r="A10" s="35">
        <v>200</v>
      </c>
      <c r="B10" s="35" t="s">
        <v>12</v>
      </c>
      <c r="C10" s="36">
        <f>IFERROR(VLOOKUP($A10,'Pipe Rate'!$A$1:$AC$23,MATCH($B10,'Pipe Rate'!$B$1:$AC$1,0)+1,0),"N/F")</f>
        <v>26.859387706058278</v>
      </c>
      <c r="D10" s="65">
        <v>60258</v>
      </c>
      <c r="E10" s="51">
        <v>60258</v>
      </c>
      <c r="F10" s="68">
        <v>61204</v>
      </c>
      <c r="G10" s="72">
        <v>61543</v>
      </c>
      <c r="H10" s="55">
        <v>61880</v>
      </c>
      <c r="I10" s="77">
        <v>62380</v>
      </c>
      <c r="J10" s="53">
        <v>60758</v>
      </c>
      <c r="K10" s="65">
        <f t="shared" si="1"/>
        <v>1618492.9843916597</v>
      </c>
      <c r="L10" s="51">
        <f t="shared" si="2"/>
        <v>1618492.9843916597</v>
      </c>
      <c r="M10" s="68">
        <f t="shared" si="3"/>
        <v>1643901.9651615908</v>
      </c>
      <c r="N10" s="72">
        <f t="shared" si="4"/>
        <v>1653007.2975939447</v>
      </c>
      <c r="O10" s="55">
        <f t="shared" si="5"/>
        <v>1662058.9112508863</v>
      </c>
      <c r="P10" s="77">
        <f t="shared" si="6"/>
        <v>1675488.6051039153</v>
      </c>
      <c r="Q10" s="53">
        <f t="shared" si="7"/>
        <v>1631922.6782446888</v>
      </c>
    </row>
    <row r="11" spans="1:17" x14ac:dyDescent="0.25">
      <c r="A11" s="35">
        <v>200</v>
      </c>
      <c r="B11" s="35" t="s">
        <v>14</v>
      </c>
      <c r="C11" s="36">
        <f>IFERROR(VLOOKUP($A11,'Pipe Rate'!$A$1:$AC$23,MATCH($B11,'Pipe Rate'!$B$1:$AC$1,0)+1,0),"N/F")</f>
        <v>38.758096459842101</v>
      </c>
      <c r="D11" s="65">
        <v>35336</v>
      </c>
      <c r="E11" s="51">
        <v>35336</v>
      </c>
      <c r="F11" s="68">
        <v>35848</v>
      </c>
      <c r="G11" s="72">
        <v>36389</v>
      </c>
      <c r="H11" s="55">
        <v>36389</v>
      </c>
      <c r="I11" s="77">
        <v>36389</v>
      </c>
      <c r="J11" s="53">
        <v>35336</v>
      </c>
      <c r="K11" s="65">
        <f t="shared" si="1"/>
        <v>1369556.0965049805</v>
      </c>
      <c r="L11" s="51">
        <f t="shared" si="2"/>
        <v>1369556.0965049805</v>
      </c>
      <c r="M11" s="68">
        <f t="shared" si="3"/>
        <v>1389400.2418924195</v>
      </c>
      <c r="N11" s="72">
        <f t="shared" si="4"/>
        <v>1410368.3720771943</v>
      </c>
      <c r="O11" s="55">
        <f t="shared" si="5"/>
        <v>1410368.3720771943</v>
      </c>
      <c r="P11" s="77">
        <f t="shared" si="6"/>
        <v>1410368.3720771943</v>
      </c>
      <c r="Q11" s="53">
        <f t="shared" si="7"/>
        <v>1369556.0965049805</v>
      </c>
    </row>
    <row r="12" spans="1:17" x14ac:dyDescent="0.25">
      <c r="A12" s="35">
        <v>200</v>
      </c>
      <c r="B12" s="35" t="s">
        <v>16</v>
      </c>
      <c r="C12" s="36">
        <f>IFERROR(VLOOKUP($A12,'Pipe Rate'!$A$1:$AC$23,MATCH($B12,'Pipe Rate'!$B$1:$AC$1,0)+1,0),"N/F")</f>
        <v>47.753850648171458</v>
      </c>
      <c r="D12" s="65">
        <v>27781</v>
      </c>
      <c r="E12" s="51">
        <v>27410</v>
      </c>
      <c r="F12" s="68">
        <v>27781</v>
      </c>
      <c r="G12" s="72">
        <v>29074</v>
      </c>
      <c r="H12" s="55">
        <v>29074</v>
      </c>
      <c r="I12" s="77">
        <v>29074</v>
      </c>
      <c r="J12" s="53">
        <v>27781</v>
      </c>
      <c r="K12" s="65">
        <f t="shared" si="1"/>
        <v>1326649.7248568512</v>
      </c>
      <c r="L12" s="51">
        <f t="shared" si="2"/>
        <v>1308933.0462663798</v>
      </c>
      <c r="M12" s="68">
        <f t="shared" si="3"/>
        <v>1326649.7248568512</v>
      </c>
      <c r="N12" s="72">
        <f t="shared" si="4"/>
        <v>1388395.453744937</v>
      </c>
      <c r="O12" s="55">
        <f t="shared" si="5"/>
        <v>1388395.453744937</v>
      </c>
      <c r="P12" s="77">
        <f t="shared" si="6"/>
        <v>1388395.453744937</v>
      </c>
      <c r="Q12" s="53">
        <f t="shared" si="7"/>
        <v>1326649.7248568512</v>
      </c>
    </row>
    <row r="13" spans="1:17" x14ac:dyDescent="0.25">
      <c r="A13" s="35">
        <v>200</v>
      </c>
      <c r="B13" s="35" t="s">
        <v>18</v>
      </c>
      <c r="C13" s="36">
        <f>IFERROR(VLOOKUP($A13,'Pipe Rate'!$A$1:$AC$23,MATCH($B13,'Pipe Rate'!$B$1:$AC$1,0)+1,0),"N/F")</f>
        <v>58.837519383612062</v>
      </c>
      <c r="D13" s="65">
        <v>15235</v>
      </c>
      <c r="E13" s="51">
        <v>14893</v>
      </c>
      <c r="F13" s="68">
        <v>15235</v>
      </c>
      <c r="G13" s="72">
        <v>15837</v>
      </c>
      <c r="H13" s="55">
        <v>15837</v>
      </c>
      <c r="I13" s="77">
        <v>15837</v>
      </c>
      <c r="J13" s="53">
        <v>15235</v>
      </c>
      <c r="K13" s="65">
        <f t="shared" si="1"/>
        <v>896389.60780932975</v>
      </c>
      <c r="L13" s="51">
        <f t="shared" si="2"/>
        <v>876267.17618013441</v>
      </c>
      <c r="M13" s="68">
        <f t="shared" si="3"/>
        <v>896389.60780932975</v>
      </c>
      <c r="N13" s="72">
        <f t="shared" si="4"/>
        <v>931809.79447826417</v>
      </c>
      <c r="O13" s="55">
        <f t="shared" si="5"/>
        <v>931809.79447826417</v>
      </c>
      <c r="P13" s="77">
        <f t="shared" si="6"/>
        <v>931809.79447826417</v>
      </c>
      <c r="Q13" s="53">
        <f t="shared" si="7"/>
        <v>896389.60780932975</v>
      </c>
    </row>
    <row r="14" spans="1:17" x14ac:dyDescent="0.25">
      <c r="A14" s="35">
        <v>200</v>
      </c>
      <c r="B14" s="35" t="s">
        <v>21</v>
      </c>
      <c r="C14" s="36">
        <f>IFERROR(VLOOKUP($A14,'Pipe Rate'!$A$1:$AC$23,MATCH($B14,'Pipe Rate'!$B$1:$AC$1,0)+1,0),"N/F")</f>
        <v>84.902540470552211</v>
      </c>
      <c r="D14" s="65">
        <v>8218</v>
      </c>
      <c r="E14" s="51">
        <v>7812</v>
      </c>
      <c r="F14" s="68">
        <v>8218</v>
      </c>
      <c r="G14" s="72">
        <v>8218</v>
      </c>
      <c r="H14" s="55">
        <v>8218</v>
      </c>
      <c r="I14" s="77">
        <v>8218</v>
      </c>
      <c r="J14" s="53">
        <v>8218</v>
      </c>
      <c r="K14" s="65">
        <f t="shared" si="1"/>
        <v>697729.07758699812</v>
      </c>
      <c r="L14" s="51">
        <f t="shared" si="2"/>
        <v>663258.64615595387</v>
      </c>
      <c r="M14" s="68">
        <f t="shared" si="3"/>
        <v>697729.07758699812</v>
      </c>
      <c r="N14" s="72">
        <f t="shared" si="4"/>
        <v>697729.07758699812</v>
      </c>
      <c r="O14" s="55">
        <f t="shared" si="5"/>
        <v>697729.07758699812</v>
      </c>
      <c r="P14" s="77">
        <f t="shared" si="6"/>
        <v>697729.07758699812</v>
      </c>
      <c r="Q14" s="53">
        <f t="shared" si="7"/>
        <v>697729.07758699812</v>
      </c>
    </row>
    <row r="15" spans="1:17" x14ac:dyDescent="0.25">
      <c r="A15" s="35">
        <v>200</v>
      </c>
      <c r="B15" s="35" t="s">
        <v>25</v>
      </c>
      <c r="C15" s="36">
        <f>IFERROR(VLOOKUP($A15,'Pipe Rate'!$A$1:$AC$23,MATCH($B15,'Pipe Rate'!$B$1:$AC$1,0)+1,0),"N/F")</f>
        <v>104.60842011376739</v>
      </c>
      <c r="D15" s="65">
        <v>3575</v>
      </c>
      <c r="E15" s="51">
        <v>3575</v>
      </c>
      <c r="F15" s="68">
        <v>3575</v>
      </c>
      <c r="G15" s="72">
        <v>3575</v>
      </c>
      <c r="H15" s="55">
        <v>3575</v>
      </c>
      <c r="I15" s="77">
        <v>3575</v>
      </c>
      <c r="J15" s="53">
        <v>3575</v>
      </c>
      <c r="K15" s="65">
        <f t="shared" si="1"/>
        <v>373975.10190671845</v>
      </c>
      <c r="L15" s="51">
        <f t="shared" si="2"/>
        <v>373975.10190671845</v>
      </c>
      <c r="M15" s="68">
        <f t="shared" si="3"/>
        <v>373975.10190671845</v>
      </c>
      <c r="N15" s="72">
        <f t="shared" si="4"/>
        <v>373975.10190671845</v>
      </c>
      <c r="O15" s="55">
        <f t="shared" si="5"/>
        <v>373975.10190671845</v>
      </c>
      <c r="P15" s="77">
        <f t="shared" si="6"/>
        <v>373975.10190671845</v>
      </c>
      <c r="Q15" s="53">
        <f t="shared" si="7"/>
        <v>373975.10190671845</v>
      </c>
    </row>
    <row r="16" spans="1:17" x14ac:dyDescent="0.25">
      <c r="A16" s="35">
        <v>200</v>
      </c>
      <c r="B16" s="35" t="s">
        <v>27</v>
      </c>
      <c r="C16" s="36">
        <f>IFERROR(VLOOKUP($A16,'Pipe Rate'!$A$1:$AC$23,MATCH($B16,'Pipe Rate'!$B$1:$AC$1,0)+1,0),"N/F")</f>
        <v>128.88803442217284</v>
      </c>
      <c r="D16" s="65">
        <v>2072</v>
      </c>
      <c r="E16" s="51">
        <v>2072</v>
      </c>
      <c r="F16" s="68">
        <v>2072</v>
      </c>
      <c r="G16" s="72">
        <v>2072</v>
      </c>
      <c r="H16" s="55">
        <v>2072</v>
      </c>
      <c r="I16" s="77">
        <v>2072</v>
      </c>
      <c r="J16" s="53">
        <v>2072</v>
      </c>
      <c r="K16" s="65">
        <f t="shared" si="1"/>
        <v>267056.00732274214</v>
      </c>
      <c r="L16" s="51">
        <f t="shared" si="2"/>
        <v>267056.00732274214</v>
      </c>
      <c r="M16" s="68">
        <f t="shared" si="3"/>
        <v>267056.00732274214</v>
      </c>
      <c r="N16" s="72">
        <f t="shared" si="4"/>
        <v>267056.00732274214</v>
      </c>
      <c r="O16" s="55">
        <f t="shared" si="5"/>
        <v>267056.00732274214</v>
      </c>
      <c r="P16" s="77">
        <f t="shared" si="6"/>
        <v>267056.00732274214</v>
      </c>
      <c r="Q16" s="53">
        <f t="shared" si="7"/>
        <v>267056.00732274214</v>
      </c>
    </row>
    <row r="17" spans="1:17" x14ac:dyDescent="0.25">
      <c r="A17" s="35">
        <v>200</v>
      </c>
      <c r="B17" s="35" t="s">
        <v>101</v>
      </c>
      <c r="C17" s="36">
        <f>IFERROR(VLOOKUP($A17,'Pipe Rate'!$A$1:$AC$23,MATCH($B17,'Pipe Rate'!$B$1:$AC$1,0)+1,0),"N/F")</f>
        <v>185.98543367119544</v>
      </c>
      <c r="D17" s="65">
        <v>1136</v>
      </c>
      <c r="E17" s="51">
        <v>1136</v>
      </c>
      <c r="F17" s="68">
        <v>1136</v>
      </c>
      <c r="G17" s="72">
        <v>1136</v>
      </c>
      <c r="H17" s="55">
        <v>1136</v>
      </c>
      <c r="I17" s="77">
        <v>1136</v>
      </c>
      <c r="J17" s="53">
        <v>1136</v>
      </c>
      <c r="K17" s="65">
        <f t="shared" si="1"/>
        <v>211279.45265047802</v>
      </c>
      <c r="L17" s="51">
        <f t="shared" si="2"/>
        <v>211279.45265047802</v>
      </c>
      <c r="M17" s="68">
        <f t="shared" si="3"/>
        <v>211279.45265047802</v>
      </c>
      <c r="N17" s="72">
        <f t="shared" si="4"/>
        <v>211279.45265047802</v>
      </c>
      <c r="O17" s="55">
        <f t="shared" si="5"/>
        <v>211279.45265047802</v>
      </c>
      <c r="P17" s="77">
        <f t="shared" si="6"/>
        <v>211279.45265047802</v>
      </c>
      <c r="Q17" s="53">
        <f t="shared" si="7"/>
        <v>211279.45265047802</v>
      </c>
    </row>
    <row r="18" spans="1:17" x14ac:dyDescent="0.25">
      <c r="A18" s="35">
        <v>200</v>
      </c>
      <c r="B18" s="35" t="s">
        <v>104</v>
      </c>
      <c r="C18" s="36">
        <f>IFERROR(VLOOKUP($A18,'Pipe Rate'!$A$1:$AC$23,MATCH($B18,'Pipe Rate'!$B$1:$AC$1,0)+1,0),"N/F")</f>
        <v>229.15265282627993</v>
      </c>
      <c r="D18" s="65">
        <v>565</v>
      </c>
      <c r="E18" s="51">
        <v>565</v>
      </c>
      <c r="F18" s="68">
        <v>565</v>
      </c>
      <c r="G18" s="72">
        <v>565</v>
      </c>
      <c r="H18" s="55">
        <v>565</v>
      </c>
      <c r="I18" s="77">
        <v>565</v>
      </c>
      <c r="J18" s="53">
        <v>565</v>
      </c>
      <c r="K18" s="65">
        <f t="shared" si="1"/>
        <v>129471.24884684816</v>
      </c>
      <c r="L18" s="51">
        <f t="shared" si="2"/>
        <v>129471.24884684816</v>
      </c>
      <c r="M18" s="68">
        <f t="shared" si="3"/>
        <v>129471.24884684816</v>
      </c>
      <c r="N18" s="72">
        <f t="shared" si="4"/>
        <v>129471.24884684816</v>
      </c>
      <c r="O18" s="55">
        <f t="shared" si="5"/>
        <v>129471.24884684816</v>
      </c>
      <c r="P18" s="77">
        <f t="shared" si="6"/>
        <v>129471.24884684816</v>
      </c>
      <c r="Q18" s="53">
        <f t="shared" si="7"/>
        <v>129471.24884684816</v>
      </c>
    </row>
    <row r="19" spans="1:17" x14ac:dyDescent="0.25">
      <c r="A19" s="35">
        <v>200</v>
      </c>
      <c r="B19" s="35" t="s">
        <v>106</v>
      </c>
      <c r="C19" s="36">
        <f>IFERROR(VLOOKUP($A19,'Pipe Rate'!$A$1:$AC$23,MATCH($B19,'Pipe Rate'!$B$1:$AC$1,0)+1,0),"N/F")</f>
        <v>282.33898354725955</v>
      </c>
      <c r="D19" s="65">
        <v>456</v>
      </c>
      <c r="E19" s="51">
        <v>456</v>
      </c>
      <c r="F19" s="68">
        <v>456</v>
      </c>
      <c r="G19" s="72">
        <v>456</v>
      </c>
      <c r="H19" s="55">
        <v>456</v>
      </c>
      <c r="I19" s="77">
        <v>456</v>
      </c>
      <c r="J19" s="53">
        <v>456</v>
      </c>
      <c r="K19" s="65">
        <f t="shared" si="1"/>
        <v>128746.57649755036</v>
      </c>
      <c r="L19" s="51">
        <f t="shared" si="2"/>
        <v>128746.57649755036</v>
      </c>
      <c r="M19" s="68">
        <f t="shared" si="3"/>
        <v>128746.57649755036</v>
      </c>
      <c r="N19" s="72">
        <f t="shared" si="4"/>
        <v>128746.57649755036</v>
      </c>
      <c r="O19" s="55">
        <f t="shared" si="5"/>
        <v>128746.57649755036</v>
      </c>
      <c r="P19" s="77">
        <f t="shared" si="6"/>
        <v>128746.57649755036</v>
      </c>
      <c r="Q19" s="53">
        <f t="shared" si="7"/>
        <v>128746.57649755036</v>
      </c>
    </row>
    <row r="20" spans="1:17" x14ac:dyDescent="0.25">
      <c r="A20" s="35">
        <v>250</v>
      </c>
      <c r="B20" s="35" t="s">
        <v>4</v>
      </c>
      <c r="C20" s="36">
        <f>IFERROR(VLOOKUP($A20,'Pipe Rate'!$A$1:$AC$23,MATCH($B20,'Pipe Rate'!$B$1:$AC$1,0)+1,0),"N/F")</f>
        <v>14.430000000000001</v>
      </c>
      <c r="D20" s="65">
        <v>2349</v>
      </c>
      <c r="E20" s="51">
        <v>2349</v>
      </c>
      <c r="F20" s="68">
        <v>2349</v>
      </c>
      <c r="G20" s="72">
        <v>2349</v>
      </c>
      <c r="H20" s="55">
        <v>2349</v>
      </c>
      <c r="I20" s="77">
        <v>1781</v>
      </c>
      <c r="J20" s="53">
        <v>1781</v>
      </c>
      <c r="K20" s="65">
        <f t="shared" si="1"/>
        <v>33896.070000000007</v>
      </c>
      <c r="L20" s="51">
        <f t="shared" si="2"/>
        <v>33896.070000000007</v>
      </c>
      <c r="M20" s="68">
        <f t="shared" si="3"/>
        <v>33896.070000000007</v>
      </c>
      <c r="N20" s="72">
        <f t="shared" si="4"/>
        <v>33896.070000000007</v>
      </c>
      <c r="O20" s="55">
        <f t="shared" si="5"/>
        <v>33896.070000000007</v>
      </c>
      <c r="P20" s="77">
        <f t="shared" si="6"/>
        <v>25699.83</v>
      </c>
      <c r="Q20" s="53">
        <f t="shared" si="7"/>
        <v>25699.83</v>
      </c>
    </row>
    <row r="21" spans="1:17" x14ac:dyDescent="0.25">
      <c r="A21" s="35">
        <v>250</v>
      </c>
      <c r="B21" s="35" t="s">
        <v>5</v>
      </c>
      <c r="C21" s="36">
        <f>IFERROR(VLOOKUP($A21,'Pipe Rate'!$A$1:$AC$23,MATCH($B21,'Pipe Rate'!$B$1:$AC$1,0)+1,0),"N/F")</f>
        <v>16.017300000000002</v>
      </c>
      <c r="D21" s="65">
        <v>1256</v>
      </c>
      <c r="E21" s="51">
        <v>1256</v>
      </c>
      <c r="F21" s="68">
        <v>1256</v>
      </c>
      <c r="G21" s="72">
        <v>1256</v>
      </c>
      <c r="H21" s="55">
        <v>1256</v>
      </c>
      <c r="I21" s="77">
        <v>1156</v>
      </c>
      <c r="J21" s="53">
        <v>1156</v>
      </c>
      <c r="K21" s="65">
        <f t="shared" si="1"/>
        <v>20117.728800000004</v>
      </c>
      <c r="L21" s="51">
        <f t="shared" si="2"/>
        <v>20117.728800000004</v>
      </c>
      <c r="M21" s="68">
        <f t="shared" si="3"/>
        <v>20117.728800000004</v>
      </c>
      <c r="N21" s="72">
        <f t="shared" si="4"/>
        <v>20117.728800000004</v>
      </c>
      <c r="O21" s="55">
        <f t="shared" si="5"/>
        <v>20117.728800000004</v>
      </c>
      <c r="P21" s="77">
        <f t="shared" si="6"/>
        <v>18515.998800000001</v>
      </c>
      <c r="Q21" s="53">
        <f t="shared" si="7"/>
        <v>18515.998800000001</v>
      </c>
    </row>
    <row r="22" spans="1:17" x14ac:dyDescent="0.25">
      <c r="A22" s="35">
        <v>250</v>
      </c>
      <c r="B22" s="35" t="s">
        <v>6</v>
      </c>
      <c r="C22" s="36">
        <f>IFERROR(VLOOKUP($A22,'Pipe Rate'!$A$1:$AC$23,MATCH($B22,'Pipe Rate'!$B$1:$AC$1,0)+1,0),"N/F")</f>
        <v>17.779203000000003</v>
      </c>
      <c r="D22" s="65">
        <v>1155</v>
      </c>
      <c r="E22" s="51">
        <v>1155</v>
      </c>
      <c r="F22" s="68">
        <v>1155</v>
      </c>
      <c r="G22" s="72">
        <v>1155</v>
      </c>
      <c r="H22" s="55">
        <v>1155</v>
      </c>
      <c r="I22" s="77">
        <v>921</v>
      </c>
      <c r="J22" s="53">
        <v>921</v>
      </c>
      <c r="K22" s="65">
        <f t="shared" si="1"/>
        <v>20534.979465000004</v>
      </c>
      <c r="L22" s="51">
        <f t="shared" si="2"/>
        <v>20534.979465000004</v>
      </c>
      <c r="M22" s="68">
        <f t="shared" si="3"/>
        <v>20534.979465000004</v>
      </c>
      <c r="N22" s="72">
        <f t="shared" si="4"/>
        <v>20534.979465000004</v>
      </c>
      <c r="O22" s="55">
        <f t="shared" si="5"/>
        <v>20534.979465000004</v>
      </c>
      <c r="P22" s="77">
        <f t="shared" si="6"/>
        <v>16374.645963000003</v>
      </c>
      <c r="Q22" s="53">
        <f t="shared" si="7"/>
        <v>16374.645963000003</v>
      </c>
    </row>
    <row r="23" spans="1:17" x14ac:dyDescent="0.25">
      <c r="A23" s="35">
        <v>250</v>
      </c>
      <c r="B23" s="35" t="s">
        <v>7</v>
      </c>
      <c r="C23" s="36">
        <f>IFERROR(VLOOKUP($A23,'Pipe Rate'!$A$1:$AC$23,MATCH($B23,'Pipe Rate'!$B$1:$AC$1,0)+1,0),"N/F")</f>
        <v>19.734915330000003</v>
      </c>
      <c r="D23" s="65">
        <v>2942</v>
      </c>
      <c r="E23" s="51">
        <v>2942</v>
      </c>
      <c r="F23" s="68">
        <v>2942</v>
      </c>
      <c r="G23" s="72">
        <v>2942</v>
      </c>
      <c r="H23" s="55">
        <v>2942</v>
      </c>
      <c r="I23" s="77">
        <v>2668</v>
      </c>
      <c r="J23" s="53">
        <v>2668</v>
      </c>
      <c r="K23" s="65">
        <f t="shared" si="1"/>
        <v>58060.120900860013</v>
      </c>
      <c r="L23" s="51">
        <f t="shared" si="2"/>
        <v>58060.120900860013</v>
      </c>
      <c r="M23" s="68">
        <f t="shared" si="3"/>
        <v>58060.120900860013</v>
      </c>
      <c r="N23" s="72">
        <f t="shared" si="4"/>
        <v>58060.120900860013</v>
      </c>
      <c r="O23" s="55">
        <f t="shared" si="5"/>
        <v>58060.120900860013</v>
      </c>
      <c r="P23" s="77">
        <f t="shared" si="6"/>
        <v>52652.754100440012</v>
      </c>
      <c r="Q23" s="53">
        <f t="shared" si="7"/>
        <v>52652.754100440012</v>
      </c>
    </row>
    <row r="24" spans="1:17" x14ac:dyDescent="0.25">
      <c r="A24" s="35">
        <v>250</v>
      </c>
      <c r="B24" s="35" t="s">
        <v>8</v>
      </c>
      <c r="C24" s="36">
        <f>IFERROR(VLOOKUP($A24,'Pipe Rate'!$A$1:$AC$23,MATCH($B24,'Pipe Rate'!$B$1:$AC$1,0)+1,0),"N/F")</f>
        <v>21.905756016300007</v>
      </c>
      <c r="D24" s="65">
        <v>5525</v>
      </c>
      <c r="E24" s="51">
        <v>5525</v>
      </c>
      <c r="F24" s="68">
        <v>5525</v>
      </c>
      <c r="G24" s="72">
        <v>5525</v>
      </c>
      <c r="H24" s="55">
        <v>5525</v>
      </c>
      <c r="I24" s="77">
        <v>5016</v>
      </c>
      <c r="J24" s="53">
        <v>5016</v>
      </c>
      <c r="K24" s="65">
        <f t="shared" si="1"/>
        <v>121029.30199005753</v>
      </c>
      <c r="L24" s="51">
        <f t="shared" si="2"/>
        <v>121029.30199005753</v>
      </c>
      <c r="M24" s="68">
        <f t="shared" si="3"/>
        <v>121029.30199005753</v>
      </c>
      <c r="N24" s="72">
        <f t="shared" si="4"/>
        <v>121029.30199005753</v>
      </c>
      <c r="O24" s="55">
        <f t="shared" si="5"/>
        <v>121029.30199005753</v>
      </c>
      <c r="P24" s="77">
        <f t="shared" si="6"/>
        <v>109879.27217776084</v>
      </c>
      <c r="Q24" s="53">
        <f t="shared" si="7"/>
        <v>109879.27217776084</v>
      </c>
    </row>
    <row r="25" spans="1:17" x14ac:dyDescent="0.25">
      <c r="A25" s="35">
        <v>250</v>
      </c>
      <c r="B25" s="35" t="s">
        <v>10</v>
      </c>
      <c r="C25" s="36">
        <f>IFERROR(VLOOKUP($A25,'Pipe Rate'!$A$1:$AC$23,MATCH($B25,'Pipe Rate'!$B$1:$AC$1,0)+1,0),"N/F")</f>
        <v>26.990081987683244</v>
      </c>
      <c r="D25" s="65">
        <v>9860</v>
      </c>
      <c r="E25" s="51">
        <v>9860</v>
      </c>
      <c r="F25" s="68">
        <v>9860</v>
      </c>
      <c r="G25" s="72">
        <v>9860</v>
      </c>
      <c r="H25" s="55">
        <v>9860</v>
      </c>
      <c r="I25" s="77">
        <v>9960</v>
      </c>
      <c r="J25" s="53">
        <v>9960</v>
      </c>
      <c r="K25" s="65">
        <f t="shared" si="1"/>
        <v>266122.2083985568</v>
      </c>
      <c r="L25" s="51">
        <f t="shared" si="2"/>
        <v>266122.2083985568</v>
      </c>
      <c r="M25" s="68">
        <f t="shared" si="3"/>
        <v>266122.2083985568</v>
      </c>
      <c r="N25" s="72">
        <f t="shared" si="4"/>
        <v>266122.2083985568</v>
      </c>
      <c r="O25" s="55">
        <f t="shared" si="5"/>
        <v>266122.2083985568</v>
      </c>
      <c r="P25" s="77">
        <f t="shared" si="6"/>
        <v>268821.21659732511</v>
      </c>
      <c r="Q25" s="53">
        <f t="shared" si="7"/>
        <v>268821.21659732511</v>
      </c>
    </row>
    <row r="26" spans="1:17" x14ac:dyDescent="0.25">
      <c r="A26" s="35">
        <v>250</v>
      </c>
      <c r="B26" s="35" t="s">
        <v>12</v>
      </c>
      <c r="C26" s="36">
        <f>IFERROR(VLOOKUP($A26,'Pipe Rate'!$A$1:$AC$23,MATCH($B26,'Pipe Rate'!$B$1:$AC$1,0)+1,0),"N/F")</f>
        <v>33.254480017024534</v>
      </c>
      <c r="D26" s="65">
        <v>6148</v>
      </c>
      <c r="E26" s="51">
        <v>6148</v>
      </c>
      <c r="F26" s="68">
        <v>6148</v>
      </c>
      <c r="G26" s="72">
        <v>6148</v>
      </c>
      <c r="H26" s="55">
        <v>6148</v>
      </c>
      <c r="I26" s="77">
        <v>6148</v>
      </c>
      <c r="J26" s="53">
        <v>6148</v>
      </c>
      <c r="K26" s="65">
        <f t="shared" si="1"/>
        <v>204448.54314466682</v>
      </c>
      <c r="L26" s="51">
        <f t="shared" si="2"/>
        <v>204448.54314466682</v>
      </c>
      <c r="M26" s="68">
        <f t="shared" si="3"/>
        <v>204448.54314466682</v>
      </c>
      <c r="N26" s="72">
        <f t="shared" si="4"/>
        <v>204448.54314466682</v>
      </c>
      <c r="O26" s="55">
        <f t="shared" si="5"/>
        <v>204448.54314466682</v>
      </c>
      <c r="P26" s="77">
        <f t="shared" si="6"/>
        <v>204448.54314466682</v>
      </c>
      <c r="Q26" s="53">
        <f t="shared" si="7"/>
        <v>204448.54314466682</v>
      </c>
    </row>
    <row r="27" spans="1:17" x14ac:dyDescent="0.25">
      <c r="A27" s="35">
        <v>250</v>
      </c>
      <c r="B27" s="35" t="s">
        <v>14</v>
      </c>
      <c r="C27" s="36">
        <f>IFERROR(VLOOKUP($A27,'Pipe Rate'!$A$1:$AC$23,MATCH($B27,'Pipe Rate'!$B$1:$AC$1,0)+1,0),"N/F")</f>
        <v>47.986214664566411</v>
      </c>
      <c r="D27" s="65">
        <v>4006</v>
      </c>
      <c r="E27" s="51">
        <v>4006</v>
      </c>
      <c r="F27" s="68">
        <v>4006</v>
      </c>
      <c r="G27" s="72">
        <v>4006</v>
      </c>
      <c r="H27" s="55">
        <v>4006</v>
      </c>
      <c r="I27" s="77">
        <v>4006</v>
      </c>
      <c r="J27" s="53">
        <v>4006</v>
      </c>
      <c r="K27" s="65">
        <f t="shared" si="1"/>
        <v>192232.77594625304</v>
      </c>
      <c r="L27" s="51">
        <f t="shared" si="2"/>
        <v>192232.77594625304</v>
      </c>
      <c r="M27" s="68">
        <f t="shared" si="3"/>
        <v>192232.77594625304</v>
      </c>
      <c r="N27" s="72">
        <f t="shared" si="4"/>
        <v>192232.77594625304</v>
      </c>
      <c r="O27" s="55">
        <f t="shared" si="5"/>
        <v>192232.77594625304</v>
      </c>
      <c r="P27" s="77">
        <f t="shared" si="6"/>
        <v>192232.77594625304</v>
      </c>
      <c r="Q27" s="53">
        <f t="shared" si="7"/>
        <v>192232.77594625304</v>
      </c>
    </row>
    <row r="28" spans="1:17" x14ac:dyDescent="0.25">
      <c r="A28" s="35">
        <v>250</v>
      </c>
      <c r="B28" s="35" t="s">
        <v>16</v>
      </c>
      <c r="C28" s="36">
        <f>IFERROR(VLOOKUP($A28,'Pipe Rate'!$A$1:$AC$23,MATCH($B28,'Pipe Rate'!$B$1:$AC$1,0)+1,0),"N/F")</f>
        <v>59.123815088212282</v>
      </c>
      <c r="D28" s="65">
        <v>7160</v>
      </c>
      <c r="E28" s="51">
        <v>7160</v>
      </c>
      <c r="F28" s="68">
        <v>7160</v>
      </c>
      <c r="G28" s="72">
        <v>7160</v>
      </c>
      <c r="H28" s="55">
        <v>7160</v>
      </c>
      <c r="I28" s="77">
        <v>7160</v>
      </c>
      <c r="J28" s="53">
        <v>7160</v>
      </c>
      <c r="K28" s="65">
        <f t="shared" si="1"/>
        <v>423326.51603159995</v>
      </c>
      <c r="L28" s="51">
        <f t="shared" si="2"/>
        <v>423326.51603159995</v>
      </c>
      <c r="M28" s="68">
        <f t="shared" si="3"/>
        <v>423326.51603159995</v>
      </c>
      <c r="N28" s="72">
        <f t="shared" si="4"/>
        <v>423326.51603159995</v>
      </c>
      <c r="O28" s="55">
        <f t="shared" si="5"/>
        <v>423326.51603159995</v>
      </c>
      <c r="P28" s="77">
        <f t="shared" si="6"/>
        <v>423326.51603159995</v>
      </c>
      <c r="Q28" s="53">
        <f t="shared" si="7"/>
        <v>423326.51603159995</v>
      </c>
    </row>
    <row r="29" spans="1:17" x14ac:dyDescent="0.25">
      <c r="A29" s="35">
        <v>250</v>
      </c>
      <c r="B29" s="35" t="s">
        <v>18</v>
      </c>
      <c r="C29" s="36">
        <f>IFERROR(VLOOKUP($A29,'Pipe Rate'!$A$1:$AC$23,MATCH($B29,'Pipe Rate'!$B$1:$AC$1,0)+1,0),"N/F")</f>
        <v>72.846452570186372</v>
      </c>
      <c r="D29" s="65">
        <v>8411</v>
      </c>
      <c r="E29" s="51">
        <v>8411</v>
      </c>
      <c r="F29" s="68">
        <v>8411</v>
      </c>
      <c r="G29" s="72">
        <v>8411</v>
      </c>
      <c r="H29" s="55">
        <v>8411</v>
      </c>
      <c r="I29" s="77">
        <v>8411</v>
      </c>
      <c r="J29" s="53">
        <v>8411</v>
      </c>
      <c r="K29" s="65">
        <f t="shared" si="1"/>
        <v>612711.51256783761</v>
      </c>
      <c r="L29" s="51">
        <f t="shared" si="2"/>
        <v>612711.51256783761</v>
      </c>
      <c r="M29" s="68">
        <f t="shared" si="3"/>
        <v>612711.51256783761</v>
      </c>
      <c r="N29" s="72">
        <f t="shared" si="4"/>
        <v>612711.51256783761</v>
      </c>
      <c r="O29" s="55">
        <f t="shared" si="5"/>
        <v>612711.51256783761</v>
      </c>
      <c r="P29" s="77">
        <f t="shared" si="6"/>
        <v>612711.51256783761</v>
      </c>
      <c r="Q29" s="53">
        <f t="shared" si="7"/>
        <v>612711.51256783761</v>
      </c>
    </row>
    <row r="30" spans="1:17" x14ac:dyDescent="0.25">
      <c r="A30" s="35">
        <v>250</v>
      </c>
      <c r="B30" s="35" t="s">
        <v>21</v>
      </c>
      <c r="C30" s="36">
        <f>IFERROR(VLOOKUP($A30,'Pipe Rate'!$A$1:$AC$23,MATCH($B30,'Pipe Rate'!$B$1:$AC$1,0)+1,0),"N/F")</f>
        <v>105.11743105877895</v>
      </c>
      <c r="D30" s="65">
        <v>2263</v>
      </c>
      <c r="E30" s="51">
        <v>1960</v>
      </c>
      <c r="F30" s="68">
        <v>2263</v>
      </c>
      <c r="G30" s="72">
        <v>2263</v>
      </c>
      <c r="H30" s="55">
        <v>2263</v>
      </c>
      <c r="I30" s="77">
        <v>2263</v>
      </c>
      <c r="J30" s="53">
        <v>2263</v>
      </c>
      <c r="K30" s="65">
        <f t="shared" si="1"/>
        <v>237880.74648601675</v>
      </c>
      <c r="L30" s="51">
        <f t="shared" si="2"/>
        <v>206030.16487520674</v>
      </c>
      <c r="M30" s="68">
        <f t="shared" si="3"/>
        <v>237880.74648601675</v>
      </c>
      <c r="N30" s="72">
        <f t="shared" si="4"/>
        <v>237880.74648601675</v>
      </c>
      <c r="O30" s="55">
        <f t="shared" si="5"/>
        <v>237880.74648601675</v>
      </c>
      <c r="P30" s="77">
        <f t="shared" si="6"/>
        <v>237880.74648601675</v>
      </c>
      <c r="Q30" s="53">
        <f t="shared" si="7"/>
        <v>237880.74648601675</v>
      </c>
    </row>
    <row r="31" spans="1:17" x14ac:dyDescent="0.25">
      <c r="A31" s="35">
        <v>250</v>
      </c>
      <c r="B31" s="35" t="s">
        <v>25</v>
      </c>
      <c r="C31" s="36">
        <f>IFERROR(VLOOKUP($A31,'Pipe Rate'!$A$1:$AC$23,MATCH($B31,'Pipe Rate'!$B$1:$AC$1,0)+1,0),"N/F")</f>
        <v>129.51518680752156</v>
      </c>
      <c r="D31" s="65">
        <v>3596</v>
      </c>
      <c r="E31" s="51">
        <v>2989</v>
      </c>
      <c r="F31" s="68">
        <v>3596</v>
      </c>
      <c r="G31" s="72">
        <v>3596</v>
      </c>
      <c r="H31" s="55">
        <v>3596</v>
      </c>
      <c r="I31" s="77">
        <v>3596</v>
      </c>
      <c r="J31" s="53">
        <v>3596</v>
      </c>
      <c r="K31" s="65">
        <f t="shared" si="1"/>
        <v>465736.61175984755</v>
      </c>
      <c r="L31" s="51">
        <f t="shared" si="2"/>
        <v>387120.89336768194</v>
      </c>
      <c r="M31" s="68">
        <f t="shared" si="3"/>
        <v>465736.61175984755</v>
      </c>
      <c r="N31" s="72">
        <f t="shared" si="4"/>
        <v>465736.61175984755</v>
      </c>
      <c r="O31" s="55">
        <f t="shared" si="5"/>
        <v>465736.61175984755</v>
      </c>
      <c r="P31" s="77">
        <f t="shared" si="6"/>
        <v>465736.61175984755</v>
      </c>
      <c r="Q31" s="53">
        <f t="shared" si="7"/>
        <v>465736.61175984755</v>
      </c>
    </row>
    <row r="32" spans="1:17" x14ac:dyDescent="0.25">
      <c r="A32" s="35">
        <v>250</v>
      </c>
      <c r="B32" s="35" t="s">
        <v>27</v>
      </c>
      <c r="C32" s="36">
        <f>IFERROR(VLOOKUP($A32,'Pipe Rate'!$A$1:$AC$23,MATCH($B32,'Pipe Rate'!$B$1:$AC$1,0)+1,0),"N/F")</f>
        <v>159.57566166554733</v>
      </c>
      <c r="D32" s="65">
        <v>1218</v>
      </c>
      <c r="E32" s="51">
        <v>1218</v>
      </c>
      <c r="F32" s="68">
        <v>1218</v>
      </c>
      <c r="G32" s="72">
        <v>1218</v>
      </c>
      <c r="H32" s="55">
        <v>1218</v>
      </c>
      <c r="I32" s="77">
        <v>1218</v>
      </c>
      <c r="J32" s="53">
        <v>1218</v>
      </c>
      <c r="K32" s="65">
        <f t="shared" si="1"/>
        <v>194363.15590863666</v>
      </c>
      <c r="L32" s="51">
        <f t="shared" si="2"/>
        <v>194363.15590863666</v>
      </c>
      <c r="M32" s="68">
        <f t="shared" si="3"/>
        <v>194363.15590863666</v>
      </c>
      <c r="N32" s="72">
        <f t="shared" si="4"/>
        <v>194363.15590863666</v>
      </c>
      <c r="O32" s="55">
        <f t="shared" si="5"/>
        <v>194363.15590863666</v>
      </c>
      <c r="P32" s="77">
        <f t="shared" si="6"/>
        <v>194363.15590863666</v>
      </c>
      <c r="Q32" s="53">
        <f t="shared" si="7"/>
        <v>194363.15590863666</v>
      </c>
    </row>
    <row r="33" spans="1:17" x14ac:dyDescent="0.25">
      <c r="A33" s="35">
        <v>250</v>
      </c>
      <c r="B33" s="35" t="s">
        <v>101</v>
      </c>
      <c r="C33" s="36">
        <f>IFERROR(VLOOKUP($A33,'Pipe Rate'!$A$1:$AC$23,MATCH($B33,'Pipe Rate'!$B$1:$AC$1,0)+1,0),"N/F")</f>
        <v>230.26767978338484</v>
      </c>
      <c r="D33" s="65">
        <v>204</v>
      </c>
      <c r="E33" s="51">
        <v>204</v>
      </c>
      <c r="F33" s="68">
        <v>204</v>
      </c>
      <c r="G33" s="72">
        <v>204</v>
      </c>
      <c r="H33" s="55">
        <v>204</v>
      </c>
      <c r="I33" s="77">
        <v>204</v>
      </c>
      <c r="J33" s="53">
        <v>204</v>
      </c>
      <c r="K33" s="65">
        <f t="shared" si="1"/>
        <v>46974.606675810508</v>
      </c>
      <c r="L33" s="51">
        <f t="shared" si="2"/>
        <v>46974.606675810508</v>
      </c>
      <c r="M33" s="68">
        <f t="shared" si="3"/>
        <v>46974.606675810508</v>
      </c>
      <c r="N33" s="72">
        <f t="shared" si="4"/>
        <v>46974.606675810508</v>
      </c>
      <c r="O33" s="55">
        <f t="shared" si="5"/>
        <v>46974.606675810508</v>
      </c>
      <c r="P33" s="77">
        <f t="shared" si="6"/>
        <v>46974.606675810508</v>
      </c>
      <c r="Q33" s="53">
        <f t="shared" si="7"/>
        <v>46974.606675810508</v>
      </c>
    </row>
    <row r="34" spans="1:17" x14ac:dyDescent="0.25">
      <c r="A34" s="35">
        <v>250</v>
      </c>
      <c r="B34" s="35" t="s">
        <v>104</v>
      </c>
      <c r="C34" s="36">
        <f>IFERROR(VLOOKUP($A34,'Pipe Rate'!$A$1:$AC$23,MATCH($B34,'Pipe Rate'!$B$1:$AC$1,0)+1,0),"N/F")</f>
        <v>283.71280826110848</v>
      </c>
      <c r="D34" s="65">
        <v>100</v>
      </c>
      <c r="E34" s="51">
        <v>100</v>
      </c>
      <c r="F34" s="68">
        <v>100</v>
      </c>
      <c r="G34" s="72">
        <v>100</v>
      </c>
      <c r="H34" s="55">
        <v>100</v>
      </c>
      <c r="I34" s="77">
        <v>100</v>
      </c>
      <c r="J34" s="53">
        <v>100</v>
      </c>
      <c r="K34" s="65">
        <f t="shared" si="1"/>
        <v>28371.280826110848</v>
      </c>
      <c r="L34" s="51">
        <f t="shared" si="2"/>
        <v>28371.280826110848</v>
      </c>
      <c r="M34" s="68">
        <f t="shared" si="3"/>
        <v>28371.280826110848</v>
      </c>
      <c r="N34" s="72">
        <f t="shared" si="4"/>
        <v>28371.280826110848</v>
      </c>
      <c r="O34" s="55">
        <f t="shared" si="5"/>
        <v>28371.280826110848</v>
      </c>
      <c r="P34" s="77">
        <f t="shared" si="6"/>
        <v>28371.280826110848</v>
      </c>
      <c r="Q34" s="53">
        <f t="shared" si="7"/>
        <v>28371.280826110848</v>
      </c>
    </row>
    <row r="35" spans="1:17" x14ac:dyDescent="0.25">
      <c r="A35" s="35">
        <v>280</v>
      </c>
      <c r="B35" s="35" t="s">
        <v>4</v>
      </c>
      <c r="C35" s="36">
        <f>IFERROR(VLOOKUP($A35,'Pipe Rate'!$A$1:$AC$23,MATCH($B35,'Pipe Rate'!$B$1:$AC$1,0)+1,0),"N/F")</f>
        <v>18.426000000000002</v>
      </c>
      <c r="D35" s="65">
        <v>266</v>
      </c>
      <c r="E35" s="51">
        <v>266</v>
      </c>
      <c r="F35" s="68">
        <v>266</v>
      </c>
      <c r="G35" s="72">
        <v>266</v>
      </c>
      <c r="H35" s="55">
        <v>266</v>
      </c>
      <c r="I35" s="77">
        <v>195</v>
      </c>
      <c r="J35" s="53">
        <v>195</v>
      </c>
      <c r="K35" s="65">
        <f t="shared" si="1"/>
        <v>4901.3160000000007</v>
      </c>
      <c r="L35" s="51">
        <f t="shared" si="2"/>
        <v>4901.3160000000007</v>
      </c>
      <c r="M35" s="68">
        <f t="shared" si="3"/>
        <v>4901.3160000000007</v>
      </c>
      <c r="N35" s="72">
        <f t="shared" si="4"/>
        <v>4901.3160000000007</v>
      </c>
      <c r="O35" s="55">
        <f t="shared" si="5"/>
        <v>4901.3160000000007</v>
      </c>
      <c r="P35" s="77">
        <f t="shared" si="6"/>
        <v>3593.07</v>
      </c>
      <c r="Q35" s="53">
        <f t="shared" si="7"/>
        <v>3593.07</v>
      </c>
    </row>
    <row r="36" spans="1:17" x14ac:dyDescent="0.25">
      <c r="A36" s="35">
        <v>280</v>
      </c>
      <c r="B36" s="35" t="s">
        <v>5</v>
      </c>
      <c r="C36" s="36">
        <f>IFERROR(VLOOKUP($A36,'Pipe Rate'!$A$1:$AC$23,MATCH($B36,'Pipe Rate'!$B$1:$AC$1,0)+1,0),"N/F")</f>
        <v>20.452860000000005</v>
      </c>
      <c r="D36" s="65">
        <v>90</v>
      </c>
      <c r="E36" s="51">
        <v>90</v>
      </c>
      <c r="F36" s="68">
        <v>90</v>
      </c>
      <c r="G36" s="72">
        <v>90</v>
      </c>
      <c r="H36" s="55">
        <v>90</v>
      </c>
      <c r="I36" s="77">
        <v>90</v>
      </c>
      <c r="J36" s="53">
        <v>90</v>
      </c>
      <c r="K36" s="65">
        <f t="shared" si="1"/>
        <v>1840.7574000000004</v>
      </c>
      <c r="L36" s="51">
        <f t="shared" si="2"/>
        <v>1840.7574000000004</v>
      </c>
      <c r="M36" s="68">
        <f t="shared" si="3"/>
        <v>1840.7574000000004</v>
      </c>
      <c r="N36" s="72">
        <f t="shared" si="4"/>
        <v>1840.7574000000004</v>
      </c>
      <c r="O36" s="55">
        <f t="shared" si="5"/>
        <v>1840.7574000000004</v>
      </c>
      <c r="P36" s="77">
        <f t="shared" si="6"/>
        <v>1840.7574000000004</v>
      </c>
      <c r="Q36" s="53">
        <f t="shared" si="7"/>
        <v>1840.7574000000004</v>
      </c>
    </row>
    <row r="37" spans="1:17" x14ac:dyDescent="0.25">
      <c r="A37" s="35">
        <v>280</v>
      </c>
      <c r="B37" s="35" t="s">
        <v>6</v>
      </c>
      <c r="C37" s="36">
        <f>IFERROR(VLOOKUP($A37,'Pipe Rate'!$A$1:$AC$23,MATCH($B37,'Pipe Rate'!$B$1:$AC$1,0)+1,0),"N/F")</f>
        <v>22.702674600000009</v>
      </c>
      <c r="D37" s="65">
        <v>400</v>
      </c>
      <c r="E37" s="51">
        <v>400</v>
      </c>
      <c r="F37" s="68">
        <v>400</v>
      </c>
      <c r="G37" s="72">
        <v>400</v>
      </c>
      <c r="H37" s="55">
        <v>400</v>
      </c>
      <c r="I37" s="77">
        <v>92</v>
      </c>
      <c r="J37" s="53">
        <v>92</v>
      </c>
      <c r="K37" s="65">
        <f t="shared" si="1"/>
        <v>9081.0698400000038</v>
      </c>
      <c r="L37" s="51">
        <f t="shared" si="2"/>
        <v>9081.0698400000038</v>
      </c>
      <c r="M37" s="68">
        <f t="shared" si="3"/>
        <v>9081.0698400000038</v>
      </c>
      <c r="N37" s="72">
        <f t="shared" si="4"/>
        <v>9081.0698400000038</v>
      </c>
      <c r="O37" s="55">
        <f t="shared" si="5"/>
        <v>9081.0698400000038</v>
      </c>
      <c r="P37" s="77">
        <f t="shared" si="6"/>
        <v>2088.6460632000008</v>
      </c>
      <c r="Q37" s="53">
        <f t="shared" si="7"/>
        <v>2088.6460632000008</v>
      </c>
    </row>
    <row r="38" spans="1:17" x14ac:dyDescent="0.25">
      <c r="A38" s="35">
        <v>280</v>
      </c>
      <c r="B38" s="35" t="s">
        <v>7</v>
      </c>
      <c r="C38" s="36">
        <f>IFERROR(VLOOKUP($A38,'Pipe Rate'!$A$1:$AC$23,MATCH($B38,'Pipe Rate'!$B$1:$AC$1,0)+1,0),"N/F")</f>
        <v>25.199968806000012</v>
      </c>
      <c r="D38" s="65">
        <v>1039</v>
      </c>
      <c r="E38" s="51">
        <v>1039</v>
      </c>
      <c r="F38" s="68">
        <v>1039</v>
      </c>
      <c r="G38" s="72">
        <v>1039</v>
      </c>
      <c r="H38" s="55">
        <v>1039</v>
      </c>
      <c r="I38" s="77">
        <v>839</v>
      </c>
      <c r="J38" s="53">
        <v>839</v>
      </c>
      <c r="K38" s="65">
        <f t="shared" si="1"/>
        <v>26182.767589434014</v>
      </c>
      <c r="L38" s="51">
        <f t="shared" si="2"/>
        <v>26182.767589434014</v>
      </c>
      <c r="M38" s="68">
        <f t="shared" si="3"/>
        <v>26182.767589434014</v>
      </c>
      <c r="N38" s="72">
        <f t="shared" si="4"/>
        <v>26182.767589434014</v>
      </c>
      <c r="O38" s="55">
        <f t="shared" si="5"/>
        <v>26182.767589434014</v>
      </c>
      <c r="P38" s="77">
        <f t="shared" si="6"/>
        <v>21142.773828234011</v>
      </c>
      <c r="Q38" s="53">
        <f t="shared" si="7"/>
        <v>21142.773828234011</v>
      </c>
    </row>
    <row r="39" spans="1:17" x14ac:dyDescent="0.25">
      <c r="A39" s="35">
        <v>280</v>
      </c>
      <c r="B39" s="35" t="s">
        <v>8</v>
      </c>
      <c r="C39" s="36">
        <f>IFERROR(VLOOKUP($A39,'Pipe Rate'!$A$1:$AC$23,MATCH($B39,'Pipe Rate'!$B$1:$AC$1,0)+1,0),"N/F")</f>
        <v>27.971965374660016</v>
      </c>
      <c r="D39" s="65">
        <v>964</v>
      </c>
      <c r="E39" s="51">
        <v>964</v>
      </c>
      <c r="F39" s="68">
        <v>964</v>
      </c>
      <c r="G39" s="72">
        <v>964</v>
      </c>
      <c r="H39" s="55">
        <v>964</v>
      </c>
      <c r="I39" s="77">
        <v>864</v>
      </c>
      <c r="J39" s="53">
        <v>864</v>
      </c>
      <c r="K39" s="65">
        <f t="shared" si="1"/>
        <v>26964.974621172256</v>
      </c>
      <c r="L39" s="51">
        <f t="shared" si="2"/>
        <v>26964.974621172256</v>
      </c>
      <c r="M39" s="68">
        <f t="shared" si="3"/>
        <v>26964.974621172256</v>
      </c>
      <c r="N39" s="72">
        <f t="shared" si="4"/>
        <v>26964.974621172256</v>
      </c>
      <c r="O39" s="55">
        <f t="shared" si="5"/>
        <v>26964.974621172256</v>
      </c>
      <c r="P39" s="77">
        <f t="shared" si="6"/>
        <v>24167.778083706253</v>
      </c>
      <c r="Q39" s="53">
        <f t="shared" si="7"/>
        <v>24167.778083706253</v>
      </c>
    </row>
    <row r="40" spans="1:17" x14ac:dyDescent="0.25">
      <c r="A40" s="35">
        <v>280</v>
      </c>
      <c r="B40" s="35" t="s">
        <v>10</v>
      </c>
      <c r="C40" s="36">
        <f>IFERROR(VLOOKUP($A40,'Pipe Rate'!$A$1:$AC$23,MATCH($B40,'Pipe Rate'!$B$1:$AC$1,0)+1,0),"N/F")</f>
        <v>34.464258538118614</v>
      </c>
      <c r="D40" s="65">
        <v>4553</v>
      </c>
      <c r="E40" s="51">
        <v>4553</v>
      </c>
      <c r="F40" s="68">
        <v>4593</v>
      </c>
      <c r="G40" s="72">
        <v>4593</v>
      </c>
      <c r="H40" s="55">
        <v>4593</v>
      </c>
      <c r="I40" s="77">
        <v>4593</v>
      </c>
      <c r="J40" s="53">
        <v>4553</v>
      </c>
      <c r="K40" s="65">
        <f t="shared" si="1"/>
        <v>156915.76912405406</v>
      </c>
      <c r="L40" s="51">
        <f t="shared" si="2"/>
        <v>156915.76912405406</v>
      </c>
      <c r="M40" s="68">
        <f t="shared" si="3"/>
        <v>158294.33946557879</v>
      </c>
      <c r="N40" s="72">
        <f t="shared" si="4"/>
        <v>158294.33946557879</v>
      </c>
      <c r="O40" s="55">
        <f t="shared" si="5"/>
        <v>158294.33946557879</v>
      </c>
      <c r="P40" s="77">
        <f t="shared" si="6"/>
        <v>158294.33946557879</v>
      </c>
      <c r="Q40" s="53">
        <f t="shared" si="7"/>
        <v>156915.76912405406</v>
      </c>
    </row>
    <row r="41" spans="1:17" x14ac:dyDescent="0.25">
      <c r="A41" s="35">
        <v>280</v>
      </c>
      <c r="B41" s="35" t="s">
        <v>12</v>
      </c>
      <c r="C41" s="36">
        <f>IFERROR(VLOOKUP($A41,'Pipe Rate'!$A$1:$AC$23,MATCH($B41,'Pipe Rate'!$B$1:$AC$1,0)+1,0),"N/F")</f>
        <v>42.46341294481595</v>
      </c>
      <c r="D41" s="65">
        <v>3401</v>
      </c>
      <c r="E41" s="51">
        <v>3401</v>
      </c>
      <c r="F41" s="68">
        <v>3601</v>
      </c>
      <c r="G41" s="72">
        <v>3601</v>
      </c>
      <c r="H41" s="55">
        <v>3601</v>
      </c>
      <c r="I41" s="77">
        <v>3601</v>
      </c>
      <c r="J41" s="53">
        <v>3401</v>
      </c>
      <c r="K41" s="65">
        <f t="shared" si="1"/>
        <v>144418.06742531905</v>
      </c>
      <c r="L41" s="51">
        <f t="shared" si="2"/>
        <v>144418.06742531905</v>
      </c>
      <c r="M41" s="68">
        <f t="shared" si="3"/>
        <v>152910.75001428224</v>
      </c>
      <c r="N41" s="72">
        <f t="shared" si="4"/>
        <v>152910.75001428224</v>
      </c>
      <c r="O41" s="55">
        <f t="shared" si="5"/>
        <v>152910.75001428224</v>
      </c>
      <c r="P41" s="77">
        <f t="shared" si="6"/>
        <v>152910.75001428224</v>
      </c>
      <c r="Q41" s="53">
        <f t="shared" si="7"/>
        <v>144418.06742531905</v>
      </c>
    </row>
    <row r="42" spans="1:17" x14ac:dyDescent="0.25">
      <c r="A42" s="35">
        <v>280</v>
      </c>
      <c r="B42" s="35" t="s">
        <v>14</v>
      </c>
      <c r="C42" s="36">
        <f>IFERROR(VLOOKUP($A42,'Pipe Rate'!$A$1:$AC$23,MATCH($B42,'Pipe Rate'!$B$1:$AC$1,0)+1,0),"N/F")</f>
        <v>61.274704879369423</v>
      </c>
      <c r="D42" s="65">
        <v>3643</v>
      </c>
      <c r="E42" s="51">
        <v>3643</v>
      </c>
      <c r="F42" s="68">
        <v>4143</v>
      </c>
      <c r="G42" s="72">
        <v>4143</v>
      </c>
      <c r="H42" s="55">
        <v>4424</v>
      </c>
      <c r="I42" s="77">
        <v>4424</v>
      </c>
      <c r="J42" s="53">
        <v>3643</v>
      </c>
      <c r="K42" s="65">
        <f t="shared" si="1"/>
        <v>223223.7498755428</v>
      </c>
      <c r="L42" s="51">
        <f t="shared" si="2"/>
        <v>223223.7498755428</v>
      </c>
      <c r="M42" s="68">
        <f t="shared" si="3"/>
        <v>253861.10231522753</v>
      </c>
      <c r="N42" s="72">
        <f t="shared" si="4"/>
        <v>253861.10231522753</v>
      </c>
      <c r="O42" s="55">
        <f t="shared" si="5"/>
        <v>271079.29438633035</v>
      </c>
      <c r="P42" s="77">
        <f t="shared" si="6"/>
        <v>271079.29438633035</v>
      </c>
      <c r="Q42" s="53">
        <f t="shared" si="7"/>
        <v>223223.7498755428</v>
      </c>
    </row>
    <row r="43" spans="1:17" x14ac:dyDescent="0.25">
      <c r="A43" s="35">
        <v>280</v>
      </c>
      <c r="B43" s="35" t="s">
        <v>16</v>
      </c>
      <c r="C43" s="36">
        <f>IFERROR(VLOOKUP($A43,'Pipe Rate'!$A$1:$AC$23,MATCH($B43,'Pipe Rate'!$B$1:$AC$1,0)+1,0),"N/F")</f>
        <v>75.496563881871083</v>
      </c>
      <c r="D43" s="65">
        <v>3285</v>
      </c>
      <c r="E43" s="51">
        <v>3092</v>
      </c>
      <c r="F43" s="68">
        <v>3701</v>
      </c>
      <c r="G43" s="72">
        <v>3701</v>
      </c>
      <c r="H43" s="55">
        <v>3769</v>
      </c>
      <c r="I43" s="77">
        <v>3769</v>
      </c>
      <c r="J43" s="53">
        <v>3285</v>
      </c>
      <c r="K43" s="65">
        <f t="shared" si="1"/>
        <v>248006.21235194651</v>
      </c>
      <c r="L43" s="51">
        <f t="shared" si="2"/>
        <v>233435.37552274539</v>
      </c>
      <c r="M43" s="68">
        <f t="shared" si="3"/>
        <v>279412.78292680485</v>
      </c>
      <c r="N43" s="72">
        <f t="shared" si="4"/>
        <v>279412.78292680485</v>
      </c>
      <c r="O43" s="55">
        <f t="shared" si="5"/>
        <v>284546.54927077208</v>
      </c>
      <c r="P43" s="77">
        <f t="shared" si="6"/>
        <v>284546.54927077208</v>
      </c>
      <c r="Q43" s="53">
        <f t="shared" si="7"/>
        <v>248006.21235194651</v>
      </c>
    </row>
    <row r="44" spans="1:17" x14ac:dyDescent="0.25">
      <c r="A44" s="35">
        <v>280</v>
      </c>
      <c r="B44" s="35" t="s">
        <v>18</v>
      </c>
      <c r="C44" s="36">
        <f>IFERROR(VLOOKUP($A44,'Pipe Rate'!$A$1:$AC$23,MATCH($B44,'Pipe Rate'!$B$1:$AC$1,0)+1,0),"N/F")</f>
        <v>93.019316358853374</v>
      </c>
      <c r="D44" s="65">
        <v>4213</v>
      </c>
      <c r="E44" s="51">
        <v>4120</v>
      </c>
      <c r="F44" s="68">
        <v>4213</v>
      </c>
      <c r="G44" s="72">
        <v>4213</v>
      </c>
      <c r="H44" s="55">
        <v>4213</v>
      </c>
      <c r="I44" s="77">
        <v>4213</v>
      </c>
      <c r="J44" s="53">
        <v>4213</v>
      </c>
      <c r="K44" s="65">
        <f t="shared" si="1"/>
        <v>391890.37981984927</v>
      </c>
      <c r="L44" s="51">
        <f t="shared" si="2"/>
        <v>383239.58339847589</v>
      </c>
      <c r="M44" s="68">
        <f t="shared" si="3"/>
        <v>391890.37981984927</v>
      </c>
      <c r="N44" s="72">
        <f t="shared" si="4"/>
        <v>391890.37981984927</v>
      </c>
      <c r="O44" s="55">
        <f t="shared" si="5"/>
        <v>391890.37981984927</v>
      </c>
      <c r="P44" s="77">
        <f t="shared" si="6"/>
        <v>391890.37981984927</v>
      </c>
      <c r="Q44" s="53">
        <f t="shared" si="7"/>
        <v>391890.37981984927</v>
      </c>
    </row>
    <row r="45" spans="1:17" x14ac:dyDescent="0.25">
      <c r="A45" s="35">
        <v>280</v>
      </c>
      <c r="B45" s="35" t="s">
        <v>21</v>
      </c>
      <c r="C45" s="36">
        <f>IFERROR(VLOOKUP($A45,'Pipe Rate'!$A$1:$AC$23,MATCH($B45,'Pipe Rate'!$B$1:$AC$1,0)+1,0),"N/F")</f>
        <v>134.22687350582544</v>
      </c>
      <c r="D45" s="65">
        <v>1809</v>
      </c>
      <c r="E45" s="51">
        <v>1004</v>
      </c>
      <c r="F45" s="68">
        <v>1809</v>
      </c>
      <c r="G45" s="72">
        <v>1809</v>
      </c>
      <c r="H45" s="55">
        <v>1809</v>
      </c>
      <c r="I45" s="77">
        <v>1809</v>
      </c>
      <c r="J45" s="53">
        <v>1809</v>
      </c>
      <c r="K45" s="65">
        <f t="shared" si="1"/>
        <v>242816.4141720382</v>
      </c>
      <c r="L45" s="51">
        <f t="shared" si="2"/>
        <v>134763.78099984874</v>
      </c>
      <c r="M45" s="68">
        <f t="shared" si="3"/>
        <v>242816.4141720382</v>
      </c>
      <c r="N45" s="72">
        <f t="shared" si="4"/>
        <v>242816.4141720382</v>
      </c>
      <c r="O45" s="55">
        <f t="shared" si="5"/>
        <v>242816.4141720382</v>
      </c>
      <c r="P45" s="77">
        <f t="shared" si="6"/>
        <v>242816.4141720382</v>
      </c>
      <c r="Q45" s="53">
        <f t="shared" si="7"/>
        <v>242816.4141720382</v>
      </c>
    </row>
    <row r="46" spans="1:17" x14ac:dyDescent="0.25">
      <c r="A46" s="35">
        <v>280</v>
      </c>
      <c r="B46" s="35" t="s">
        <v>25</v>
      </c>
      <c r="C46" s="36">
        <f>IFERROR(VLOOKUP($A46,'Pipe Rate'!$A$1:$AC$23,MATCH($B46,'Pipe Rate'!$B$1:$AC$1,0)+1,0),"N/F")</f>
        <v>165.38093084652755</v>
      </c>
      <c r="D46" s="65">
        <v>959</v>
      </c>
      <c r="E46" s="51">
        <v>503</v>
      </c>
      <c r="F46" s="68">
        <v>959</v>
      </c>
      <c r="G46" s="72">
        <v>959</v>
      </c>
      <c r="H46" s="55">
        <v>959</v>
      </c>
      <c r="I46" s="77">
        <v>959</v>
      </c>
      <c r="J46" s="53">
        <v>959</v>
      </c>
      <c r="K46" s="65">
        <f t="shared" si="1"/>
        <v>158600.31268181992</v>
      </c>
      <c r="L46" s="51">
        <f t="shared" si="2"/>
        <v>83186.608215803353</v>
      </c>
      <c r="M46" s="68">
        <f t="shared" si="3"/>
        <v>158600.31268181992</v>
      </c>
      <c r="N46" s="72">
        <f t="shared" si="4"/>
        <v>158600.31268181992</v>
      </c>
      <c r="O46" s="55">
        <f t="shared" si="5"/>
        <v>158600.31268181992</v>
      </c>
      <c r="P46" s="77">
        <f t="shared" si="6"/>
        <v>158600.31268181992</v>
      </c>
      <c r="Q46" s="53">
        <f t="shared" si="7"/>
        <v>158600.31268181992</v>
      </c>
    </row>
    <row r="47" spans="1:17" x14ac:dyDescent="0.25">
      <c r="A47" s="35">
        <v>280</v>
      </c>
      <c r="B47" s="35" t="s">
        <v>27</v>
      </c>
      <c r="C47" s="36">
        <f>IFERROR(VLOOKUP($A47,'Pipe Rate'!$A$1:$AC$23,MATCH($B47,'Pipe Rate'!$B$1:$AC$1,0)+1,0),"N/F")</f>
        <v>203.76584489600663</v>
      </c>
      <c r="D47" s="65">
        <v>446</v>
      </c>
      <c r="E47" s="51">
        <v>446</v>
      </c>
      <c r="F47" s="68">
        <v>446</v>
      </c>
      <c r="G47" s="72">
        <v>446</v>
      </c>
      <c r="H47" s="55">
        <v>446</v>
      </c>
      <c r="I47" s="77">
        <v>446</v>
      </c>
      <c r="J47" s="53">
        <v>446</v>
      </c>
      <c r="K47" s="65">
        <f t="shared" si="1"/>
        <v>90879.566823618952</v>
      </c>
      <c r="L47" s="51">
        <f t="shared" si="2"/>
        <v>90879.566823618952</v>
      </c>
      <c r="M47" s="68">
        <f t="shared" si="3"/>
        <v>90879.566823618952</v>
      </c>
      <c r="N47" s="72">
        <f t="shared" si="4"/>
        <v>90879.566823618952</v>
      </c>
      <c r="O47" s="55">
        <f t="shared" si="5"/>
        <v>90879.566823618952</v>
      </c>
      <c r="P47" s="77">
        <f t="shared" si="6"/>
        <v>90879.566823618952</v>
      </c>
      <c r="Q47" s="53">
        <f t="shared" si="7"/>
        <v>90879.566823618952</v>
      </c>
    </row>
    <row r="48" spans="1:17" x14ac:dyDescent="0.25">
      <c r="A48" s="35">
        <v>315</v>
      </c>
      <c r="B48" s="35" t="s">
        <v>4</v>
      </c>
      <c r="C48" s="36">
        <f>IFERROR(VLOOKUP($A48,'Pipe Rate'!$A$1:$AC$23,MATCH($B48,'Pipe Rate'!$B$1:$AC$1,0)+1,0),"N/F")</f>
        <v>23.532</v>
      </c>
      <c r="D48" s="65">
        <v>835</v>
      </c>
      <c r="E48" s="51">
        <v>835</v>
      </c>
      <c r="F48" s="68">
        <v>835</v>
      </c>
      <c r="G48" s="72">
        <v>835</v>
      </c>
      <c r="H48" s="55">
        <v>835</v>
      </c>
      <c r="I48" s="77">
        <v>835</v>
      </c>
      <c r="J48" s="53">
        <v>835</v>
      </c>
      <c r="K48" s="65">
        <f t="shared" si="1"/>
        <v>19649.22</v>
      </c>
      <c r="L48" s="51">
        <f t="shared" si="2"/>
        <v>19649.22</v>
      </c>
      <c r="M48" s="68">
        <f t="shared" si="3"/>
        <v>19649.22</v>
      </c>
      <c r="N48" s="72">
        <f t="shared" si="4"/>
        <v>19649.22</v>
      </c>
      <c r="O48" s="55">
        <f t="shared" si="5"/>
        <v>19649.22</v>
      </c>
      <c r="P48" s="77">
        <f t="shared" si="6"/>
        <v>19649.22</v>
      </c>
      <c r="Q48" s="53">
        <f t="shared" si="7"/>
        <v>19649.22</v>
      </c>
    </row>
    <row r="49" spans="1:17" x14ac:dyDescent="0.25">
      <c r="A49" s="35">
        <v>315</v>
      </c>
      <c r="B49" s="35" t="s">
        <v>5</v>
      </c>
      <c r="C49" s="36">
        <f>IFERROR(VLOOKUP($A49,'Pipe Rate'!$A$1:$AC$23,MATCH($B49,'Pipe Rate'!$B$1:$AC$1,0)+1,0),"N/F")</f>
        <v>26.120520000000003</v>
      </c>
      <c r="D49" s="65">
        <v>465</v>
      </c>
      <c r="E49" s="51">
        <v>465</v>
      </c>
      <c r="F49" s="68">
        <v>465</v>
      </c>
      <c r="G49" s="72">
        <v>465</v>
      </c>
      <c r="H49" s="55">
        <v>465</v>
      </c>
      <c r="I49" s="77">
        <v>465</v>
      </c>
      <c r="J49" s="53">
        <v>465</v>
      </c>
      <c r="K49" s="65">
        <f t="shared" si="1"/>
        <v>12146.041800000001</v>
      </c>
      <c r="L49" s="51">
        <f t="shared" si="2"/>
        <v>12146.041800000001</v>
      </c>
      <c r="M49" s="68">
        <f t="shared" si="3"/>
        <v>12146.041800000001</v>
      </c>
      <c r="N49" s="72">
        <f t="shared" si="4"/>
        <v>12146.041800000001</v>
      </c>
      <c r="O49" s="55">
        <f t="shared" si="5"/>
        <v>12146.041800000001</v>
      </c>
      <c r="P49" s="77">
        <f t="shared" si="6"/>
        <v>12146.041800000001</v>
      </c>
      <c r="Q49" s="53">
        <f t="shared" si="7"/>
        <v>12146.041800000001</v>
      </c>
    </row>
    <row r="50" spans="1:17" x14ac:dyDescent="0.25">
      <c r="A50" s="35">
        <v>315</v>
      </c>
      <c r="B50" s="35" t="s">
        <v>6</v>
      </c>
      <c r="C50" s="36">
        <f>IFERROR(VLOOKUP($A50,'Pipe Rate'!$A$1:$AC$23,MATCH($B50,'Pipe Rate'!$B$1:$AC$1,0)+1,0),"N/F")</f>
        <v>28.993777200000004</v>
      </c>
      <c r="D50" s="65">
        <v>265</v>
      </c>
      <c r="E50" s="51">
        <v>265</v>
      </c>
      <c r="F50" s="68">
        <v>265</v>
      </c>
      <c r="G50" s="72">
        <v>265</v>
      </c>
      <c r="H50" s="55">
        <v>265</v>
      </c>
      <c r="I50" s="77">
        <v>265</v>
      </c>
      <c r="J50" s="53">
        <v>265</v>
      </c>
      <c r="K50" s="65">
        <f t="shared" si="1"/>
        <v>7683.3509580000009</v>
      </c>
      <c r="L50" s="51">
        <f t="shared" si="2"/>
        <v>7683.3509580000009</v>
      </c>
      <c r="M50" s="68">
        <f t="shared" si="3"/>
        <v>7683.3509580000009</v>
      </c>
      <c r="N50" s="72">
        <f t="shared" si="4"/>
        <v>7683.3509580000009</v>
      </c>
      <c r="O50" s="55">
        <f t="shared" si="5"/>
        <v>7683.3509580000009</v>
      </c>
      <c r="P50" s="77">
        <f t="shared" si="6"/>
        <v>7683.3509580000009</v>
      </c>
      <c r="Q50" s="53">
        <f t="shared" si="7"/>
        <v>7683.3509580000009</v>
      </c>
    </row>
    <row r="51" spans="1:17" x14ac:dyDescent="0.25">
      <c r="A51" s="35">
        <v>315</v>
      </c>
      <c r="B51" s="35" t="s">
        <v>7</v>
      </c>
      <c r="C51" s="36">
        <f>IFERROR(VLOOKUP($A51,'Pipe Rate'!$A$1:$AC$23,MATCH($B51,'Pipe Rate'!$B$1:$AC$1,0)+1,0),"N/F")</f>
        <v>32.18309269200001</v>
      </c>
      <c r="D51" s="65">
        <v>200</v>
      </c>
      <c r="E51" s="51">
        <v>200</v>
      </c>
      <c r="F51" s="68">
        <v>200</v>
      </c>
      <c r="G51" s="72">
        <v>200</v>
      </c>
      <c r="H51" s="55">
        <v>200</v>
      </c>
      <c r="I51" s="77">
        <v>200</v>
      </c>
      <c r="J51" s="53">
        <v>200</v>
      </c>
      <c r="K51" s="65">
        <f t="shared" si="1"/>
        <v>6436.6185384000019</v>
      </c>
      <c r="L51" s="51">
        <f t="shared" si="2"/>
        <v>6436.6185384000019</v>
      </c>
      <c r="M51" s="68">
        <f t="shared" si="3"/>
        <v>6436.6185384000019</v>
      </c>
      <c r="N51" s="72">
        <f t="shared" si="4"/>
        <v>6436.6185384000019</v>
      </c>
      <c r="O51" s="55">
        <f t="shared" si="5"/>
        <v>6436.6185384000019</v>
      </c>
      <c r="P51" s="77">
        <f t="shared" si="6"/>
        <v>6436.6185384000019</v>
      </c>
      <c r="Q51" s="53">
        <f t="shared" si="7"/>
        <v>6436.6185384000019</v>
      </c>
    </row>
    <row r="52" spans="1:17" x14ac:dyDescent="0.25">
      <c r="A52" s="35">
        <v>315</v>
      </c>
      <c r="B52" s="35" t="s">
        <v>8</v>
      </c>
      <c r="C52" s="36">
        <f>IFERROR(VLOOKUP($A52,'Pipe Rate'!$A$1:$AC$23,MATCH($B52,'Pipe Rate'!$B$1:$AC$1,0)+1,0),"N/F")</f>
        <v>35.723232888120016</v>
      </c>
      <c r="D52" s="65">
        <v>160</v>
      </c>
      <c r="E52" s="51">
        <v>160</v>
      </c>
      <c r="F52" s="68">
        <v>160</v>
      </c>
      <c r="G52" s="72">
        <v>160</v>
      </c>
      <c r="H52" s="55">
        <v>160</v>
      </c>
      <c r="I52" s="77">
        <v>160</v>
      </c>
      <c r="J52" s="53">
        <v>160</v>
      </c>
      <c r="K52" s="65">
        <f t="shared" si="1"/>
        <v>5715.7172620992023</v>
      </c>
      <c r="L52" s="51">
        <f t="shared" si="2"/>
        <v>5715.7172620992023</v>
      </c>
      <c r="M52" s="68">
        <f t="shared" si="3"/>
        <v>5715.7172620992023</v>
      </c>
      <c r="N52" s="72">
        <f t="shared" si="4"/>
        <v>5715.7172620992023</v>
      </c>
      <c r="O52" s="55">
        <f t="shared" si="5"/>
        <v>5715.7172620992023</v>
      </c>
      <c r="P52" s="77">
        <f t="shared" si="6"/>
        <v>5715.7172620992023</v>
      </c>
      <c r="Q52" s="53">
        <f t="shared" si="7"/>
        <v>5715.7172620992023</v>
      </c>
    </row>
    <row r="53" spans="1:17" x14ac:dyDescent="0.25">
      <c r="A53" s="35">
        <v>315</v>
      </c>
      <c r="B53" s="35" t="s">
        <v>10</v>
      </c>
      <c r="C53" s="36">
        <f>IFERROR(VLOOKUP($A53,'Pipe Rate'!$A$1:$AC$23,MATCH($B53,'Pipe Rate'!$B$1:$AC$1,0)+1,0),"N/F")</f>
        <v>44.014595241452675</v>
      </c>
      <c r="D53" s="65">
        <v>858</v>
      </c>
      <c r="E53" s="51">
        <v>858</v>
      </c>
      <c r="F53" s="68">
        <v>858</v>
      </c>
      <c r="G53" s="72">
        <v>858</v>
      </c>
      <c r="H53" s="55">
        <v>858</v>
      </c>
      <c r="I53" s="77">
        <v>858</v>
      </c>
      <c r="J53" s="53">
        <v>858</v>
      </c>
      <c r="K53" s="65">
        <f t="shared" si="1"/>
        <v>37764.522717166394</v>
      </c>
      <c r="L53" s="51">
        <f t="shared" si="2"/>
        <v>37764.522717166394</v>
      </c>
      <c r="M53" s="68">
        <f t="shared" si="3"/>
        <v>37764.522717166394</v>
      </c>
      <c r="N53" s="72">
        <f t="shared" si="4"/>
        <v>37764.522717166394</v>
      </c>
      <c r="O53" s="55">
        <f t="shared" si="5"/>
        <v>37764.522717166394</v>
      </c>
      <c r="P53" s="77">
        <f t="shared" si="6"/>
        <v>37764.522717166394</v>
      </c>
      <c r="Q53" s="53">
        <f t="shared" si="7"/>
        <v>37764.522717166394</v>
      </c>
    </row>
    <row r="54" spans="1:17" x14ac:dyDescent="0.25">
      <c r="A54" s="35">
        <v>315</v>
      </c>
      <c r="B54" s="35" t="s">
        <v>12</v>
      </c>
      <c r="C54" s="36">
        <f>IFERROR(VLOOKUP($A54,'Pipe Rate'!$A$1:$AC$23,MATCH($B54,'Pipe Rate'!$B$1:$AC$1,0)+1,0),"N/F")</f>
        <v>54.230382796993851</v>
      </c>
      <c r="D54" s="65">
        <v>1149</v>
      </c>
      <c r="E54" s="51">
        <v>1149</v>
      </c>
      <c r="F54" s="68">
        <v>1149</v>
      </c>
      <c r="G54" s="72">
        <v>1149</v>
      </c>
      <c r="H54" s="55">
        <v>1429</v>
      </c>
      <c r="I54" s="77">
        <v>1429</v>
      </c>
      <c r="J54" s="53">
        <v>1149</v>
      </c>
      <c r="K54" s="65">
        <f t="shared" si="1"/>
        <v>62310.709833745932</v>
      </c>
      <c r="L54" s="51">
        <f t="shared" si="2"/>
        <v>62310.709833745932</v>
      </c>
      <c r="M54" s="68">
        <f t="shared" si="3"/>
        <v>62310.709833745932</v>
      </c>
      <c r="N54" s="72">
        <f t="shared" si="4"/>
        <v>62310.709833745932</v>
      </c>
      <c r="O54" s="55">
        <f t="shared" si="5"/>
        <v>77495.217016904207</v>
      </c>
      <c r="P54" s="77">
        <f t="shared" si="6"/>
        <v>77495.217016904207</v>
      </c>
      <c r="Q54" s="53">
        <f t="shared" si="7"/>
        <v>62310.709833745932</v>
      </c>
    </row>
    <row r="55" spans="1:17" x14ac:dyDescent="0.25">
      <c r="A55" s="35">
        <v>315</v>
      </c>
      <c r="B55" s="35" t="s">
        <v>14</v>
      </c>
      <c r="C55" s="36">
        <f>IFERROR(VLOOKUP($A55,'Pipe Rate'!$A$1:$AC$23,MATCH($B55,'Pipe Rate'!$B$1:$AC$1,0)+1,0),"N/F")</f>
        <v>78.25444237606213</v>
      </c>
      <c r="D55" s="65">
        <v>2437</v>
      </c>
      <c r="E55" s="51">
        <v>2437</v>
      </c>
      <c r="F55" s="68">
        <v>2437</v>
      </c>
      <c r="G55" s="72">
        <v>2437</v>
      </c>
      <c r="H55" s="55">
        <v>2934</v>
      </c>
      <c r="I55" s="77">
        <v>2934</v>
      </c>
      <c r="J55" s="53">
        <v>2437</v>
      </c>
      <c r="K55" s="65">
        <f t="shared" si="1"/>
        <v>190706.0760704634</v>
      </c>
      <c r="L55" s="51">
        <f t="shared" si="2"/>
        <v>190706.0760704634</v>
      </c>
      <c r="M55" s="68">
        <f t="shared" si="3"/>
        <v>190706.0760704634</v>
      </c>
      <c r="N55" s="72">
        <f t="shared" si="4"/>
        <v>190706.0760704634</v>
      </c>
      <c r="O55" s="55">
        <f t="shared" si="5"/>
        <v>229598.53393136628</v>
      </c>
      <c r="P55" s="77">
        <f t="shared" si="6"/>
        <v>229598.53393136628</v>
      </c>
      <c r="Q55" s="53">
        <f t="shared" si="7"/>
        <v>190706.0760704634</v>
      </c>
    </row>
    <row r="56" spans="1:17" x14ac:dyDescent="0.25">
      <c r="A56" s="35">
        <v>315</v>
      </c>
      <c r="B56" s="35" t="s">
        <v>16</v>
      </c>
      <c r="C56" s="36">
        <f>IFERROR(VLOOKUP($A56,'Pipe Rate'!$A$1:$AC$23,MATCH($B56,'Pipe Rate'!$B$1:$AC$1,0)+1,0),"N/F")</f>
        <v>96.417298451546174</v>
      </c>
      <c r="D56" s="65">
        <v>815</v>
      </c>
      <c r="E56" s="51">
        <v>815</v>
      </c>
      <c r="F56" s="68">
        <v>815</v>
      </c>
      <c r="G56" s="72">
        <v>815</v>
      </c>
      <c r="H56" s="55">
        <v>815</v>
      </c>
      <c r="I56" s="77">
        <v>815</v>
      </c>
      <c r="J56" s="53">
        <v>815</v>
      </c>
      <c r="K56" s="65">
        <f t="shared" si="1"/>
        <v>78580.098238010134</v>
      </c>
      <c r="L56" s="51">
        <f t="shared" si="2"/>
        <v>78580.098238010134</v>
      </c>
      <c r="M56" s="68">
        <f t="shared" si="3"/>
        <v>78580.098238010134</v>
      </c>
      <c r="N56" s="72">
        <f t="shared" si="4"/>
        <v>78580.098238010134</v>
      </c>
      <c r="O56" s="55">
        <f t="shared" si="5"/>
        <v>78580.098238010134</v>
      </c>
      <c r="P56" s="77">
        <f t="shared" si="6"/>
        <v>78580.098238010134</v>
      </c>
      <c r="Q56" s="53">
        <f t="shared" si="7"/>
        <v>78580.098238010134</v>
      </c>
    </row>
    <row r="57" spans="1:17" x14ac:dyDescent="0.25">
      <c r="A57" s="35">
        <v>315</v>
      </c>
      <c r="B57" s="35" t="s">
        <v>18</v>
      </c>
      <c r="C57" s="36">
        <f>IFERROR(VLOOKUP($A57,'Pipe Rate'!$A$1:$AC$23,MATCH($B57,'Pipe Rate'!$B$1:$AC$1,0)+1,0),"N/F")</f>
        <v>118.79575342215006</v>
      </c>
      <c r="D57" s="65">
        <v>545</v>
      </c>
      <c r="E57" s="51">
        <v>545</v>
      </c>
      <c r="F57" s="68">
        <v>545</v>
      </c>
      <c r="G57" s="72">
        <v>545</v>
      </c>
      <c r="H57" s="55">
        <v>545</v>
      </c>
      <c r="I57" s="77">
        <v>545</v>
      </c>
      <c r="J57" s="53">
        <v>545</v>
      </c>
      <c r="K57" s="65">
        <f t="shared" si="1"/>
        <v>64743.685615071779</v>
      </c>
      <c r="L57" s="51">
        <f t="shared" si="2"/>
        <v>64743.685615071779</v>
      </c>
      <c r="M57" s="68">
        <f t="shared" si="3"/>
        <v>64743.685615071779</v>
      </c>
      <c r="N57" s="72">
        <f t="shared" si="4"/>
        <v>64743.685615071779</v>
      </c>
      <c r="O57" s="55">
        <f t="shared" si="5"/>
        <v>64743.685615071779</v>
      </c>
      <c r="P57" s="77">
        <f t="shared" si="6"/>
        <v>64743.685615071779</v>
      </c>
      <c r="Q57" s="53">
        <f t="shared" si="7"/>
        <v>64743.685615071779</v>
      </c>
    </row>
    <row r="58" spans="1:17" x14ac:dyDescent="0.25">
      <c r="A58" s="35">
        <v>315</v>
      </c>
      <c r="B58" s="35" t="s">
        <v>21</v>
      </c>
      <c r="C58" s="36">
        <f>IFERROR(VLOOKUP($A58,'Pipe Rate'!$A$1:$AC$23,MATCH($B58,'Pipe Rate'!$B$1:$AC$1,0)+1,0),"N/F")</f>
        <v>171.42227218816257</v>
      </c>
      <c r="D58" s="65">
        <v>767</v>
      </c>
      <c r="E58" s="51">
        <v>767</v>
      </c>
      <c r="F58" s="68">
        <v>767</v>
      </c>
      <c r="G58" s="72">
        <v>767</v>
      </c>
      <c r="H58" s="55">
        <v>767</v>
      </c>
      <c r="I58" s="77">
        <v>767</v>
      </c>
      <c r="J58" s="53">
        <v>767</v>
      </c>
      <c r="K58" s="65">
        <f t="shared" si="1"/>
        <v>131480.88276832068</v>
      </c>
      <c r="L58" s="51">
        <f t="shared" si="2"/>
        <v>131480.88276832068</v>
      </c>
      <c r="M58" s="68">
        <f t="shared" si="3"/>
        <v>131480.88276832068</v>
      </c>
      <c r="N58" s="72">
        <f t="shared" si="4"/>
        <v>131480.88276832068</v>
      </c>
      <c r="O58" s="55">
        <f t="shared" si="5"/>
        <v>131480.88276832068</v>
      </c>
      <c r="P58" s="77">
        <f t="shared" si="6"/>
        <v>131480.88276832068</v>
      </c>
      <c r="Q58" s="53">
        <f t="shared" si="7"/>
        <v>131480.88276832068</v>
      </c>
    </row>
    <row r="59" spans="1:17" x14ac:dyDescent="0.25">
      <c r="A59" s="35">
        <v>315</v>
      </c>
      <c r="B59" s="35" t="s">
        <v>25</v>
      </c>
      <c r="C59" s="36">
        <f>IFERROR(VLOOKUP($A59,'Pipe Rate'!$A$1:$AC$23,MATCH($B59,'Pipe Rate'!$B$1:$AC$1,0)+1,0),"N/F")</f>
        <v>211.20938156303512</v>
      </c>
      <c r="D59" s="65">
        <v>571</v>
      </c>
      <c r="E59" s="51">
        <v>571</v>
      </c>
      <c r="F59" s="68">
        <v>571</v>
      </c>
      <c r="G59" s="72">
        <v>571</v>
      </c>
      <c r="H59" s="55">
        <v>571</v>
      </c>
      <c r="I59" s="77">
        <v>571</v>
      </c>
      <c r="J59" s="53">
        <v>571</v>
      </c>
      <c r="K59" s="65">
        <f t="shared" si="1"/>
        <v>120600.55687249305</v>
      </c>
      <c r="L59" s="51">
        <f t="shared" si="2"/>
        <v>120600.55687249305</v>
      </c>
      <c r="M59" s="68">
        <f t="shared" si="3"/>
        <v>120600.55687249305</v>
      </c>
      <c r="N59" s="72">
        <f t="shared" si="4"/>
        <v>120600.55687249305</v>
      </c>
      <c r="O59" s="55">
        <f t="shared" si="5"/>
        <v>120600.55687249305</v>
      </c>
      <c r="P59" s="77">
        <f t="shared" si="6"/>
        <v>120600.55687249305</v>
      </c>
      <c r="Q59" s="53">
        <f t="shared" si="7"/>
        <v>120600.55687249305</v>
      </c>
    </row>
    <row r="60" spans="1:17" x14ac:dyDescent="0.25">
      <c r="A60" s="35">
        <v>355</v>
      </c>
      <c r="B60" s="35" t="s">
        <v>4</v>
      </c>
      <c r="C60" s="36">
        <f>IFERROR(VLOOKUP($A60,'Pipe Rate'!$A$1:$AC$23,MATCH($B60,'Pipe Rate'!$B$1:$AC$1,0)+1,0),"N/F")</f>
        <v>28.527000000000001</v>
      </c>
      <c r="D60" s="65">
        <v>1964</v>
      </c>
      <c r="E60" s="51">
        <v>1964</v>
      </c>
      <c r="F60" s="68">
        <v>2064</v>
      </c>
      <c r="G60" s="72">
        <v>2064</v>
      </c>
      <c r="H60" s="55">
        <v>2064</v>
      </c>
      <c r="I60" s="77">
        <v>2064</v>
      </c>
      <c r="J60" s="53">
        <v>1964</v>
      </c>
      <c r="K60" s="65">
        <f t="shared" si="1"/>
        <v>56027.027999999998</v>
      </c>
      <c r="L60" s="51">
        <f t="shared" si="2"/>
        <v>56027.027999999998</v>
      </c>
      <c r="M60" s="68">
        <f t="shared" si="3"/>
        <v>58879.728000000003</v>
      </c>
      <c r="N60" s="72">
        <f t="shared" si="4"/>
        <v>58879.728000000003</v>
      </c>
      <c r="O60" s="55">
        <f t="shared" si="5"/>
        <v>58879.728000000003</v>
      </c>
      <c r="P60" s="77">
        <f t="shared" si="6"/>
        <v>58879.728000000003</v>
      </c>
      <c r="Q60" s="53">
        <f t="shared" si="7"/>
        <v>56027.027999999998</v>
      </c>
    </row>
    <row r="61" spans="1:17" x14ac:dyDescent="0.25">
      <c r="A61" s="35">
        <v>355</v>
      </c>
      <c r="B61" s="35" t="s">
        <v>5</v>
      </c>
      <c r="C61" s="36">
        <f>IFERROR(VLOOKUP($A61,'Pipe Rate'!$A$1:$AC$23,MATCH($B61,'Pipe Rate'!$B$1:$AC$1,0)+1,0),"N/F")</f>
        <v>31.664970000000004</v>
      </c>
      <c r="D61" s="65">
        <v>1313</v>
      </c>
      <c r="E61" s="51">
        <v>1313</v>
      </c>
      <c r="F61" s="68">
        <v>1413</v>
      </c>
      <c r="G61" s="72">
        <v>1413</v>
      </c>
      <c r="H61" s="55">
        <v>1413</v>
      </c>
      <c r="I61" s="77">
        <v>1413</v>
      </c>
      <c r="J61" s="53">
        <v>1313</v>
      </c>
      <c r="K61" s="65">
        <f t="shared" si="1"/>
        <v>41576.105610000006</v>
      </c>
      <c r="L61" s="51">
        <f t="shared" si="2"/>
        <v>41576.105610000006</v>
      </c>
      <c r="M61" s="68">
        <f t="shared" si="3"/>
        <v>44742.602610000009</v>
      </c>
      <c r="N61" s="72">
        <f t="shared" si="4"/>
        <v>44742.602610000009</v>
      </c>
      <c r="O61" s="55">
        <f t="shared" si="5"/>
        <v>44742.602610000009</v>
      </c>
      <c r="P61" s="77">
        <f t="shared" si="6"/>
        <v>44742.602610000009</v>
      </c>
      <c r="Q61" s="53">
        <f t="shared" si="7"/>
        <v>41576.105610000006</v>
      </c>
    </row>
    <row r="62" spans="1:17" x14ac:dyDescent="0.25">
      <c r="A62" s="35">
        <v>355</v>
      </c>
      <c r="B62" s="35" t="s">
        <v>6</v>
      </c>
      <c r="C62" s="36">
        <f>IFERROR(VLOOKUP($A62,'Pipe Rate'!$A$1:$AC$23,MATCH($B62,'Pipe Rate'!$B$1:$AC$1,0)+1,0),"N/F")</f>
        <v>35.14811670000001</v>
      </c>
      <c r="D62" s="65">
        <v>797</v>
      </c>
      <c r="E62" s="51">
        <v>797</v>
      </c>
      <c r="F62" s="68">
        <v>1338</v>
      </c>
      <c r="G62" s="72">
        <v>1338</v>
      </c>
      <c r="H62" s="55">
        <v>1338</v>
      </c>
      <c r="I62" s="77">
        <v>1338</v>
      </c>
      <c r="J62" s="53">
        <v>797</v>
      </c>
      <c r="K62" s="65">
        <f t="shared" si="1"/>
        <v>28013.049009900009</v>
      </c>
      <c r="L62" s="51">
        <f t="shared" si="2"/>
        <v>28013.049009900009</v>
      </c>
      <c r="M62" s="68">
        <f t="shared" si="3"/>
        <v>47028.18014460001</v>
      </c>
      <c r="N62" s="72">
        <f t="shared" si="4"/>
        <v>47028.18014460001</v>
      </c>
      <c r="O62" s="55">
        <f t="shared" si="5"/>
        <v>47028.18014460001</v>
      </c>
      <c r="P62" s="77">
        <f t="shared" si="6"/>
        <v>47028.18014460001</v>
      </c>
      <c r="Q62" s="53">
        <f t="shared" si="7"/>
        <v>28013.049009900009</v>
      </c>
    </row>
    <row r="63" spans="1:17" x14ac:dyDescent="0.25">
      <c r="A63" s="35">
        <v>355</v>
      </c>
      <c r="B63" s="35" t="s">
        <v>7</v>
      </c>
      <c r="C63" s="36">
        <f>IFERROR(VLOOKUP($A63,'Pipe Rate'!$A$1:$AC$23,MATCH($B63,'Pipe Rate'!$B$1:$AC$1,0)+1,0),"N/F")</f>
        <v>39.014409537000013</v>
      </c>
      <c r="D63" s="65">
        <v>822</v>
      </c>
      <c r="E63" s="51">
        <v>822</v>
      </c>
      <c r="F63" s="68">
        <v>922</v>
      </c>
      <c r="G63" s="72">
        <v>922</v>
      </c>
      <c r="H63" s="55">
        <v>922</v>
      </c>
      <c r="I63" s="77">
        <v>922</v>
      </c>
      <c r="J63" s="53">
        <v>822</v>
      </c>
      <c r="K63" s="65">
        <f t="shared" si="1"/>
        <v>32069.844639414012</v>
      </c>
      <c r="L63" s="51">
        <f t="shared" si="2"/>
        <v>32069.844639414012</v>
      </c>
      <c r="M63" s="68">
        <f t="shared" si="3"/>
        <v>35971.285593114015</v>
      </c>
      <c r="N63" s="72">
        <f t="shared" si="4"/>
        <v>35971.285593114015</v>
      </c>
      <c r="O63" s="55">
        <f t="shared" si="5"/>
        <v>35971.285593114015</v>
      </c>
      <c r="P63" s="77">
        <f t="shared" si="6"/>
        <v>35971.285593114015</v>
      </c>
      <c r="Q63" s="53">
        <f t="shared" si="7"/>
        <v>32069.844639414012</v>
      </c>
    </row>
    <row r="64" spans="1:17" x14ac:dyDescent="0.25">
      <c r="A64" s="35">
        <v>355</v>
      </c>
      <c r="B64" s="35" t="s">
        <v>8</v>
      </c>
      <c r="C64" s="36">
        <f>IFERROR(VLOOKUP($A64,'Pipe Rate'!$A$1:$AC$23,MATCH($B64,'Pipe Rate'!$B$1:$AC$1,0)+1,0),"N/F")</f>
        <v>43.305994586070021</v>
      </c>
      <c r="D64" s="65">
        <v>809</v>
      </c>
      <c r="E64" s="51">
        <v>809</v>
      </c>
      <c r="F64" s="68">
        <v>909</v>
      </c>
      <c r="G64" s="72">
        <v>909</v>
      </c>
      <c r="H64" s="55">
        <v>909</v>
      </c>
      <c r="I64" s="77">
        <v>909</v>
      </c>
      <c r="J64" s="53">
        <v>809</v>
      </c>
      <c r="K64" s="65">
        <f t="shared" si="1"/>
        <v>35034.549620130645</v>
      </c>
      <c r="L64" s="51">
        <f t="shared" si="2"/>
        <v>35034.549620130645</v>
      </c>
      <c r="M64" s="68">
        <f t="shared" si="3"/>
        <v>39365.149078737646</v>
      </c>
      <c r="N64" s="72">
        <f t="shared" si="4"/>
        <v>39365.149078737646</v>
      </c>
      <c r="O64" s="55">
        <f t="shared" si="5"/>
        <v>39365.149078737646</v>
      </c>
      <c r="P64" s="77">
        <f t="shared" si="6"/>
        <v>39365.149078737646</v>
      </c>
      <c r="Q64" s="53">
        <f t="shared" si="7"/>
        <v>35034.549620130645</v>
      </c>
    </row>
    <row r="65" spans="1:17" x14ac:dyDescent="0.25">
      <c r="A65" s="35">
        <v>355</v>
      </c>
      <c r="B65" s="35" t="s">
        <v>10</v>
      </c>
      <c r="C65" s="36">
        <f>IFERROR(VLOOKUP($A65,'Pipe Rate'!$A$1:$AC$23,MATCH($B65,'Pipe Rate'!$B$1:$AC$1,0)+1,0),"N/F")</f>
        <v>53.357315929496885</v>
      </c>
      <c r="D65" s="65">
        <v>2103</v>
      </c>
      <c r="E65" s="51">
        <v>2103</v>
      </c>
      <c r="F65" s="68">
        <v>3600</v>
      </c>
      <c r="G65" s="72">
        <v>3600</v>
      </c>
      <c r="H65" s="55">
        <v>3600</v>
      </c>
      <c r="I65" s="77">
        <v>3200</v>
      </c>
      <c r="J65" s="53">
        <v>1703</v>
      </c>
      <c r="K65" s="65">
        <f t="shared" si="1"/>
        <v>112210.43539973194</v>
      </c>
      <c r="L65" s="51">
        <f t="shared" si="2"/>
        <v>112210.43539973194</v>
      </c>
      <c r="M65" s="68">
        <f t="shared" si="3"/>
        <v>192086.33734618878</v>
      </c>
      <c r="N65" s="72">
        <f t="shared" si="4"/>
        <v>192086.33734618878</v>
      </c>
      <c r="O65" s="55">
        <f t="shared" si="5"/>
        <v>192086.33734618878</v>
      </c>
      <c r="P65" s="77">
        <f t="shared" si="6"/>
        <v>170743.41097439002</v>
      </c>
      <c r="Q65" s="53">
        <f t="shared" si="7"/>
        <v>90867.509027933193</v>
      </c>
    </row>
    <row r="66" spans="1:17" x14ac:dyDescent="0.25">
      <c r="A66" s="35">
        <v>355</v>
      </c>
      <c r="B66" s="35" t="s">
        <v>12</v>
      </c>
      <c r="C66" s="36">
        <f>IFERROR(VLOOKUP($A66,'Pipe Rate'!$A$1:$AC$23,MATCH($B66,'Pipe Rate'!$B$1:$AC$1,0)+1,0),"N/F")</f>
        <v>65.741548956733126</v>
      </c>
      <c r="D66" s="65">
        <v>1570</v>
      </c>
      <c r="E66" s="51">
        <v>1570</v>
      </c>
      <c r="F66" s="68">
        <v>2267</v>
      </c>
      <c r="G66" s="72">
        <v>2267</v>
      </c>
      <c r="H66" s="55">
        <v>2267</v>
      </c>
      <c r="I66" s="77">
        <v>2267</v>
      </c>
      <c r="J66" s="53">
        <v>1570</v>
      </c>
      <c r="K66" s="65">
        <f t="shared" si="1"/>
        <v>103214.23186207101</v>
      </c>
      <c r="L66" s="51">
        <f t="shared" si="2"/>
        <v>103214.23186207101</v>
      </c>
      <c r="M66" s="68">
        <f t="shared" si="3"/>
        <v>149036.09148491401</v>
      </c>
      <c r="N66" s="72">
        <f t="shared" si="4"/>
        <v>149036.09148491401</v>
      </c>
      <c r="O66" s="55">
        <f t="shared" si="5"/>
        <v>149036.09148491401</v>
      </c>
      <c r="P66" s="77">
        <f t="shared" si="6"/>
        <v>149036.09148491401</v>
      </c>
      <c r="Q66" s="53">
        <f t="shared" si="7"/>
        <v>103214.23186207101</v>
      </c>
    </row>
    <row r="67" spans="1:17" x14ac:dyDescent="0.25">
      <c r="A67" s="35">
        <v>355</v>
      </c>
      <c r="B67" s="35" t="s">
        <v>14</v>
      </c>
      <c r="C67" s="36">
        <f>IFERROR(VLOOKUP($A67,'Pipe Rate'!$A$1:$AC$23,MATCH($B67,'Pipe Rate'!$B$1:$AC$1,0)+1,0),"N/F")</f>
        <v>94.865055144565915</v>
      </c>
      <c r="D67" s="65">
        <v>494</v>
      </c>
      <c r="E67" s="51">
        <v>494</v>
      </c>
      <c r="F67" s="68">
        <v>872</v>
      </c>
      <c r="G67" s="72">
        <v>872</v>
      </c>
      <c r="H67" s="55">
        <v>872</v>
      </c>
      <c r="I67" s="77">
        <v>872</v>
      </c>
      <c r="J67" s="53">
        <v>494</v>
      </c>
      <c r="K67" s="65">
        <f t="shared" si="1"/>
        <v>46863.33724141556</v>
      </c>
      <c r="L67" s="51">
        <f t="shared" si="2"/>
        <v>46863.33724141556</v>
      </c>
      <c r="M67" s="68">
        <f t="shared" si="3"/>
        <v>82722.328086061476</v>
      </c>
      <c r="N67" s="72">
        <f t="shared" si="4"/>
        <v>82722.328086061476</v>
      </c>
      <c r="O67" s="55">
        <f t="shared" si="5"/>
        <v>82722.328086061476</v>
      </c>
      <c r="P67" s="77">
        <f t="shared" si="6"/>
        <v>82722.328086061476</v>
      </c>
      <c r="Q67" s="53">
        <f t="shared" si="7"/>
        <v>46863.33724141556</v>
      </c>
    </row>
    <row r="68" spans="1:17" x14ac:dyDescent="0.25">
      <c r="A68" s="35">
        <v>355</v>
      </c>
      <c r="B68" s="35" t="s">
        <v>16</v>
      </c>
      <c r="C68" s="36">
        <f>IFERROR(VLOOKUP($A68,'Pipe Rate'!$A$1:$AC$23,MATCH($B68,'Pipe Rate'!$B$1:$AC$1,0)+1,0),"N/F")</f>
        <v>116.88323444361968</v>
      </c>
      <c r="D68" s="65">
        <v>1574</v>
      </c>
      <c r="E68" s="51">
        <v>1574</v>
      </c>
      <c r="F68" s="68">
        <v>2174</v>
      </c>
      <c r="G68" s="72">
        <v>2174</v>
      </c>
      <c r="H68" s="55">
        <v>2174</v>
      </c>
      <c r="I68" s="77">
        <v>2174</v>
      </c>
      <c r="J68" s="53">
        <v>1574</v>
      </c>
      <c r="K68" s="65">
        <f t="shared" ref="K68:K211" si="8">IFERROR(D68*$C68,0)</f>
        <v>183974.21101425739</v>
      </c>
      <c r="L68" s="51">
        <f t="shared" ref="L68:L131" si="9">IFERROR(E68*$C68,0)</f>
        <v>183974.21101425739</v>
      </c>
      <c r="M68" s="68">
        <f t="shared" ref="M68:M131" si="10">IFERROR(F68*$C68,0)</f>
        <v>254104.1516804292</v>
      </c>
      <c r="N68" s="72">
        <f t="shared" ref="N68:N131" si="11">IFERROR(G68*$C68,0)</f>
        <v>254104.1516804292</v>
      </c>
      <c r="O68" s="55">
        <f t="shared" ref="O68:O131" si="12">IFERROR(H68*$C68,0)</f>
        <v>254104.1516804292</v>
      </c>
      <c r="P68" s="77">
        <f t="shared" ref="P68:P131" si="13">IFERROR(I68*$C68,0)</f>
        <v>254104.1516804292</v>
      </c>
      <c r="Q68" s="53">
        <f t="shared" ref="Q68:Q131" si="14">IFERROR(J68*$C68,0)</f>
        <v>183974.21101425739</v>
      </c>
    </row>
    <row r="69" spans="1:17" x14ac:dyDescent="0.25">
      <c r="A69" s="35">
        <v>355</v>
      </c>
      <c r="B69" s="35" t="s">
        <v>18</v>
      </c>
      <c r="C69" s="36">
        <f>IFERROR(VLOOKUP($A69,'Pipe Rate'!$A$1:$AC$23,MATCH($B69,'Pipe Rate'!$B$1:$AC$1,0)+1,0),"N/F")</f>
        <v>144.01183315798383</v>
      </c>
      <c r="D69" s="65">
        <v>2076</v>
      </c>
      <c r="E69" s="51">
        <v>2076</v>
      </c>
      <c r="F69" s="68">
        <v>2237</v>
      </c>
      <c r="G69" s="72">
        <v>2453</v>
      </c>
      <c r="H69" s="55">
        <v>2453</v>
      </c>
      <c r="I69" s="77">
        <v>2453</v>
      </c>
      <c r="J69" s="53">
        <v>2076</v>
      </c>
      <c r="K69" s="65">
        <f t="shared" si="8"/>
        <v>298968.5656359744</v>
      </c>
      <c r="L69" s="51">
        <f t="shared" si="9"/>
        <v>298968.5656359744</v>
      </c>
      <c r="M69" s="68">
        <f t="shared" si="10"/>
        <v>322154.47077440983</v>
      </c>
      <c r="N69" s="72">
        <f t="shared" si="11"/>
        <v>353261.02673653432</v>
      </c>
      <c r="O69" s="55">
        <f t="shared" si="12"/>
        <v>353261.02673653432</v>
      </c>
      <c r="P69" s="77">
        <f t="shared" si="13"/>
        <v>353261.02673653432</v>
      </c>
      <c r="Q69" s="53">
        <f t="shared" si="14"/>
        <v>298968.5656359744</v>
      </c>
    </row>
    <row r="70" spans="1:17" x14ac:dyDescent="0.25">
      <c r="A70" s="35">
        <v>355</v>
      </c>
      <c r="B70" s="35" t="s">
        <v>21</v>
      </c>
      <c r="C70" s="36">
        <f>IFERROR(VLOOKUP($A70,'Pipe Rate'!$A$1:$AC$23,MATCH($B70,'Pipe Rate'!$B$1:$AC$1,0)+1,0),"N/F")</f>
        <v>207.80907524697068</v>
      </c>
      <c r="D70" s="65">
        <v>1171</v>
      </c>
      <c r="E70" s="51">
        <v>1171</v>
      </c>
      <c r="F70" s="68">
        <v>1171</v>
      </c>
      <c r="G70" s="72">
        <v>1171</v>
      </c>
      <c r="H70" s="55">
        <v>1171</v>
      </c>
      <c r="I70" s="77">
        <v>1171</v>
      </c>
      <c r="J70" s="53">
        <v>1171</v>
      </c>
      <c r="K70" s="65">
        <f t="shared" si="8"/>
        <v>243344.42711420267</v>
      </c>
      <c r="L70" s="51">
        <f t="shared" si="9"/>
        <v>243344.42711420267</v>
      </c>
      <c r="M70" s="68">
        <f t="shared" si="10"/>
        <v>243344.42711420267</v>
      </c>
      <c r="N70" s="72">
        <f t="shared" si="11"/>
        <v>243344.42711420267</v>
      </c>
      <c r="O70" s="55">
        <f t="shared" si="12"/>
        <v>243344.42711420267</v>
      </c>
      <c r="P70" s="77">
        <f t="shared" si="13"/>
        <v>243344.42711420267</v>
      </c>
      <c r="Q70" s="53">
        <f t="shared" si="14"/>
        <v>243344.42711420267</v>
      </c>
    </row>
    <row r="71" spans="1:17" x14ac:dyDescent="0.25">
      <c r="A71" s="35">
        <v>355</v>
      </c>
      <c r="B71" s="35" t="s">
        <v>25</v>
      </c>
      <c r="C71" s="36">
        <f>IFERROR(VLOOKUP($A71,'Pipe Rate'!$A$1:$AC$23,MATCH($B71,'Pipe Rate'!$B$1:$AC$1,0)+1,0),"N/F")</f>
        <v>256.04156161179259</v>
      </c>
      <c r="D71" s="65">
        <v>726</v>
      </c>
      <c r="E71" s="51">
        <v>726</v>
      </c>
      <c r="F71" s="68">
        <v>726</v>
      </c>
      <c r="G71" s="72">
        <v>726</v>
      </c>
      <c r="H71" s="55">
        <v>726</v>
      </c>
      <c r="I71" s="77">
        <v>726</v>
      </c>
      <c r="J71" s="53">
        <v>726</v>
      </c>
      <c r="K71" s="65">
        <f t="shared" si="8"/>
        <v>185886.17373016142</v>
      </c>
      <c r="L71" s="51">
        <f t="shared" si="9"/>
        <v>185886.17373016142</v>
      </c>
      <c r="M71" s="68">
        <f t="shared" si="10"/>
        <v>185886.17373016142</v>
      </c>
      <c r="N71" s="72">
        <f t="shared" si="11"/>
        <v>185886.17373016142</v>
      </c>
      <c r="O71" s="55">
        <f t="shared" si="12"/>
        <v>185886.17373016142</v>
      </c>
      <c r="P71" s="77">
        <f t="shared" si="13"/>
        <v>185886.17373016142</v>
      </c>
      <c r="Q71" s="53">
        <f t="shared" si="14"/>
        <v>185886.17373016142</v>
      </c>
    </row>
    <row r="72" spans="1:17" x14ac:dyDescent="0.25">
      <c r="A72" s="35">
        <v>450</v>
      </c>
      <c r="B72" s="35" t="s">
        <v>4</v>
      </c>
      <c r="C72" s="36">
        <f>IFERROR(VLOOKUP($A72,'Pipe Rate'!$A$1:$AC$23,MATCH($B72,'Pipe Rate'!$B$1:$AC$1,0)+1,0),"N/F")</f>
        <v>37.74</v>
      </c>
      <c r="D72" s="65">
        <v>659</v>
      </c>
      <c r="E72" s="51"/>
      <c r="F72" s="68">
        <v>659</v>
      </c>
      <c r="G72" s="72">
        <v>659</v>
      </c>
      <c r="H72" s="55">
        <v>659</v>
      </c>
      <c r="I72" s="77">
        <v>659</v>
      </c>
      <c r="J72" s="53">
        <v>659</v>
      </c>
      <c r="K72" s="65">
        <f t="shared" si="8"/>
        <v>24870.66</v>
      </c>
      <c r="L72" s="51">
        <f t="shared" si="9"/>
        <v>0</v>
      </c>
      <c r="M72" s="68">
        <f t="shared" si="10"/>
        <v>24870.66</v>
      </c>
      <c r="N72" s="72">
        <f t="shared" si="11"/>
        <v>24870.66</v>
      </c>
      <c r="O72" s="55">
        <f t="shared" si="12"/>
        <v>24870.66</v>
      </c>
      <c r="P72" s="77">
        <f t="shared" si="13"/>
        <v>24870.66</v>
      </c>
      <c r="Q72" s="53">
        <f t="shared" si="14"/>
        <v>24870.66</v>
      </c>
    </row>
    <row r="73" spans="1:17" x14ac:dyDescent="0.25">
      <c r="A73" s="35">
        <v>450</v>
      </c>
      <c r="B73" s="35" t="s">
        <v>5</v>
      </c>
      <c r="C73" s="36">
        <f>IFERROR(VLOOKUP($A73,'Pipe Rate'!$A$1:$AC$23,MATCH($B73,'Pipe Rate'!$B$1:$AC$1,0)+1,0),"N/F")</f>
        <v>41.891400000000004</v>
      </c>
      <c r="D73" s="65">
        <v>168</v>
      </c>
      <c r="E73" s="51"/>
      <c r="F73" s="68">
        <v>168</v>
      </c>
      <c r="G73" s="72">
        <v>168</v>
      </c>
      <c r="H73" s="55">
        <v>168</v>
      </c>
      <c r="I73" s="77">
        <v>168</v>
      </c>
      <c r="J73" s="53">
        <v>168</v>
      </c>
      <c r="K73" s="65">
        <f t="shared" si="8"/>
        <v>7037.7552000000005</v>
      </c>
      <c r="L73" s="51">
        <f t="shared" si="9"/>
        <v>0</v>
      </c>
      <c r="M73" s="68">
        <f t="shared" si="10"/>
        <v>7037.7552000000005</v>
      </c>
      <c r="N73" s="72">
        <f t="shared" si="11"/>
        <v>7037.7552000000005</v>
      </c>
      <c r="O73" s="55">
        <f t="shared" si="12"/>
        <v>7037.7552000000005</v>
      </c>
      <c r="P73" s="77">
        <f t="shared" si="13"/>
        <v>7037.7552000000005</v>
      </c>
      <c r="Q73" s="53">
        <f t="shared" si="14"/>
        <v>7037.7552000000005</v>
      </c>
    </row>
    <row r="74" spans="1:17" x14ac:dyDescent="0.25">
      <c r="A74" s="35">
        <v>450</v>
      </c>
      <c r="B74" s="35" t="s">
        <v>6</v>
      </c>
      <c r="C74" s="36">
        <f>IFERROR(VLOOKUP($A74,'Pipe Rate'!$A$1:$AC$23,MATCH($B74,'Pipe Rate'!$B$1:$AC$1,0)+1,0),"N/F")</f>
        <v>46.499454000000007</v>
      </c>
      <c r="D74" s="65">
        <v>344</v>
      </c>
      <c r="E74" s="51">
        <v>200</v>
      </c>
      <c r="F74" s="68">
        <v>344</v>
      </c>
      <c r="G74" s="72">
        <v>344</v>
      </c>
      <c r="H74" s="55">
        <v>344</v>
      </c>
      <c r="I74" s="77">
        <v>344</v>
      </c>
      <c r="J74" s="53">
        <v>344</v>
      </c>
      <c r="K74" s="65">
        <f t="shared" si="8"/>
        <v>15995.812176000003</v>
      </c>
      <c r="L74" s="51">
        <f t="shared" si="9"/>
        <v>9299.890800000001</v>
      </c>
      <c r="M74" s="68">
        <f t="shared" si="10"/>
        <v>15995.812176000003</v>
      </c>
      <c r="N74" s="72">
        <f t="shared" si="11"/>
        <v>15995.812176000003</v>
      </c>
      <c r="O74" s="55">
        <f t="shared" si="12"/>
        <v>15995.812176000003</v>
      </c>
      <c r="P74" s="77">
        <f t="shared" si="13"/>
        <v>15995.812176000003</v>
      </c>
      <c r="Q74" s="53">
        <f t="shared" si="14"/>
        <v>15995.812176000003</v>
      </c>
    </row>
    <row r="75" spans="1:17" x14ac:dyDescent="0.25">
      <c r="A75" s="35">
        <v>450</v>
      </c>
      <c r="B75" s="35" t="s">
        <v>7</v>
      </c>
      <c r="C75" s="36">
        <f>IFERROR(VLOOKUP($A75,'Pipe Rate'!$A$1:$AC$23,MATCH($B75,'Pipe Rate'!$B$1:$AC$1,0)+1,0),"N/F")</f>
        <v>51.614393940000014</v>
      </c>
      <c r="D75" s="65">
        <v>567</v>
      </c>
      <c r="E75" s="51">
        <v>467</v>
      </c>
      <c r="F75" s="68">
        <v>567</v>
      </c>
      <c r="G75" s="72">
        <v>567</v>
      </c>
      <c r="H75" s="55">
        <v>567</v>
      </c>
      <c r="I75" s="77">
        <v>567</v>
      </c>
      <c r="J75" s="53">
        <v>567</v>
      </c>
      <c r="K75" s="65">
        <f t="shared" si="8"/>
        <v>29265.361363980006</v>
      </c>
      <c r="L75" s="51">
        <f t="shared" si="9"/>
        <v>24103.921969980005</v>
      </c>
      <c r="M75" s="68">
        <f t="shared" si="10"/>
        <v>29265.361363980006</v>
      </c>
      <c r="N75" s="72">
        <f t="shared" si="11"/>
        <v>29265.361363980006</v>
      </c>
      <c r="O75" s="55">
        <f t="shared" si="12"/>
        <v>29265.361363980006</v>
      </c>
      <c r="P75" s="77">
        <f t="shared" si="13"/>
        <v>29265.361363980006</v>
      </c>
      <c r="Q75" s="53">
        <f t="shared" si="14"/>
        <v>29265.361363980006</v>
      </c>
    </row>
    <row r="76" spans="1:17" x14ac:dyDescent="0.25">
      <c r="A76" s="35">
        <v>450</v>
      </c>
      <c r="B76" s="35" t="s">
        <v>8</v>
      </c>
      <c r="C76" s="36">
        <f>IFERROR(VLOOKUP($A76,'Pipe Rate'!$A$1:$AC$23,MATCH($B76,'Pipe Rate'!$B$1:$AC$1,0)+1,0),"N/F")</f>
        <v>57.291977273400022</v>
      </c>
      <c r="D76" s="65">
        <v>339</v>
      </c>
      <c r="E76" s="51">
        <v>339</v>
      </c>
      <c r="F76" s="68">
        <v>339</v>
      </c>
      <c r="G76" s="72">
        <v>339</v>
      </c>
      <c r="H76" s="55">
        <v>339</v>
      </c>
      <c r="I76" s="77">
        <v>339</v>
      </c>
      <c r="J76" s="53">
        <v>339</v>
      </c>
      <c r="K76" s="65">
        <f t="shared" si="8"/>
        <v>19421.980295682606</v>
      </c>
      <c r="L76" s="51">
        <f t="shared" si="9"/>
        <v>19421.980295682606</v>
      </c>
      <c r="M76" s="68">
        <f t="shared" si="10"/>
        <v>19421.980295682606</v>
      </c>
      <c r="N76" s="72">
        <f t="shared" si="11"/>
        <v>19421.980295682606</v>
      </c>
      <c r="O76" s="55">
        <f t="shared" si="12"/>
        <v>19421.980295682606</v>
      </c>
      <c r="P76" s="77">
        <f t="shared" si="13"/>
        <v>19421.980295682606</v>
      </c>
      <c r="Q76" s="53">
        <f t="shared" si="14"/>
        <v>19421.980295682606</v>
      </c>
    </row>
    <row r="77" spans="1:17" x14ac:dyDescent="0.25">
      <c r="A77" s="35">
        <v>450</v>
      </c>
      <c r="B77" s="35" t="s">
        <v>10</v>
      </c>
      <c r="C77" s="36">
        <f>IFERROR(VLOOKUP($A77,'Pipe Rate'!$A$1:$AC$23,MATCH($B77,'Pipe Rate'!$B$1:$AC$1,0)+1,0),"N/F")</f>
        <v>70.589445198556177</v>
      </c>
      <c r="D77" s="65">
        <v>927</v>
      </c>
      <c r="E77" s="51">
        <v>927</v>
      </c>
      <c r="F77" s="68">
        <v>927</v>
      </c>
      <c r="G77" s="72">
        <v>927</v>
      </c>
      <c r="H77" s="55">
        <v>927</v>
      </c>
      <c r="I77" s="77">
        <v>927</v>
      </c>
      <c r="J77" s="53">
        <v>927</v>
      </c>
      <c r="K77" s="65">
        <f t="shared" si="8"/>
        <v>65436.415699061574</v>
      </c>
      <c r="L77" s="51">
        <f t="shared" si="9"/>
        <v>65436.415699061574</v>
      </c>
      <c r="M77" s="68">
        <f t="shared" si="10"/>
        <v>65436.415699061574</v>
      </c>
      <c r="N77" s="72">
        <f t="shared" si="11"/>
        <v>65436.415699061574</v>
      </c>
      <c r="O77" s="55">
        <f t="shared" si="12"/>
        <v>65436.415699061574</v>
      </c>
      <c r="P77" s="77">
        <f t="shared" si="13"/>
        <v>65436.415699061574</v>
      </c>
      <c r="Q77" s="53">
        <f t="shared" si="14"/>
        <v>65436.415699061574</v>
      </c>
    </row>
    <row r="78" spans="1:17" x14ac:dyDescent="0.25">
      <c r="A78" s="35">
        <v>450</v>
      </c>
      <c r="B78" s="35" t="s">
        <v>12</v>
      </c>
      <c r="C78" s="36">
        <f>IFERROR(VLOOKUP($A78,'Pipe Rate'!$A$1:$AC$23,MATCH($B78,'Pipe Rate'!$B$1:$AC$1,0)+1,0),"N/F")</f>
        <v>86.973255429141076</v>
      </c>
      <c r="D78" s="65">
        <v>2260</v>
      </c>
      <c r="E78" s="51">
        <v>2052</v>
      </c>
      <c r="F78" s="68">
        <v>2260</v>
      </c>
      <c r="G78" s="72">
        <v>2260</v>
      </c>
      <c r="H78" s="55">
        <v>2260</v>
      </c>
      <c r="I78" s="77">
        <v>2260</v>
      </c>
      <c r="J78" s="53">
        <v>2260</v>
      </c>
      <c r="K78" s="65">
        <f t="shared" si="8"/>
        <v>196559.55726985884</v>
      </c>
      <c r="L78" s="51">
        <f t="shared" si="9"/>
        <v>178469.12014059749</v>
      </c>
      <c r="M78" s="68">
        <f t="shared" si="10"/>
        <v>196559.55726985884</v>
      </c>
      <c r="N78" s="72">
        <f t="shared" si="11"/>
        <v>196559.55726985884</v>
      </c>
      <c r="O78" s="55">
        <f t="shared" si="12"/>
        <v>196559.55726985884</v>
      </c>
      <c r="P78" s="77">
        <f t="shared" si="13"/>
        <v>196559.55726985884</v>
      </c>
      <c r="Q78" s="53">
        <f t="shared" si="14"/>
        <v>196559.55726985884</v>
      </c>
    </row>
    <row r="79" spans="1:17" x14ac:dyDescent="0.25">
      <c r="A79" s="35">
        <v>450</v>
      </c>
      <c r="B79" s="35" t="s">
        <v>14</v>
      </c>
      <c r="C79" s="36">
        <f>IFERROR(VLOOKUP($A79,'Pipe Rate'!$A$1:$AC$23,MATCH($B79,'Pipe Rate'!$B$1:$AC$1,0)+1,0),"N/F")</f>
        <v>125.50240758425059</v>
      </c>
      <c r="D79" s="65">
        <v>1006</v>
      </c>
      <c r="E79" s="51">
        <v>886</v>
      </c>
      <c r="F79" s="68">
        <v>1006</v>
      </c>
      <c r="G79" s="72">
        <v>1006</v>
      </c>
      <c r="H79" s="55">
        <v>1006</v>
      </c>
      <c r="I79" s="77">
        <v>1006</v>
      </c>
      <c r="J79" s="53">
        <v>1006</v>
      </c>
      <c r="K79" s="65">
        <f t="shared" si="8"/>
        <v>126255.4220297561</v>
      </c>
      <c r="L79" s="51">
        <f t="shared" si="9"/>
        <v>111195.13311964602</v>
      </c>
      <c r="M79" s="68">
        <f t="shared" si="10"/>
        <v>126255.4220297561</v>
      </c>
      <c r="N79" s="72">
        <f t="shared" si="11"/>
        <v>126255.4220297561</v>
      </c>
      <c r="O79" s="55">
        <f t="shared" si="12"/>
        <v>126255.4220297561</v>
      </c>
      <c r="P79" s="77">
        <f t="shared" si="13"/>
        <v>126255.4220297561</v>
      </c>
      <c r="Q79" s="53">
        <f t="shared" si="14"/>
        <v>126255.4220297561</v>
      </c>
    </row>
    <row r="80" spans="1:17" x14ac:dyDescent="0.25">
      <c r="A80" s="35">
        <v>450</v>
      </c>
      <c r="B80" s="35" t="s">
        <v>16</v>
      </c>
      <c r="C80" s="36">
        <f>IFERROR(VLOOKUP($A80,'Pipe Rate'!$A$1:$AC$23,MATCH($B80,'Pipe Rate'!$B$1:$AC$1,0)+1,0),"N/F")</f>
        <v>154.63151638455517</v>
      </c>
      <c r="D80" s="65">
        <v>2283</v>
      </c>
      <c r="E80" s="51">
        <v>2121</v>
      </c>
      <c r="F80" s="68">
        <v>2283</v>
      </c>
      <c r="G80" s="72">
        <v>2283</v>
      </c>
      <c r="H80" s="55">
        <v>2283</v>
      </c>
      <c r="I80" s="77">
        <v>2283</v>
      </c>
      <c r="J80" s="53">
        <v>2283</v>
      </c>
      <c r="K80" s="65">
        <f t="shared" si="8"/>
        <v>353023.75190593943</v>
      </c>
      <c r="L80" s="51">
        <f t="shared" si="9"/>
        <v>327973.44625164149</v>
      </c>
      <c r="M80" s="68">
        <f t="shared" si="10"/>
        <v>353023.75190593943</v>
      </c>
      <c r="N80" s="72">
        <f t="shared" si="11"/>
        <v>353023.75190593943</v>
      </c>
      <c r="O80" s="55">
        <f t="shared" si="12"/>
        <v>353023.75190593943</v>
      </c>
      <c r="P80" s="77">
        <f t="shared" si="13"/>
        <v>353023.75190593943</v>
      </c>
      <c r="Q80" s="53">
        <f t="shared" si="14"/>
        <v>353023.75190593943</v>
      </c>
    </row>
    <row r="81" spans="1:17" x14ac:dyDescent="0.25">
      <c r="A81" s="35">
        <v>450</v>
      </c>
      <c r="B81" s="35" t="s">
        <v>18</v>
      </c>
      <c r="C81" s="36">
        <f>IFERROR(VLOOKUP($A81,'Pipe Rate'!$A$1:$AC$23,MATCH($B81,'Pipe Rate'!$B$1:$AC$1,0)+1,0),"N/F")</f>
        <v>190.52149133741045</v>
      </c>
      <c r="D81" s="65">
        <v>625</v>
      </c>
      <c r="E81" s="51">
        <v>625</v>
      </c>
      <c r="F81" s="68">
        <v>625</v>
      </c>
      <c r="G81" s="72">
        <v>625</v>
      </c>
      <c r="H81" s="55">
        <v>625</v>
      </c>
      <c r="I81" s="77">
        <v>625</v>
      </c>
      <c r="J81" s="53">
        <v>625</v>
      </c>
      <c r="K81" s="65">
        <f t="shared" si="8"/>
        <v>119075.93208588153</v>
      </c>
      <c r="L81" s="51">
        <f t="shared" si="9"/>
        <v>119075.93208588153</v>
      </c>
      <c r="M81" s="68">
        <f t="shared" si="10"/>
        <v>119075.93208588153</v>
      </c>
      <c r="N81" s="72">
        <f t="shared" si="11"/>
        <v>119075.93208588153</v>
      </c>
      <c r="O81" s="55">
        <f t="shared" si="12"/>
        <v>119075.93208588153</v>
      </c>
      <c r="P81" s="77">
        <f t="shared" si="13"/>
        <v>119075.93208588153</v>
      </c>
      <c r="Q81" s="53">
        <f t="shared" si="14"/>
        <v>119075.93208588153</v>
      </c>
    </row>
    <row r="82" spans="1:17" x14ac:dyDescent="0.25">
      <c r="A82" s="35">
        <v>450</v>
      </c>
      <c r="B82" s="35" t="s">
        <v>21</v>
      </c>
      <c r="C82" s="36">
        <f>IFERROR(VLOOKUP($A82,'Pipe Rate'!$A$1:$AC$23,MATCH($B82,'Pipe Rate'!$B$1:$AC$1,0)+1,0),"N/F")</f>
        <v>274.92251199988334</v>
      </c>
      <c r="D82" s="65">
        <v>800</v>
      </c>
      <c r="E82" s="51">
        <v>800</v>
      </c>
      <c r="F82" s="68">
        <v>800</v>
      </c>
      <c r="G82" s="72">
        <v>800</v>
      </c>
      <c r="H82" s="55">
        <v>800</v>
      </c>
      <c r="I82" s="77">
        <v>800</v>
      </c>
      <c r="J82" s="53">
        <v>800</v>
      </c>
      <c r="K82" s="65">
        <f t="shared" si="8"/>
        <v>219938.00959990668</v>
      </c>
      <c r="L82" s="51">
        <f t="shared" si="9"/>
        <v>219938.00959990668</v>
      </c>
      <c r="M82" s="68">
        <f t="shared" si="10"/>
        <v>219938.00959990668</v>
      </c>
      <c r="N82" s="72">
        <f t="shared" si="11"/>
        <v>219938.00959990668</v>
      </c>
      <c r="O82" s="55">
        <f t="shared" si="12"/>
        <v>219938.00959990668</v>
      </c>
      <c r="P82" s="77">
        <f t="shared" si="13"/>
        <v>219938.00959990668</v>
      </c>
      <c r="Q82" s="53">
        <f t="shared" si="14"/>
        <v>219938.00959990668</v>
      </c>
    </row>
    <row r="83" spans="1:17" x14ac:dyDescent="0.25">
      <c r="A83" s="35">
        <v>450</v>
      </c>
      <c r="B83" s="35" t="s">
        <v>25</v>
      </c>
      <c r="C83" s="36">
        <f>IFERROR(VLOOKUP($A83,'Pipe Rate'!$A$1:$AC$23,MATCH($B83,'Pipe Rate'!$B$1:$AC$1,0)+1,0),"N/F")</f>
        <v>338.73202703505632</v>
      </c>
      <c r="D83" s="65">
        <v>383</v>
      </c>
      <c r="E83" s="51">
        <v>383</v>
      </c>
      <c r="F83" s="68">
        <v>383</v>
      </c>
      <c r="G83" s="72">
        <v>383</v>
      </c>
      <c r="H83" s="55">
        <v>383</v>
      </c>
      <c r="I83" s="77">
        <v>383</v>
      </c>
      <c r="J83" s="53">
        <v>383</v>
      </c>
      <c r="K83" s="65">
        <f t="shared" si="8"/>
        <v>129734.36635442657</v>
      </c>
      <c r="L83" s="51">
        <f t="shared" si="9"/>
        <v>129734.36635442657</v>
      </c>
      <c r="M83" s="68">
        <f t="shared" si="10"/>
        <v>129734.36635442657</v>
      </c>
      <c r="N83" s="72">
        <f t="shared" si="11"/>
        <v>129734.36635442657</v>
      </c>
      <c r="O83" s="55">
        <f t="shared" si="12"/>
        <v>129734.36635442657</v>
      </c>
      <c r="P83" s="77">
        <f t="shared" si="13"/>
        <v>129734.36635442657</v>
      </c>
      <c r="Q83" s="53">
        <f t="shared" si="14"/>
        <v>129734.36635442657</v>
      </c>
    </row>
    <row r="84" spans="1:17" x14ac:dyDescent="0.25">
      <c r="A84" s="35">
        <v>500</v>
      </c>
      <c r="B84" s="35" t="s">
        <v>4</v>
      </c>
      <c r="C84" s="36">
        <f>IFERROR(VLOOKUP($A84,'Pipe Rate'!$A$1:$AC$23,MATCH($B84,'Pipe Rate'!$B$1:$AC$1,0)+1,0),"N/F")</f>
        <v>38.85</v>
      </c>
      <c r="D84" s="65">
        <v>176</v>
      </c>
      <c r="E84" s="51">
        <v>176</v>
      </c>
      <c r="F84" s="68">
        <v>176</v>
      </c>
      <c r="G84" s="72">
        <v>176</v>
      </c>
      <c r="H84" s="55">
        <v>176</v>
      </c>
      <c r="I84" s="77">
        <v>176</v>
      </c>
      <c r="J84" s="53">
        <v>176</v>
      </c>
      <c r="K84" s="65">
        <f t="shared" si="8"/>
        <v>6837.6</v>
      </c>
      <c r="L84" s="51">
        <f t="shared" si="9"/>
        <v>6837.6</v>
      </c>
      <c r="M84" s="68">
        <f t="shared" si="10"/>
        <v>6837.6</v>
      </c>
      <c r="N84" s="72">
        <f t="shared" si="11"/>
        <v>6837.6</v>
      </c>
      <c r="O84" s="55">
        <f t="shared" si="12"/>
        <v>6837.6</v>
      </c>
      <c r="P84" s="77">
        <f t="shared" si="13"/>
        <v>6837.6</v>
      </c>
      <c r="Q84" s="53">
        <f t="shared" si="14"/>
        <v>6837.6</v>
      </c>
    </row>
    <row r="85" spans="1:17" x14ac:dyDescent="0.25">
      <c r="A85" s="35">
        <v>500</v>
      </c>
      <c r="B85" s="35" t="s">
        <v>5</v>
      </c>
      <c r="C85" s="36">
        <f>IFERROR(VLOOKUP($A85,'Pipe Rate'!$A$1:$AC$23,MATCH($B85,'Pipe Rate'!$B$1:$AC$1,0)+1,0),"N/F")</f>
        <v>43.123500000000007</v>
      </c>
      <c r="D85" s="65">
        <v>865</v>
      </c>
      <c r="E85" s="51">
        <v>865</v>
      </c>
      <c r="F85" s="68">
        <v>865</v>
      </c>
      <c r="G85" s="72">
        <v>865</v>
      </c>
      <c r="H85" s="55">
        <v>865</v>
      </c>
      <c r="I85" s="77">
        <v>865</v>
      </c>
      <c r="J85" s="53">
        <v>865</v>
      </c>
      <c r="K85" s="65">
        <f t="shared" si="8"/>
        <v>37301.827500000007</v>
      </c>
      <c r="L85" s="51">
        <f t="shared" si="9"/>
        <v>37301.827500000007</v>
      </c>
      <c r="M85" s="68">
        <f t="shared" si="10"/>
        <v>37301.827500000007</v>
      </c>
      <c r="N85" s="72">
        <f t="shared" si="11"/>
        <v>37301.827500000007</v>
      </c>
      <c r="O85" s="55">
        <f t="shared" si="12"/>
        <v>37301.827500000007</v>
      </c>
      <c r="P85" s="77">
        <f t="shared" si="13"/>
        <v>37301.827500000007</v>
      </c>
      <c r="Q85" s="53">
        <f t="shared" si="14"/>
        <v>37301.827500000007</v>
      </c>
    </row>
    <row r="86" spans="1:17" x14ac:dyDescent="0.25">
      <c r="A86" s="35">
        <v>500</v>
      </c>
      <c r="B86" s="35" t="s">
        <v>6</v>
      </c>
      <c r="C86" s="36">
        <f>IFERROR(VLOOKUP($A86,'Pipe Rate'!$A$1:$AC$23,MATCH($B86,'Pipe Rate'!$B$1:$AC$1,0)+1,0),"N/F")</f>
        <v>47.86708500000001</v>
      </c>
      <c r="D86" s="65">
        <v>797</v>
      </c>
      <c r="E86" s="51">
        <v>797</v>
      </c>
      <c r="F86" s="68">
        <v>797</v>
      </c>
      <c r="G86" s="72">
        <v>797</v>
      </c>
      <c r="H86" s="55">
        <v>797</v>
      </c>
      <c r="I86" s="77">
        <v>797</v>
      </c>
      <c r="J86" s="53">
        <v>797</v>
      </c>
      <c r="K86" s="65">
        <f t="shared" si="8"/>
        <v>38150.066745000011</v>
      </c>
      <c r="L86" s="51">
        <f t="shared" si="9"/>
        <v>38150.066745000011</v>
      </c>
      <c r="M86" s="68">
        <f t="shared" si="10"/>
        <v>38150.066745000011</v>
      </c>
      <c r="N86" s="72">
        <f t="shared" si="11"/>
        <v>38150.066745000011</v>
      </c>
      <c r="O86" s="55">
        <f t="shared" si="12"/>
        <v>38150.066745000011</v>
      </c>
      <c r="P86" s="77">
        <f t="shared" si="13"/>
        <v>38150.066745000011</v>
      </c>
      <c r="Q86" s="53">
        <f t="shared" si="14"/>
        <v>38150.066745000011</v>
      </c>
    </row>
    <row r="87" spans="1:17" x14ac:dyDescent="0.25">
      <c r="A87" s="35">
        <v>500</v>
      </c>
      <c r="B87" s="35" t="s">
        <v>7</v>
      </c>
      <c r="C87" s="36">
        <f>IFERROR(VLOOKUP($A87,'Pipe Rate'!$A$1:$AC$23,MATCH($B87,'Pipe Rate'!$B$1:$AC$1,0)+1,0),"N/F")</f>
        <v>53.132464350000014</v>
      </c>
      <c r="D87" s="65">
        <v>560</v>
      </c>
      <c r="E87" s="51">
        <v>560</v>
      </c>
      <c r="F87" s="68">
        <v>560</v>
      </c>
      <c r="G87" s="72">
        <v>560</v>
      </c>
      <c r="H87" s="55">
        <v>560</v>
      </c>
      <c r="I87" s="77">
        <v>560</v>
      </c>
      <c r="J87" s="53">
        <v>560</v>
      </c>
      <c r="K87" s="65">
        <f t="shared" si="8"/>
        <v>29754.180036000009</v>
      </c>
      <c r="L87" s="51">
        <f t="shared" si="9"/>
        <v>29754.180036000009</v>
      </c>
      <c r="M87" s="68">
        <f t="shared" si="10"/>
        <v>29754.180036000009</v>
      </c>
      <c r="N87" s="72">
        <f t="shared" si="11"/>
        <v>29754.180036000009</v>
      </c>
      <c r="O87" s="55">
        <f t="shared" si="12"/>
        <v>29754.180036000009</v>
      </c>
      <c r="P87" s="77">
        <f t="shared" si="13"/>
        <v>29754.180036000009</v>
      </c>
      <c r="Q87" s="53">
        <f t="shared" si="14"/>
        <v>29754.180036000009</v>
      </c>
    </row>
    <row r="88" spans="1:17" x14ac:dyDescent="0.25">
      <c r="A88" s="35">
        <v>500</v>
      </c>
      <c r="B88" s="35" t="s">
        <v>8</v>
      </c>
      <c r="C88" s="36">
        <f>IFERROR(VLOOKUP($A88,'Pipe Rate'!$A$1:$AC$23,MATCH($B88,'Pipe Rate'!$B$1:$AC$1,0)+1,0),"N/F")</f>
        <v>58.977035428500024</v>
      </c>
      <c r="D88" s="65">
        <v>846</v>
      </c>
      <c r="E88" s="51">
        <v>846</v>
      </c>
      <c r="F88" s="68">
        <v>846</v>
      </c>
      <c r="G88" s="72">
        <v>846</v>
      </c>
      <c r="H88" s="55">
        <v>846</v>
      </c>
      <c r="I88" s="77">
        <v>846</v>
      </c>
      <c r="J88" s="53">
        <v>846</v>
      </c>
      <c r="K88" s="65">
        <f t="shared" si="8"/>
        <v>49894.571972511018</v>
      </c>
      <c r="L88" s="51">
        <f t="shared" si="9"/>
        <v>49894.571972511018</v>
      </c>
      <c r="M88" s="68">
        <f t="shared" si="10"/>
        <v>49894.571972511018</v>
      </c>
      <c r="N88" s="72">
        <f t="shared" si="11"/>
        <v>49894.571972511018</v>
      </c>
      <c r="O88" s="55">
        <f t="shared" si="12"/>
        <v>49894.571972511018</v>
      </c>
      <c r="P88" s="77">
        <f t="shared" si="13"/>
        <v>49894.571972511018</v>
      </c>
      <c r="Q88" s="53">
        <f t="shared" si="14"/>
        <v>49894.571972511018</v>
      </c>
    </row>
    <row r="89" spans="1:17" x14ac:dyDescent="0.25">
      <c r="A89" s="35">
        <v>500</v>
      </c>
      <c r="B89" s="35" t="s">
        <v>10</v>
      </c>
      <c r="C89" s="36">
        <f>IFERROR(VLOOKUP($A89,'Pipe Rate'!$A$1:$AC$23,MATCH($B89,'Pipe Rate'!$B$1:$AC$1,0)+1,0),"N/F")</f>
        <v>72.6656053514549</v>
      </c>
      <c r="D89" s="65">
        <v>2492</v>
      </c>
      <c r="E89" s="51">
        <v>2492</v>
      </c>
      <c r="F89" s="68">
        <v>2492</v>
      </c>
      <c r="G89" s="72">
        <v>2492</v>
      </c>
      <c r="H89" s="55">
        <v>2492</v>
      </c>
      <c r="I89" s="77">
        <v>2492</v>
      </c>
      <c r="J89" s="53">
        <v>2492</v>
      </c>
      <c r="K89" s="65">
        <f t="shared" si="8"/>
        <v>181082.68853582561</v>
      </c>
      <c r="L89" s="51">
        <f t="shared" si="9"/>
        <v>181082.68853582561</v>
      </c>
      <c r="M89" s="68">
        <f t="shared" si="10"/>
        <v>181082.68853582561</v>
      </c>
      <c r="N89" s="72">
        <f t="shared" si="11"/>
        <v>181082.68853582561</v>
      </c>
      <c r="O89" s="55">
        <f t="shared" si="12"/>
        <v>181082.68853582561</v>
      </c>
      <c r="P89" s="77">
        <f t="shared" si="13"/>
        <v>181082.68853582561</v>
      </c>
      <c r="Q89" s="53">
        <f t="shared" si="14"/>
        <v>181082.68853582561</v>
      </c>
    </row>
    <row r="90" spans="1:17" x14ac:dyDescent="0.25">
      <c r="A90" s="35">
        <v>500</v>
      </c>
      <c r="B90" s="35" t="s">
        <v>12</v>
      </c>
      <c r="C90" s="36">
        <f>IFERROR(VLOOKUP($A90,'Pipe Rate'!$A$1:$AC$23,MATCH($B90,'Pipe Rate'!$B$1:$AC$1,0)+1,0),"N/F")</f>
        <v>89.531292353527604</v>
      </c>
      <c r="D90" s="65">
        <v>2212</v>
      </c>
      <c r="E90" s="51">
        <v>2212</v>
      </c>
      <c r="F90" s="68">
        <v>2212</v>
      </c>
      <c r="G90" s="72">
        <v>2212</v>
      </c>
      <c r="H90" s="55">
        <v>2212</v>
      </c>
      <c r="I90" s="77">
        <v>2212</v>
      </c>
      <c r="J90" s="53">
        <v>2212</v>
      </c>
      <c r="K90" s="65">
        <f t="shared" si="8"/>
        <v>198043.21868600306</v>
      </c>
      <c r="L90" s="51">
        <f t="shared" si="9"/>
        <v>198043.21868600306</v>
      </c>
      <c r="M90" s="68">
        <f t="shared" si="10"/>
        <v>198043.21868600306</v>
      </c>
      <c r="N90" s="72">
        <f t="shared" si="11"/>
        <v>198043.21868600306</v>
      </c>
      <c r="O90" s="55">
        <f t="shared" si="12"/>
        <v>198043.21868600306</v>
      </c>
      <c r="P90" s="77">
        <f t="shared" si="13"/>
        <v>198043.21868600306</v>
      </c>
      <c r="Q90" s="53">
        <f t="shared" si="14"/>
        <v>198043.21868600306</v>
      </c>
    </row>
    <row r="91" spans="1:17" x14ac:dyDescent="0.25">
      <c r="A91" s="35">
        <v>500</v>
      </c>
      <c r="B91" s="35" t="s">
        <v>14</v>
      </c>
      <c r="C91" s="36">
        <f>IFERROR(VLOOKUP($A91,'Pipe Rate'!$A$1:$AC$23,MATCH($B91,'Pipe Rate'!$B$1:$AC$1,0)+1,0),"N/F")</f>
        <v>129.19365486614035</v>
      </c>
      <c r="D91" s="65">
        <v>2163</v>
      </c>
      <c r="E91" s="51">
        <v>2163</v>
      </c>
      <c r="F91" s="68">
        <v>2163</v>
      </c>
      <c r="G91" s="72">
        <v>2163</v>
      </c>
      <c r="H91" s="55">
        <v>2163</v>
      </c>
      <c r="I91" s="77">
        <v>2163</v>
      </c>
      <c r="J91" s="53">
        <v>2163</v>
      </c>
      <c r="K91" s="65">
        <f t="shared" si="8"/>
        <v>279445.87547546159</v>
      </c>
      <c r="L91" s="51">
        <f t="shared" si="9"/>
        <v>279445.87547546159</v>
      </c>
      <c r="M91" s="68">
        <f t="shared" si="10"/>
        <v>279445.87547546159</v>
      </c>
      <c r="N91" s="72">
        <f t="shared" si="11"/>
        <v>279445.87547546159</v>
      </c>
      <c r="O91" s="55">
        <f t="shared" si="12"/>
        <v>279445.87547546159</v>
      </c>
      <c r="P91" s="77">
        <f t="shared" si="13"/>
        <v>279445.87547546159</v>
      </c>
      <c r="Q91" s="53">
        <f t="shared" si="14"/>
        <v>279445.87547546159</v>
      </c>
    </row>
    <row r="92" spans="1:17" x14ac:dyDescent="0.25">
      <c r="A92" s="35">
        <v>500</v>
      </c>
      <c r="B92" s="35" t="s">
        <v>16</v>
      </c>
      <c r="C92" s="36">
        <f>IFERROR(VLOOKUP($A92,'Pipe Rate'!$A$1:$AC$23,MATCH($B92,'Pipe Rate'!$B$1:$AC$1,0)+1,0),"N/F")</f>
        <v>159.17950216057156</v>
      </c>
      <c r="D92" s="65">
        <v>1714</v>
      </c>
      <c r="E92" s="51">
        <v>1714</v>
      </c>
      <c r="F92" s="68">
        <v>1714</v>
      </c>
      <c r="G92" s="72">
        <v>1714</v>
      </c>
      <c r="H92" s="55">
        <v>1714</v>
      </c>
      <c r="I92" s="77">
        <v>1714</v>
      </c>
      <c r="J92" s="53">
        <v>1714</v>
      </c>
      <c r="K92" s="65">
        <f t="shared" si="8"/>
        <v>272833.66670321964</v>
      </c>
      <c r="L92" s="51">
        <f t="shared" si="9"/>
        <v>272833.66670321964</v>
      </c>
      <c r="M92" s="68">
        <f t="shared" si="10"/>
        <v>272833.66670321964</v>
      </c>
      <c r="N92" s="72">
        <f t="shared" si="11"/>
        <v>272833.66670321964</v>
      </c>
      <c r="O92" s="55">
        <f t="shared" si="12"/>
        <v>272833.66670321964</v>
      </c>
      <c r="P92" s="77">
        <f t="shared" si="13"/>
        <v>272833.66670321964</v>
      </c>
      <c r="Q92" s="53">
        <f t="shared" si="14"/>
        <v>272833.66670321964</v>
      </c>
    </row>
    <row r="93" spans="1:17" x14ac:dyDescent="0.25">
      <c r="A93" s="35">
        <v>500</v>
      </c>
      <c r="B93" s="35" t="s">
        <v>18</v>
      </c>
      <c r="C93" s="36">
        <f>IFERROR(VLOOKUP($A93,'Pipe Rate'!$A$1:$AC$23,MATCH($B93,'Pipe Rate'!$B$1:$AC$1,0)+1,0),"N/F")</f>
        <v>196.12506461204026</v>
      </c>
      <c r="D93" s="65">
        <v>1649</v>
      </c>
      <c r="E93" s="51">
        <v>1649</v>
      </c>
      <c r="F93" s="68">
        <v>1649</v>
      </c>
      <c r="G93" s="72">
        <v>1649</v>
      </c>
      <c r="H93" s="55">
        <v>1649</v>
      </c>
      <c r="I93" s="77">
        <v>1649</v>
      </c>
      <c r="J93" s="53">
        <v>1649</v>
      </c>
      <c r="K93" s="65">
        <f t="shared" si="8"/>
        <v>323410.23154525441</v>
      </c>
      <c r="L93" s="51">
        <f t="shared" si="9"/>
        <v>323410.23154525441</v>
      </c>
      <c r="M93" s="68">
        <f t="shared" si="10"/>
        <v>323410.23154525441</v>
      </c>
      <c r="N93" s="72">
        <f t="shared" si="11"/>
        <v>323410.23154525441</v>
      </c>
      <c r="O93" s="55">
        <f t="shared" si="12"/>
        <v>323410.23154525441</v>
      </c>
      <c r="P93" s="77">
        <f t="shared" si="13"/>
        <v>323410.23154525441</v>
      </c>
      <c r="Q93" s="53">
        <f t="shared" si="14"/>
        <v>323410.23154525441</v>
      </c>
    </row>
    <row r="94" spans="1:17" x14ac:dyDescent="0.25">
      <c r="A94" s="35">
        <v>500</v>
      </c>
      <c r="B94" s="35" t="s">
        <v>21</v>
      </c>
      <c r="C94" s="36">
        <f>IFERROR(VLOOKUP($A94,'Pipe Rate'!$A$1:$AC$23,MATCH($B94,'Pipe Rate'!$B$1:$AC$1,0)+1,0),"N/F")</f>
        <v>283.00846823517412</v>
      </c>
      <c r="D94" s="65">
        <v>309</v>
      </c>
      <c r="E94" s="51">
        <v>309</v>
      </c>
      <c r="F94" s="68">
        <v>309</v>
      </c>
      <c r="G94" s="72">
        <v>309</v>
      </c>
      <c r="H94" s="55">
        <v>309</v>
      </c>
      <c r="I94" s="77">
        <v>309</v>
      </c>
      <c r="J94" s="53">
        <v>309</v>
      </c>
      <c r="K94" s="65">
        <f t="shared" si="8"/>
        <v>87449.616684668799</v>
      </c>
      <c r="L94" s="51">
        <f t="shared" si="9"/>
        <v>87449.616684668799</v>
      </c>
      <c r="M94" s="68">
        <f t="shared" si="10"/>
        <v>87449.616684668799</v>
      </c>
      <c r="N94" s="72">
        <f t="shared" si="11"/>
        <v>87449.616684668799</v>
      </c>
      <c r="O94" s="55">
        <f t="shared" si="12"/>
        <v>87449.616684668799</v>
      </c>
      <c r="P94" s="77">
        <f t="shared" si="13"/>
        <v>87449.616684668799</v>
      </c>
      <c r="Q94" s="53">
        <f t="shared" si="14"/>
        <v>87449.616684668799</v>
      </c>
    </row>
    <row r="95" spans="1:17" x14ac:dyDescent="0.25">
      <c r="A95" s="35">
        <v>500</v>
      </c>
      <c r="B95" s="35" t="s">
        <v>25</v>
      </c>
      <c r="C95" s="36">
        <f>IFERROR(VLOOKUP($A95,'Pipe Rate'!$A$1:$AC$23,MATCH($B95,'Pipe Rate'!$B$1:$AC$1,0)+1,0),"N/F")</f>
        <v>348.6947337125581</v>
      </c>
      <c r="D95" s="65">
        <v>563</v>
      </c>
      <c r="E95" s="51">
        <v>563</v>
      </c>
      <c r="F95" s="68">
        <v>563</v>
      </c>
      <c r="G95" s="72">
        <v>563</v>
      </c>
      <c r="H95" s="55">
        <v>563</v>
      </c>
      <c r="I95" s="77">
        <v>563</v>
      </c>
      <c r="J95" s="53">
        <v>563</v>
      </c>
      <c r="K95" s="65">
        <f t="shared" si="8"/>
        <v>196315.13508017021</v>
      </c>
      <c r="L95" s="51">
        <f t="shared" si="9"/>
        <v>196315.13508017021</v>
      </c>
      <c r="M95" s="68">
        <f t="shared" si="10"/>
        <v>196315.13508017021</v>
      </c>
      <c r="N95" s="72">
        <f t="shared" si="11"/>
        <v>196315.13508017021</v>
      </c>
      <c r="O95" s="55">
        <f t="shared" si="12"/>
        <v>196315.13508017021</v>
      </c>
      <c r="P95" s="77">
        <f t="shared" si="13"/>
        <v>196315.13508017021</v>
      </c>
      <c r="Q95" s="53">
        <f t="shared" si="14"/>
        <v>196315.13508017021</v>
      </c>
    </row>
    <row r="96" spans="1:17" x14ac:dyDescent="0.25">
      <c r="A96" s="35">
        <v>560</v>
      </c>
      <c r="B96" s="35" t="s">
        <v>4</v>
      </c>
      <c r="C96" s="36">
        <f>IFERROR(VLOOKUP($A96,'Pipe Rate'!$A$1:$AC$23,MATCH($B96,'Pipe Rate'!$B$1:$AC$1,0)+1,0),"N/F")</f>
        <v>44.400000000000006</v>
      </c>
      <c r="D96" s="65">
        <v>388</v>
      </c>
      <c r="E96" s="51">
        <v>388</v>
      </c>
      <c r="F96" s="68">
        <v>388</v>
      </c>
      <c r="G96" s="72">
        <v>388</v>
      </c>
      <c r="H96" s="55">
        <v>388</v>
      </c>
      <c r="I96" s="77">
        <v>388</v>
      </c>
      <c r="J96" s="53">
        <v>388</v>
      </c>
      <c r="K96" s="65">
        <f t="shared" si="8"/>
        <v>17227.2</v>
      </c>
      <c r="L96" s="51">
        <f t="shared" si="9"/>
        <v>17227.2</v>
      </c>
      <c r="M96" s="68">
        <f t="shared" si="10"/>
        <v>17227.2</v>
      </c>
      <c r="N96" s="72">
        <f t="shared" si="11"/>
        <v>17227.2</v>
      </c>
      <c r="O96" s="55">
        <f t="shared" si="12"/>
        <v>17227.2</v>
      </c>
      <c r="P96" s="77">
        <f t="shared" si="13"/>
        <v>17227.2</v>
      </c>
      <c r="Q96" s="53">
        <f t="shared" si="14"/>
        <v>17227.2</v>
      </c>
    </row>
    <row r="97" spans="1:17" x14ac:dyDescent="0.25">
      <c r="A97" s="35">
        <v>560</v>
      </c>
      <c r="B97" s="35" t="s">
        <v>5</v>
      </c>
      <c r="C97" s="36">
        <f>IFERROR(VLOOKUP($A97,'Pipe Rate'!$A$1:$AC$23,MATCH($B97,'Pipe Rate'!$B$1:$AC$1,0)+1,0),"N/F")</f>
        <v>49.284000000000013</v>
      </c>
      <c r="D97" s="65">
        <v>655</v>
      </c>
      <c r="E97" s="51">
        <v>655</v>
      </c>
      <c r="F97" s="68">
        <v>655</v>
      </c>
      <c r="G97" s="72">
        <v>655</v>
      </c>
      <c r="H97" s="55">
        <v>655</v>
      </c>
      <c r="I97" s="77">
        <v>655</v>
      </c>
      <c r="J97" s="53">
        <v>655</v>
      </c>
      <c r="K97" s="65">
        <f t="shared" si="8"/>
        <v>32281.020000000008</v>
      </c>
      <c r="L97" s="51">
        <f t="shared" si="9"/>
        <v>32281.020000000008</v>
      </c>
      <c r="M97" s="68">
        <f t="shared" si="10"/>
        <v>32281.020000000008</v>
      </c>
      <c r="N97" s="72">
        <f t="shared" si="11"/>
        <v>32281.020000000008</v>
      </c>
      <c r="O97" s="55">
        <f t="shared" si="12"/>
        <v>32281.020000000008</v>
      </c>
      <c r="P97" s="77">
        <f t="shared" si="13"/>
        <v>32281.020000000008</v>
      </c>
      <c r="Q97" s="53">
        <f t="shared" si="14"/>
        <v>32281.020000000008</v>
      </c>
    </row>
    <row r="98" spans="1:17" x14ac:dyDescent="0.25">
      <c r="A98" s="35">
        <v>560</v>
      </c>
      <c r="B98" s="35" t="s">
        <v>6</v>
      </c>
      <c r="C98" s="36">
        <f>IFERROR(VLOOKUP($A98,'Pipe Rate'!$A$1:$AC$23,MATCH($B98,'Pipe Rate'!$B$1:$AC$1,0)+1,0),"N/F")</f>
        <v>54.705240000000018</v>
      </c>
      <c r="D98" s="65">
        <v>384</v>
      </c>
      <c r="E98" s="51">
        <v>384</v>
      </c>
      <c r="F98" s="68">
        <v>384</v>
      </c>
      <c r="G98" s="72">
        <v>384</v>
      </c>
      <c r="H98" s="55">
        <v>384</v>
      </c>
      <c r="I98" s="77">
        <v>384</v>
      </c>
      <c r="J98" s="53">
        <v>384</v>
      </c>
      <c r="K98" s="65">
        <f t="shared" si="8"/>
        <v>21006.812160000009</v>
      </c>
      <c r="L98" s="51">
        <f t="shared" si="9"/>
        <v>21006.812160000009</v>
      </c>
      <c r="M98" s="68">
        <f t="shared" si="10"/>
        <v>21006.812160000009</v>
      </c>
      <c r="N98" s="72">
        <f t="shared" si="11"/>
        <v>21006.812160000009</v>
      </c>
      <c r="O98" s="55">
        <f t="shared" si="12"/>
        <v>21006.812160000009</v>
      </c>
      <c r="P98" s="77">
        <f t="shared" si="13"/>
        <v>21006.812160000009</v>
      </c>
      <c r="Q98" s="53">
        <f t="shared" si="14"/>
        <v>21006.812160000009</v>
      </c>
    </row>
    <row r="99" spans="1:17" x14ac:dyDescent="0.25">
      <c r="A99" s="35">
        <v>560</v>
      </c>
      <c r="B99" s="35" t="s">
        <v>7</v>
      </c>
      <c r="C99" s="36">
        <f>IFERROR(VLOOKUP($A99,'Pipe Rate'!$A$1:$AC$23,MATCH($B99,'Pipe Rate'!$B$1:$AC$1,0)+1,0),"N/F")</f>
        <v>60.722816400000028</v>
      </c>
      <c r="D99" s="65">
        <v>1009</v>
      </c>
      <c r="E99" s="51">
        <v>1009</v>
      </c>
      <c r="F99" s="68">
        <v>1009</v>
      </c>
      <c r="G99" s="72">
        <v>1009</v>
      </c>
      <c r="H99" s="55">
        <v>1009</v>
      </c>
      <c r="I99" s="77">
        <v>1009</v>
      </c>
      <c r="J99" s="53">
        <v>1009</v>
      </c>
      <c r="K99" s="65">
        <f t="shared" si="8"/>
        <v>61269.321747600028</v>
      </c>
      <c r="L99" s="51">
        <f t="shared" si="9"/>
        <v>61269.321747600028</v>
      </c>
      <c r="M99" s="68">
        <f t="shared" si="10"/>
        <v>61269.321747600028</v>
      </c>
      <c r="N99" s="72">
        <f t="shared" si="11"/>
        <v>61269.321747600028</v>
      </c>
      <c r="O99" s="55">
        <f t="shared" si="12"/>
        <v>61269.321747600028</v>
      </c>
      <c r="P99" s="77">
        <f t="shared" si="13"/>
        <v>61269.321747600028</v>
      </c>
      <c r="Q99" s="53">
        <f t="shared" si="14"/>
        <v>61269.321747600028</v>
      </c>
    </row>
    <row r="100" spans="1:17" x14ac:dyDescent="0.25">
      <c r="A100" s="35">
        <v>560</v>
      </c>
      <c r="B100" s="35" t="s">
        <v>8</v>
      </c>
      <c r="C100" s="36">
        <f>IFERROR(VLOOKUP($A100,'Pipe Rate'!$A$1:$AC$23,MATCH($B100,'Pipe Rate'!$B$1:$AC$1,0)+1,0),"N/F")</f>
        <v>67.402326204000033</v>
      </c>
      <c r="D100" s="65">
        <v>566</v>
      </c>
      <c r="E100" s="51">
        <v>566</v>
      </c>
      <c r="F100" s="68">
        <v>566</v>
      </c>
      <c r="G100" s="72">
        <v>566</v>
      </c>
      <c r="H100" s="55">
        <v>566</v>
      </c>
      <c r="I100" s="77">
        <v>566</v>
      </c>
      <c r="J100" s="53">
        <v>566</v>
      </c>
      <c r="K100" s="65">
        <f t="shared" si="8"/>
        <v>38149.71663146402</v>
      </c>
      <c r="L100" s="51">
        <f t="shared" si="9"/>
        <v>38149.71663146402</v>
      </c>
      <c r="M100" s="68">
        <f t="shared" si="10"/>
        <v>38149.71663146402</v>
      </c>
      <c r="N100" s="72">
        <f t="shared" si="11"/>
        <v>38149.71663146402</v>
      </c>
      <c r="O100" s="55">
        <f t="shared" si="12"/>
        <v>38149.71663146402</v>
      </c>
      <c r="P100" s="77">
        <f t="shared" si="13"/>
        <v>38149.71663146402</v>
      </c>
      <c r="Q100" s="53">
        <f t="shared" si="14"/>
        <v>38149.71663146402</v>
      </c>
    </row>
    <row r="101" spans="1:17" x14ac:dyDescent="0.25">
      <c r="A101" s="35">
        <v>560</v>
      </c>
      <c r="B101" s="35" t="s">
        <v>10</v>
      </c>
      <c r="C101" s="36">
        <f>IFERROR(VLOOKUP($A101,'Pipe Rate'!$A$1:$AC$23,MATCH($B101,'Pipe Rate'!$B$1:$AC$1,0)+1,0),"N/F")</f>
        <v>83.046406115948457</v>
      </c>
      <c r="D101" s="65">
        <v>1465</v>
      </c>
      <c r="E101" s="51">
        <v>1379</v>
      </c>
      <c r="F101" s="68">
        <v>1465</v>
      </c>
      <c r="G101" s="72">
        <v>1465</v>
      </c>
      <c r="H101" s="55">
        <v>1465</v>
      </c>
      <c r="I101" s="77">
        <v>1465</v>
      </c>
      <c r="J101" s="53">
        <v>1465</v>
      </c>
      <c r="K101" s="65">
        <f t="shared" si="8"/>
        <v>121662.98495986449</v>
      </c>
      <c r="L101" s="51">
        <f t="shared" si="9"/>
        <v>114520.99403389292</v>
      </c>
      <c r="M101" s="68">
        <f t="shared" si="10"/>
        <v>121662.98495986449</v>
      </c>
      <c r="N101" s="72">
        <f t="shared" si="11"/>
        <v>121662.98495986449</v>
      </c>
      <c r="O101" s="55">
        <f t="shared" si="12"/>
        <v>121662.98495986449</v>
      </c>
      <c r="P101" s="77">
        <f t="shared" si="13"/>
        <v>121662.98495986449</v>
      </c>
      <c r="Q101" s="53">
        <f t="shared" si="14"/>
        <v>121662.98495986449</v>
      </c>
    </row>
    <row r="102" spans="1:17" x14ac:dyDescent="0.25">
      <c r="A102" s="35">
        <v>560</v>
      </c>
      <c r="B102" s="35" t="s">
        <v>12</v>
      </c>
      <c r="C102" s="36">
        <f>IFERROR(VLOOKUP($A102,'Pipe Rate'!$A$1:$AC$23,MATCH($B102,'Pipe Rate'!$B$1:$AC$1,0)+1,0),"N/F")</f>
        <v>102.32147697546011</v>
      </c>
      <c r="D102" s="65">
        <v>1947</v>
      </c>
      <c r="E102" s="51">
        <v>1947</v>
      </c>
      <c r="F102" s="68">
        <v>1947</v>
      </c>
      <c r="G102" s="72">
        <v>1947</v>
      </c>
      <c r="H102" s="55">
        <v>1947</v>
      </c>
      <c r="I102" s="77">
        <v>1947</v>
      </c>
      <c r="J102" s="53">
        <v>1947</v>
      </c>
      <c r="K102" s="65">
        <f t="shared" si="8"/>
        <v>199219.91567122084</v>
      </c>
      <c r="L102" s="51">
        <f t="shared" si="9"/>
        <v>199219.91567122084</v>
      </c>
      <c r="M102" s="68">
        <f t="shared" si="10"/>
        <v>199219.91567122084</v>
      </c>
      <c r="N102" s="72">
        <f t="shared" si="11"/>
        <v>199219.91567122084</v>
      </c>
      <c r="O102" s="55">
        <f t="shared" si="12"/>
        <v>199219.91567122084</v>
      </c>
      <c r="P102" s="77">
        <f t="shared" si="13"/>
        <v>199219.91567122084</v>
      </c>
      <c r="Q102" s="53">
        <f t="shared" si="14"/>
        <v>199219.91567122084</v>
      </c>
    </row>
    <row r="103" spans="1:17" x14ac:dyDescent="0.25">
      <c r="A103" s="35">
        <v>560</v>
      </c>
      <c r="B103" s="35" t="s">
        <v>14</v>
      </c>
      <c r="C103" s="36">
        <f>IFERROR(VLOOKUP($A103,'Pipe Rate'!$A$1:$AC$23,MATCH($B103,'Pipe Rate'!$B$1:$AC$1,0)+1,0),"N/F")</f>
        <v>147.64989127558897</v>
      </c>
      <c r="D103" s="65">
        <v>2401</v>
      </c>
      <c r="E103" s="51">
        <v>2401</v>
      </c>
      <c r="F103" s="68">
        <v>2401</v>
      </c>
      <c r="G103" s="72">
        <v>2401</v>
      </c>
      <c r="H103" s="55">
        <v>2401</v>
      </c>
      <c r="I103" s="77">
        <v>2401</v>
      </c>
      <c r="J103" s="53">
        <v>2401</v>
      </c>
      <c r="K103" s="65">
        <f t="shared" si="8"/>
        <v>354507.38895268913</v>
      </c>
      <c r="L103" s="51">
        <f t="shared" si="9"/>
        <v>354507.38895268913</v>
      </c>
      <c r="M103" s="68">
        <f t="shared" si="10"/>
        <v>354507.38895268913</v>
      </c>
      <c r="N103" s="72">
        <f t="shared" si="11"/>
        <v>354507.38895268913</v>
      </c>
      <c r="O103" s="55">
        <f t="shared" si="12"/>
        <v>354507.38895268913</v>
      </c>
      <c r="P103" s="77">
        <f t="shared" si="13"/>
        <v>354507.38895268913</v>
      </c>
      <c r="Q103" s="53">
        <f t="shared" si="14"/>
        <v>354507.38895268913</v>
      </c>
    </row>
    <row r="104" spans="1:17" x14ac:dyDescent="0.25">
      <c r="A104" s="35">
        <v>560</v>
      </c>
      <c r="B104" s="35" t="s">
        <v>16</v>
      </c>
      <c r="C104" s="36">
        <f>IFERROR(VLOOKUP($A104,'Pipe Rate'!$A$1:$AC$23,MATCH($B104,'Pipe Rate'!$B$1:$AC$1,0)+1,0),"N/F")</f>
        <v>181.91943104065319</v>
      </c>
      <c r="D104" s="65">
        <v>1744</v>
      </c>
      <c r="E104" s="51">
        <v>1744</v>
      </c>
      <c r="F104" s="68">
        <v>1744</v>
      </c>
      <c r="G104" s="72">
        <v>1744</v>
      </c>
      <c r="H104" s="55">
        <v>1744</v>
      </c>
      <c r="I104" s="77">
        <v>1744</v>
      </c>
      <c r="J104" s="53">
        <v>1744</v>
      </c>
      <c r="K104" s="65">
        <f t="shared" si="8"/>
        <v>317267.48773489916</v>
      </c>
      <c r="L104" s="51">
        <f t="shared" si="9"/>
        <v>317267.48773489916</v>
      </c>
      <c r="M104" s="68">
        <f t="shared" si="10"/>
        <v>317267.48773489916</v>
      </c>
      <c r="N104" s="72">
        <f t="shared" si="11"/>
        <v>317267.48773489916</v>
      </c>
      <c r="O104" s="55">
        <f t="shared" si="12"/>
        <v>317267.48773489916</v>
      </c>
      <c r="P104" s="77">
        <f t="shared" si="13"/>
        <v>317267.48773489916</v>
      </c>
      <c r="Q104" s="53">
        <f t="shared" si="14"/>
        <v>317267.48773489916</v>
      </c>
    </row>
    <row r="105" spans="1:17" x14ac:dyDescent="0.25">
      <c r="A105" s="35">
        <v>560</v>
      </c>
      <c r="B105" s="35" t="s">
        <v>18</v>
      </c>
      <c r="C105" s="36">
        <f>IFERROR(VLOOKUP($A105,'Pipe Rate'!$A$1:$AC$23,MATCH($B105,'Pipe Rate'!$B$1:$AC$1,0)+1,0),"N/F")</f>
        <v>224.14293098518885</v>
      </c>
      <c r="D105" s="65">
        <v>816</v>
      </c>
      <c r="E105" s="51">
        <v>816</v>
      </c>
      <c r="F105" s="68">
        <v>816</v>
      </c>
      <c r="G105" s="72">
        <v>816</v>
      </c>
      <c r="H105" s="55">
        <v>816</v>
      </c>
      <c r="I105" s="77">
        <v>816</v>
      </c>
      <c r="J105" s="53">
        <v>816</v>
      </c>
      <c r="K105" s="65">
        <f t="shared" si="8"/>
        <v>182900.63168391411</v>
      </c>
      <c r="L105" s="51">
        <f t="shared" si="9"/>
        <v>182900.63168391411</v>
      </c>
      <c r="M105" s="68">
        <f t="shared" si="10"/>
        <v>182900.63168391411</v>
      </c>
      <c r="N105" s="72">
        <f t="shared" si="11"/>
        <v>182900.63168391411</v>
      </c>
      <c r="O105" s="55">
        <f t="shared" si="12"/>
        <v>182900.63168391411</v>
      </c>
      <c r="P105" s="77">
        <f t="shared" si="13"/>
        <v>182900.63168391411</v>
      </c>
      <c r="Q105" s="53">
        <f t="shared" si="14"/>
        <v>182900.63168391411</v>
      </c>
    </row>
    <row r="106" spans="1:17" x14ac:dyDescent="0.25">
      <c r="A106" s="35">
        <v>560</v>
      </c>
      <c r="B106" s="35" t="s">
        <v>21</v>
      </c>
      <c r="C106" s="36">
        <f>IFERROR(VLOOKUP($A106,'Pipe Rate'!$A$1:$AC$23,MATCH($B106,'Pipe Rate'!$B$1:$AC$1,0)+1,0),"N/F")</f>
        <v>323.43824941162757</v>
      </c>
      <c r="D106" s="65">
        <v>1484</v>
      </c>
      <c r="E106" s="51">
        <v>1484</v>
      </c>
      <c r="F106" s="68">
        <v>1484</v>
      </c>
      <c r="G106" s="72">
        <v>1484</v>
      </c>
      <c r="H106" s="55">
        <v>1484</v>
      </c>
      <c r="I106" s="77">
        <v>1484</v>
      </c>
      <c r="J106" s="53">
        <v>1484</v>
      </c>
      <c r="K106" s="65">
        <f t="shared" si="8"/>
        <v>479982.3621268553</v>
      </c>
      <c r="L106" s="51">
        <f t="shared" si="9"/>
        <v>479982.3621268553</v>
      </c>
      <c r="M106" s="68">
        <f t="shared" si="10"/>
        <v>479982.3621268553</v>
      </c>
      <c r="N106" s="72">
        <f t="shared" si="11"/>
        <v>479982.3621268553</v>
      </c>
      <c r="O106" s="55">
        <f t="shared" si="12"/>
        <v>479982.3621268553</v>
      </c>
      <c r="P106" s="77">
        <f t="shared" si="13"/>
        <v>479982.3621268553</v>
      </c>
      <c r="Q106" s="53">
        <f t="shared" si="14"/>
        <v>479982.3621268553</v>
      </c>
    </row>
    <row r="107" spans="1:17" x14ac:dyDescent="0.25">
      <c r="A107" s="35">
        <v>560</v>
      </c>
      <c r="B107" s="35" t="s">
        <v>25</v>
      </c>
      <c r="C107" s="36">
        <f>IFERROR(VLOOKUP($A107,'Pipe Rate'!$A$1:$AC$23,MATCH($B107,'Pipe Rate'!$B$1:$AC$1,0)+1,0),"N/F")</f>
        <v>398.5082671000664</v>
      </c>
      <c r="D107" s="65">
        <v>236</v>
      </c>
      <c r="E107" s="51">
        <v>236</v>
      </c>
      <c r="F107" s="68">
        <v>236</v>
      </c>
      <c r="G107" s="72">
        <v>236</v>
      </c>
      <c r="H107" s="55">
        <v>236</v>
      </c>
      <c r="I107" s="77">
        <v>236</v>
      </c>
      <c r="J107" s="53">
        <v>236</v>
      </c>
      <c r="K107" s="65">
        <f t="shared" si="8"/>
        <v>94047.951035615668</v>
      </c>
      <c r="L107" s="51">
        <f t="shared" si="9"/>
        <v>94047.951035615668</v>
      </c>
      <c r="M107" s="68">
        <f t="shared" si="10"/>
        <v>94047.951035615668</v>
      </c>
      <c r="N107" s="72">
        <f t="shared" si="11"/>
        <v>94047.951035615668</v>
      </c>
      <c r="O107" s="55">
        <f t="shared" si="12"/>
        <v>94047.951035615668</v>
      </c>
      <c r="P107" s="77">
        <f t="shared" si="13"/>
        <v>94047.951035615668</v>
      </c>
      <c r="Q107" s="53">
        <f t="shared" si="14"/>
        <v>94047.951035615668</v>
      </c>
    </row>
    <row r="108" spans="1:17" x14ac:dyDescent="0.25">
      <c r="A108" s="35">
        <v>560</v>
      </c>
      <c r="B108" s="35" t="s">
        <v>27</v>
      </c>
      <c r="C108" s="36">
        <f>IFERROR(VLOOKUP($A108,'Pipe Rate'!$A$1:$AC$23,MATCH($B108,'Pipe Rate'!$B$1:$AC$1,0)+1,0),"N/F")</f>
        <v>491.00203589399194</v>
      </c>
      <c r="D108" s="65">
        <v>98</v>
      </c>
      <c r="E108" s="51">
        <v>98</v>
      </c>
      <c r="F108" s="68">
        <v>98</v>
      </c>
      <c r="G108" s="72">
        <v>98</v>
      </c>
      <c r="H108" s="55">
        <v>98</v>
      </c>
      <c r="I108" s="77">
        <v>98</v>
      </c>
      <c r="J108" s="53">
        <v>98</v>
      </c>
      <c r="K108" s="65">
        <f t="shared" si="8"/>
        <v>48118.19951761121</v>
      </c>
      <c r="L108" s="51">
        <f t="shared" si="9"/>
        <v>48118.19951761121</v>
      </c>
      <c r="M108" s="68">
        <f t="shared" si="10"/>
        <v>48118.19951761121</v>
      </c>
      <c r="N108" s="72">
        <f t="shared" si="11"/>
        <v>48118.19951761121</v>
      </c>
      <c r="O108" s="55">
        <f t="shared" si="12"/>
        <v>48118.19951761121</v>
      </c>
      <c r="P108" s="77">
        <f t="shared" si="13"/>
        <v>48118.19951761121</v>
      </c>
      <c r="Q108" s="53">
        <f t="shared" si="14"/>
        <v>48118.19951761121</v>
      </c>
    </row>
    <row r="109" spans="1:17" x14ac:dyDescent="0.25">
      <c r="A109" s="35">
        <v>630</v>
      </c>
      <c r="B109" s="35" t="s">
        <v>4</v>
      </c>
      <c r="C109" s="36">
        <f>IFERROR(VLOOKUP($A109,'Pipe Rate'!$A$1:$AC$23,MATCH($B109,'Pipe Rate'!$B$1:$AC$1,0)+1,0),"N/F")</f>
        <v>56.610000000000007</v>
      </c>
      <c r="D109" s="65">
        <v>141</v>
      </c>
      <c r="E109" s="51">
        <v>141</v>
      </c>
      <c r="F109" s="68">
        <v>141</v>
      </c>
      <c r="G109" s="72">
        <v>141</v>
      </c>
      <c r="H109" s="55">
        <v>141</v>
      </c>
      <c r="I109" s="77">
        <v>141</v>
      </c>
      <c r="J109" s="53">
        <v>141</v>
      </c>
      <c r="K109" s="65">
        <f t="shared" si="8"/>
        <v>7982.0100000000011</v>
      </c>
      <c r="L109" s="51">
        <f t="shared" si="9"/>
        <v>7982.0100000000011</v>
      </c>
      <c r="M109" s="68">
        <f t="shared" si="10"/>
        <v>7982.0100000000011</v>
      </c>
      <c r="N109" s="72">
        <f t="shared" si="11"/>
        <v>7982.0100000000011</v>
      </c>
      <c r="O109" s="55">
        <f t="shared" si="12"/>
        <v>7982.0100000000011</v>
      </c>
      <c r="P109" s="77">
        <f t="shared" si="13"/>
        <v>7982.0100000000011</v>
      </c>
      <c r="Q109" s="53">
        <f t="shared" si="14"/>
        <v>7982.0100000000011</v>
      </c>
    </row>
    <row r="110" spans="1:17" x14ac:dyDescent="0.25">
      <c r="A110" s="35">
        <v>630</v>
      </c>
      <c r="B110" s="35" t="s">
        <v>5</v>
      </c>
      <c r="C110" s="36">
        <f>IFERROR(VLOOKUP($A110,'Pipe Rate'!$A$1:$AC$23,MATCH($B110,'Pipe Rate'!$B$1:$AC$1,0)+1,0),"N/F")</f>
        <v>62.837100000000014</v>
      </c>
      <c r="D110" s="65">
        <v>403</v>
      </c>
      <c r="E110" s="51">
        <v>403</v>
      </c>
      <c r="F110" s="68">
        <v>403</v>
      </c>
      <c r="G110" s="72">
        <v>403</v>
      </c>
      <c r="H110" s="55">
        <v>403</v>
      </c>
      <c r="I110" s="77">
        <v>403</v>
      </c>
      <c r="J110" s="53">
        <v>403</v>
      </c>
      <c r="K110" s="65">
        <f t="shared" si="8"/>
        <v>25323.351300000006</v>
      </c>
      <c r="L110" s="51">
        <f t="shared" si="9"/>
        <v>25323.351300000006</v>
      </c>
      <c r="M110" s="68">
        <f t="shared" si="10"/>
        <v>25323.351300000006</v>
      </c>
      <c r="N110" s="72">
        <f t="shared" si="11"/>
        <v>25323.351300000006</v>
      </c>
      <c r="O110" s="55">
        <f t="shared" si="12"/>
        <v>25323.351300000006</v>
      </c>
      <c r="P110" s="77">
        <f t="shared" si="13"/>
        <v>25323.351300000006</v>
      </c>
      <c r="Q110" s="53">
        <f t="shared" si="14"/>
        <v>25323.351300000006</v>
      </c>
    </row>
    <row r="111" spans="1:17" x14ac:dyDescent="0.25">
      <c r="A111" s="35">
        <v>630</v>
      </c>
      <c r="B111" s="35" t="s">
        <v>10</v>
      </c>
      <c r="C111" s="36">
        <f>IFERROR(VLOOKUP($A111,'Pipe Rate'!$A$1:$AC$23,MATCH($B111,'Pipe Rate'!$B$1:$AC$1,0)+1,0),"N/F")</f>
        <v>105.88416779783428</v>
      </c>
      <c r="D111" s="65">
        <v>671</v>
      </c>
      <c r="E111" s="51">
        <v>671</v>
      </c>
      <c r="F111" s="68">
        <v>671</v>
      </c>
      <c r="G111" s="72">
        <v>671</v>
      </c>
      <c r="H111" s="55">
        <v>671</v>
      </c>
      <c r="I111" s="77">
        <v>671</v>
      </c>
      <c r="J111" s="53">
        <v>671</v>
      </c>
      <c r="K111" s="65">
        <f t="shared" si="8"/>
        <v>71048.276592346796</v>
      </c>
      <c r="L111" s="51">
        <f t="shared" si="9"/>
        <v>71048.276592346796</v>
      </c>
      <c r="M111" s="68">
        <f t="shared" si="10"/>
        <v>71048.276592346796</v>
      </c>
      <c r="N111" s="72">
        <f t="shared" si="11"/>
        <v>71048.276592346796</v>
      </c>
      <c r="O111" s="55">
        <f t="shared" si="12"/>
        <v>71048.276592346796</v>
      </c>
      <c r="P111" s="77">
        <f t="shared" si="13"/>
        <v>71048.276592346796</v>
      </c>
      <c r="Q111" s="53">
        <f t="shared" si="14"/>
        <v>71048.276592346796</v>
      </c>
    </row>
    <row r="112" spans="1:17" x14ac:dyDescent="0.25">
      <c r="A112" s="35">
        <v>630</v>
      </c>
      <c r="B112" s="35" t="s">
        <v>12</v>
      </c>
      <c r="C112" s="36">
        <f>IFERROR(VLOOKUP($A112,'Pipe Rate'!$A$1:$AC$23,MATCH($B112,'Pipe Rate'!$B$1:$AC$1,0)+1,0),"N/F")</f>
        <v>130.45988314371164</v>
      </c>
      <c r="D112" s="65">
        <v>1087</v>
      </c>
      <c r="E112" s="51">
        <v>1087</v>
      </c>
      <c r="F112" s="68">
        <v>1087</v>
      </c>
      <c r="G112" s="72">
        <v>1087</v>
      </c>
      <c r="H112" s="55">
        <v>1087</v>
      </c>
      <c r="I112" s="77">
        <v>1087</v>
      </c>
      <c r="J112" s="53">
        <v>1087</v>
      </c>
      <c r="K112" s="65">
        <f t="shared" si="8"/>
        <v>141809.89297721453</v>
      </c>
      <c r="L112" s="51">
        <f t="shared" si="9"/>
        <v>141809.89297721453</v>
      </c>
      <c r="M112" s="68">
        <f t="shared" si="10"/>
        <v>141809.89297721453</v>
      </c>
      <c r="N112" s="72">
        <f t="shared" si="11"/>
        <v>141809.89297721453</v>
      </c>
      <c r="O112" s="55">
        <f t="shared" si="12"/>
        <v>141809.89297721453</v>
      </c>
      <c r="P112" s="77">
        <f t="shared" si="13"/>
        <v>141809.89297721453</v>
      </c>
      <c r="Q112" s="53">
        <f t="shared" si="14"/>
        <v>141809.89297721453</v>
      </c>
    </row>
    <row r="113" spans="1:17" x14ac:dyDescent="0.25">
      <c r="A113" s="35">
        <v>630</v>
      </c>
      <c r="B113" s="35" t="s">
        <v>14</v>
      </c>
      <c r="C113" s="36">
        <f>IFERROR(VLOOKUP($A113,'Pipe Rate'!$A$1:$AC$23,MATCH($B113,'Pipe Rate'!$B$1:$AC$1,0)+1,0),"N/F")</f>
        <v>188.25361137637591</v>
      </c>
      <c r="D113" s="65">
        <v>1224</v>
      </c>
      <c r="E113" s="51">
        <v>1224</v>
      </c>
      <c r="F113" s="68">
        <v>1224</v>
      </c>
      <c r="G113" s="72">
        <v>1224</v>
      </c>
      <c r="H113" s="55">
        <v>1224</v>
      </c>
      <c r="I113" s="77">
        <v>1224</v>
      </c>
      <c r="J113" s="53">
        <v>1224</v>
      </c>
      <c r="K113" s="65">
        <f t="shared" si="8"/>
        <v>230422.42032468412</v>
      </c>
      <c r="L113" s="51">
        <f t="shared" si="9"/>
        <v>230422.42032468412</v>
      </c>
      <c r="M113" s="68">
        <f t="shared" si="10"/>
        <v>230422.42032468412</v>
      </c>
      <c r="N113" s="72">
        <f t="shared" si="11"/>
        <v>230422.42032468412</v>
      </c>
      <c r="O113" s="55">
        <f t="shared" si="12"/>
        <v>230422.42032468412</v>
      </c>
      <c r="P113" s="77">
        <f t="shared" si="13"/>
        <v>230422.42032468412</v>
      </c>
      <c r="Q113" s="53">
        <f t="shared" si="14"/>
        <v>230422.42032468412</v>
      </c>
    </row>
    <row r="114" spans="1:17" x14ac:dyDescent="0.25">
      <c r="A114" s="35">
        <v>630</v>
      </c>
      <c r="B114" s="35" t="s">
        <v>16</v>
      </c>
      <c r="C114" s="36">
        <f>IFERROR(VLOOKUP($A114,'Pipe Rate'!$A$1:$AC$23,MATCH($B114,'Pipe Rate'!$B$1:$AC$1,0)+1,0),"N/F")</f>
        <v>231.9472745768328</v>
      </c>
      <c r="D114" s="65">
        <v>838</v>
      </c>
      <c r="E114" s="51">
        <v>838</v>
      </c>
      <c r="F114" s="68">
        <v>838</v>
      </c>
      <c r="G114" s="72">
        <v>838</v>
      </c>
      <c r="H114" s="55">
        <v>838</v>
      </c>
      <c r="I114" s="77">
        <v>838</v>
      </c>
      <c r="J114" s="53">
        <v>838</v>
      </c>
      <c r="K114" s="65">
        <f t="shared" si="8"/>
        <v>194371.81609538588</v>
      </c>
      <c r="L114" s="51">
        <f t="shared" si="9"/>
        <v>194371.81609538588</v>
      </c>
      <c r="M114" s="68">
        <f t="shared" si="10"/>
        <v>194371.81609538588</v>
      </c>
      <c r="N114" s="72">
        <f t="shared" si="11"/>
        <v>194371.81609538588</v>
      </c>
      <c r="O114" s="55">
        <f t="shared" si="12"/>
        <v>194371.81609538588</v>
      </c>
      <c r="P114" s="77">
        <f t="shared" si="13"/>
        <v>194371.81609538588</v>
      </c>
      <c r="Q114" s="53">
        <f t="shared" si="14"/>
        <v>194371.81609538588</v>
      </c>
    </row>
    <row r="115" spans="1:17" x14ac:dyDescent="0.25">
      <c r="A115" s="35">
        <v>630</v>
      </c>
      <c r="B115" s="35" t="s">
        <v>18</v>
      </c>
      <c r="C115" s="36">
        <f>IFERROR(VLOOKUP($A115,'Pipe Rate'!$A$1:$AC$23,MATCH($B115,'Pipe Rate'!$B$1:$AC$1,0)+1,0),"N/F")</f>
        <v>285.78223700611574</v>
      </c>
      <c r="D115" s="65">
        <v>1539</v>
      </c>
      <c r="E115" s="51">
        <v>1539</v>
      </c>
      <c r="F115" s="68">
        <v>1539</v>
      </c>
      <c r="G115" s="72">
        <v>1539</v>
      </c>
      <c r="H115" s="55">
        <v>1539</v>
      </c>
      <c r="I115" s="77">
        <v>1539</v>
      </c>
      <c r="J115" s="53">
        <v>1539</v>
      </c>
      <c r="K115" s="65">
        <f t="shared" si="8"/>
        <v>439818.8627524121</v>
      </c>
      <c r="L115" s="51">
        <f t="shared" si="9"/>
        <v>439818.8627524121</v>
      </c>
      <c r="M115" s="68">
        <f t="shared" si="10"/>
        <v>439818.8627524121</v>
      </c>
      <c r="N115" s="72">
        <f t="shared" si="11"/>
        <v>439818.8627524121</v>
      </c>
      <c r="O115" s="55">
        <f t="shared" si="12"/>
        <v>439818.8627524121</v>
      </c>
      <c r="P115" s="77">
        <f t="shared" si="13"/>
        <v>439818.8627524121</v>
      </c>
      <c r="Q115" s="53">
        <f t="shared" si="14"/>
        <v>439818.8627524121</v>
      </c>
    </row>
    <row r="116" spans="1:17" x14ac:dyDescent="0.25">
      <c r="A116" s="35">
        <v>630</v>
      </c>
      <c r="B116" s="35" t="s">
        <v>21</v>
      </c>
      <c r="C116" s="36">
        <f>IFERROR(VLOOKUP($A116,'Pipe Rate'!$A$1:$AC$23,MATCH($B116,'Pipe Rate'!$B$1:$AC$1,0)+1,0),"N/F")</f>
        <v>412.38376799982507</v>
      </c>
      <c r="D116" s="65">
        <v>1397</v>
      </c>
      <c r="E116" s="51">
        <v>1397</v>
      </c>
      <c r="F116" s="68">
        <v>1397</v>
      </c>
      <c r="G116" s="72">
        <v>1397</v>
      </c>
      <c r="H116" s="55">
        <v>1397</v>
      </c>
      <c r="I116" s="77">
        <v>1397</v>
      </c>
      <c r="J116" s="53">
        <v>1397</v>
      </c>
      <c r="K116" s="65">
        <f t="shared" si="8"/>
        <v>576100.12389575562</v>
      </c>
      <c r="L116" s="51">
        <f t="shared" si="9"/>
        <v>576100.12389575562</v>
      </c>
      <c r="M116" s="68">
        <f t="shared" si="10"/>
        <v>576100.12389575562</v>
      </c>
      <c r="N116" s="72">
        <f t="shared" si="11"/>
        <v>576100.12389575562</v>
      </c>
      <c r="O116" s="55">
        <f t="shared" si="12"/>
        <v>576100.12389575562</v>
      </c>
      <c r="P116" s="77">
        <f t="shared" si="13"/>
        <v>576100.12389575562</v>
      </c>
      <c r="Q116" s="53">
        <f t="shared" si="14"/>
        <v>576100.12389575562</v>
      </c>
    </row>
    <row r="117" spans="1:17" x14ac:dyDescent="0.25">
      <c r="A117" s="35">
        <v>630</v>
      </c>
      <c r="B117" s="35" t="s">
        <v>25</v>
      </c>
      <c r="C117" s="36">
        <f>IFERROR(VLOOKUP($A117,'Pipe Rate'!$A$1:$AC$23,MATCH($B117,'Pipe Rate'!$B$1:$AC$1,0)+1,0),"N/F")</f>
        <v>508.09804055258456</v>
      </c>
      <c r="D117" s="65">
        <v>315</v>
      </c>
      <c r="E117" s="51">
        <v>315</v>
      </c>
      <c r="F117" s="68">
        <v>315</v>
      </c>
      <c r="G117" s="72">
        <v>315</v>
      </c>
      <c r="H117" s="55">
        <v>315</v>
      </c>
      <c r="I117" s="77">
        <v>315</v>
      </c>
      <c r="J117" s="53">
        <v>315</v>
      </c>
      <c r="K117" s="65">
        <f t="shared" si="8"/>
        <v>160050.88277406414</v>
      </c>
      <c r="L117" s="51">
        <f t="shared" si="9"/>
        <v>160050.88277406414</v>
      </c>
      <c r="M117" s="68">
        <f t="shared" si="10"/>
        <v>160050.88277406414</v>
      </c>
      <c r="N117" s="72">
        <f t="shared" si="11"/>
        <v>160050.88277406414</v>
      </c>
      <c r="O117" s="55">
        <f t="shared" si="12"/>
        <v>160050.88277406414</v>
      </c>
      <c r="P117" s="77">
        <f t="shared" si="13"/>
        <v>160050.88277406414</v>
      </c>
      <c r="Q117" s="53">
        <f t="shared" si="14"/>
        <v>160050.88277406414</v>
      </c>
    </row>
    <row r="118" spans="1:17" x14ac:dyDescent="0.25">
      <c r="A118" s="35">
        <v>710</v>
      </c>
      <c r="B118" s="35" t="s">
        <v>4</v>
      </c>
      <c r="C118" s="36">
        <f>IFERROR(VLOOKUP($A118,'Pipe Rate'!$A$1:$AC$23,MATCH($B118,'Pipe Rate'!$B$1:$AC$1,0)+1,0),"N/F")</f>
        <v>65.823000000000008</v>
      </c>
      <c r="D118" s="65">
        <v>891</v>
      </c>
      <c r="E118" s="51">
        <v>891</v>
      </c>
      <c r="F118" s="68">
        <v>891</v>
      </c>
      <c r="G118" s="72">
        <v>891</v>
      </c>
      <c r="H118" s="55">
        <v>891</v>
      </c>
      <c r="I118" s="77">
        <v>891</v>
      </c>
      <c r="J118" s="53">
        <v>891</v>
      </c>
      <c r="K118" s="65">
        <f t="shared" si="8"/>
        <v>58648.293000000005</v>
      </c>
      <c r="L118" s="51">
        <f t="shared" si="9"/>
        <v>58648.293000000005</v>
      </c>
      <c r="M118" s="68">
        <f t="shared" si="10"/>
        <v>58648.293000000005</v>
      </c>
      <c r="N118" s="72">
        <f t="shared" si="11"/>
        <v>58648.293000000005</v>
      </c>
      <c r="O118" s="55">
        <f t="shared" si="12"/>
        <v>58648.293000000005</v>
      </c>
      <c r="P118" s="77">
        <f t="shared" si="13"/>
        <v>58648.293000000005</v>
      </c>
      <c r="Q118" s="53">
        <f t="shared" si="14"/>
        <v>58648.293000000005</v>
      </c>
    </row>
    <row r="119" spans="1:17" x14ac:dyDescent="0.25">
      <c r="A119" s="35">
        <v>710</v>
      </c>
      <c r="B119" s="35" t="s">
        <v>5</v>
      </c>
      <c r="C119" s="36">
        <f>IFERROR(VLOOKUP($A119,'Pipe Rate'!$A$1:$AC$23,MATCH($B119,'Pipe Rate'!$B$1:$AC$1,0)+1,0),"N/F")</f>
        <v>73.063530000000014</v>
      </c>
      <c r="D119" s="65">
        <v>4526</v>
      </c>
      <c r="E119" s="51">
        <v>4526</v>
      </c>
      <c r="F119" s="68">
        <v>4526</v>
      </c>
      <c r="G119" s="72">
        <v>4526</v>
      </c>
      <c r="H119" s="55">
        <v>4526</v>
      </c>
      <c r="I119" s="77">
        <v>4526</v>
      </c>
      <c r="J119" s="53">
        <v>4526</v>
      </c>
      <c r="K119" s="65">
        <f t="shared" si="8"/>
        <v>330685.53678000008</v>
      </c>
      <c r="L119" s="51">
        <f t="shared" si="9"/>
        <v>330685.53678000008</v>
      </c>
      <c r="M119" s="68">
        <f t="shared" si="10"/>
        <v>330685.53678000008</v>
      </c>
      <c r="N119" s="72">
        <f t="shared" si="11"/>
        <v>330685.53678000008</v>
      </c>
      <c r="O119" s="55">
        <f t="shared" si="12"/>
        <v>330685.53678000008</v>
      </c>
      <c r="P119" s="77">
        <f t="shared" si="13"/>
        <v>330685.53678000008</v>
      </c>
      <c r="Q119" s="53">
        <f t="shared" si="14"/>
        <v>330685.53678000008</v>
      </c>
    </row>
    <row r="120" spans="1:17" x14ac:dyDescent="0.25">
      <c r="A120" s="35">
        <v>710</v>
      </c>
      <c r="B120" s="35" t="s">
        <v>6</v>
      </c>
      <c r="C120" s="36">
        <f>IFERROR(VLOOKUP($A120,'Pipe Rate'!$A$1:$AC$23,MATCH($B120,'Pipe Rate'!$B$1:$AC$1,0)+1,0),"N/F")</f>
        <v>81.100518300000019</v>
      </c>
      <c r="D120" s="65">
        <v>1479</v>
      </c>
      <c r="E120" s="51">
        <v>1479</v>
      </c>
      <c r="F120" s="68">
        <v>1479</v>
      </c>
      <c r="G120" s="72">
        <v>1479</v>
      </c>
      <c r="H120" s="55">
        <v>1479</v>
      </c>
      <c r="I120" s="77">
        <v>1479</v>
      </c>
      <c r="J120" s="53">
        <v>1479</v>
      </c>
      <c r="K120" s="65">
        <f t="shared" si="8"/>
        <v>119947.66656570003</v>
      </c>
      <c r="L120" s="51">
        <f t="shared" si="9"/>
        <v>119947.66656570003</v>
      </c>
      <c r="M120" s="68">
        <f t="shared" si="10"/>
        <v>119947.66656570003</v>
      </c>
      <c r="N120" s="72">
        <f t="shared" si="11"/>
        <v>119947.66656570003</v>
      </c>
      <c r="O120" s="55">
        <f t="shared" si="12"/>
        <v>119947.66656570003</v>
      </c>
      <c r="P120" s="77">
        <f t="shared" si="13"/>
        <v>119947.66656570003</v>
      </c>
      <c r="Q120" s="53">
        <f t="shared" si="14"/>
        <v>119947.66656570003</v>
      </c>
    </row>
    <row r="121" spans="1:17" x14ac:dyDescent="0.25">
      <c r="A121" s="35">
        <v>710</v>
      </c>
      <c r="B121" s="35" t="s">
        <v>7</v>
      </c>
      <c r="C121" s="36">
        <f>IFERROR(VLOOKUP($A121,'Pipe Rate'!$A$1:$AC$23,MATCH($B121,'Pipe Rate'!$B$1:$AC$1,0)+1,0),"N/F")</f>
        <v>90.021575313000028</v>
      </c>
      <c r="D121" s="65">
        <v>1426</v>
      </c>
      <c r="E121" s="51">
        <v>1426</v>
      </c>
      <c r="F121" s="68">
        <v>1426</v>
      </c>
      <c r="G121" s="72">
        <v>1426</v>
      </c>
      <c r="H121" s="55">
        <v>1426</v>
      </c>
      <c r="I121" s="77">
        <v>1426</v>
      </c>
      <c r="J121" s="53">
        <v>1426</v>
      </c>
      <c r="K121" s="65">
        <f t="shared" si="8"/>
        <v>128370.76639633803</v>
      </c>
      <c r="L121" s="51">
        <f t="shared" si="9"/>
        <v>128370.76639633803</v>
      </c>
      <c r="M121" s="68">
        <f t="shared" si="10"/>
        <v>128370.76639633803</v>
      </c>
      <c r="N121" s="72">
        <f t="shared" si="11"/>
        <v>128370.76639633803</v>
      </c>
      <c r="O121" s="55">
        <f t="shared" si="12"/>
        <v>128370.76639633803</v>
      </c>
      <c r="P121" s="77">
        <f t="shared" si="13"/>
        <v>128370.76639633803</v>
      </c>
      <c r="Q121" s="53">
        <f t="shared" si="14"/>
        <v>128370.76639633803</v>
      </c>
    </row>
    <row r="122" spans="1:17" x14ac:dyDescent="0.25">
      <c r="A122" s="35">
        <v>710</v>
      </c>
      <c r="B122" s="35" t="s">
        <v>8</v>
      </c>
      <c r="C122" s="36">
        <f>IFERROR(VLOOKUP($A122,'Pipe Rate'!$A$1:$AC$23,MATCH($B122,'Pipe Rate'!$B$1:$AC$1,0)+1,0),"N/F")</f>
        <v>99.923948597430041</v>
      </c>
      <c r="D122" s="65">
        <v>535</v>
      </c>
      <c r="E122" s="51">
        <v>535</v>
      </c>
      <c r="F122" s="68">
        <v>535</v>
      </c>
      <c r="G122" s="72">
        <v>535</v>
      </c>
      <c r="H122" s="55">
        <v>535</v>
      </c>
      <c r="I122" s="77">
        <v>535</v>
      </c>
      <c r="J122" s="53">
        <v>535</v>
      </c>
      <c r="K122" s="65">
        <f t="shared" si="8"/>
        <v>53459.31249962507</v>
      </c>
      <c r="L122" s="51">
        <f t="shared" si="9"/>
        <v>53459.31249962507</v>
      </c>
      <c r="M122" s="68">
        <f t="shared" si="10"/>
        <v>53459.31249962507</v>
      </c>
      <c r="N122" s="72">
        <f t="shared" si="11"/>
        <v>53459.31249962507</v>
      </c>
      <c r="O122" s="55">
        <f t="shared" si="12"/>
        <v>53459.31249962507</v>
      </c>
      <c r="P122" s="77">
        <f t="shared" si="13"/>
        <v>53459.31249962507</v>
      </c>
      <c r="Q122" s="53">
        <f t="shared" si="14"/>
        <v>53459.31249962507</v>
      </c>
    </row>
    <row r="123" spans="1:17" x14ac:dyDescent="0.25">
      <c r="A123" s="35">
        <v>710</v>
      </c>
      <c r="B123" s="35" t="s">
        <v>10</v>
      </c>
      <c r="C123" s="36">
        <f>IFERROR(VLOOKUP($A123,'Pipe Rate'!$A$1:$AC$23,MATCH($B123,'Pipe Rate'!$B$1:$AC$1,0)+1,0),"N/F")</f>
        <v>123.11629706689358</v>
      </c>
      <c r="D123" s="65">
        <v>726</v>
      </c>
      <c r="E123" s="51">
        <v>726</v>
      </c>
      <c r="F123" s="68">
        <v>726</v>
      </c>
      <c r="G123" s="72">
        <v>726</v>
      </c>
      <c r="H123" s="55">
        <v>726</v>
      </c>
      <c r="I123" s="77">
        <v>726</v>
      </c>
      <c r="J123" s="53">
        <v>726</v>
      </c>
      <c r="K123" s="65">
        <f t="shared" si="8"/>
        <v>89382.431670564736</v>
      </c>
      <c r="L123" s="51">
        <f t="shared" si="9"/>
        <v>89382.431670564736</v>
      </c>
      <c r="M123" s="68">
        <f t="shared" si="10"/>
        <v>89382.431670564736</v>
      </c>
      <c r="N123" s="72">
        <f t="shared" si="11"/>
        <v>89382.431670564736</v>
      </c>
      <c r="O123" s="55">
        <f t="shared" si="12"/>
        <v>89382.431670564736</v>
      </c>
      <c r="P123" s="77">
        <f t="shared" si="13"/>
        <v>89382.431670564736</v>
      </c>
      <c r="Q123" s="53">
        <f t="shared" si="14"/>
        <v>89382.431670564736</v>
      </c>
    </row>
    <row r="124" spans="1:17" x14ac:dyDescent="0.25">
      <c r="A124" s="35">
        <v>710</v>
      </c>
      <c r="B124" s="35" t="s">
        <v>12</v>
      </c>
      <c r="C124" s="36">
        <f>IFERROR(VLOOKUP($A124,'Pipe Rate'!$A$1:$AC$23,MATCH($B124,'Pipe Rate'!$B$1:$AC$1,0)+1,0),"N/F")</f>
        <v>151.69158961611959</v>
      </c>
      <c r="D124" s="65">
        <v>244</v>
      </c>
      <c r="E124" s="51">
        <v>244</v>
      </c>
      <c r="F124" s="68">
        <v>244</v>
      </c>
      <c r="G124" s="72">
        <v>244</v>
      </c>
      <c r="H124" s="55">
        <v>244</v>
      </c>
      <c r="I124" s="77">
        <v>244</v>
      </c>
      <c r="J124" s="53">
        <v>244</v>
      </c>
      <c r="K124" s="65">
        <f t="shared" si="8"/>
        <v>37012.747866333179</v>
      </c>
      <c r="L124" s="51">
        <f t="shared" si="9"/>
        <v>37012.747866333179</v>
      </c>
      <c r="M124" s="68">
        <f t="shared" si="10"/>
        <v>37012.747866333179</v>
      </c>
      <c r="N124" s="72">
        <f t="shared" si="11"/>
        <v>37012.747866333179</v>
      </c>
      <c r="O124" s="55">
        <f t="shared" si="12"/>
        <v>37012.747866333179</v>
      </c>
      <c r="P124" s="77">
        <f t="shared" si="13"/>
        <v>37012.747866333179</v>
      </c>
      <c r="Q124" s="53">
        <f t="shared" si="14"/>
        <v>37012.747866333179</v>
      </c>
    </row>
    <row r="125" spans="1:17" x14ac:dyDescent="0.25">
      <c r="A125" s="35">
        <v>710</v>
      </c>
      <c r="B125" s="35" t="s">
        <v>14</v>
      </c>
      <c r="C125" s="36">
        <f>IFERROR(VLOOKUP($A125,'Pipe Rate'!$A$1:$AC$23,MATCH($B125,'Pipe Rate'!$B$1:$AC$1,0)+1,0),"N/F")</f>
        <v>218.89096381606058</v>
      </c>
      <c r="D125" s="65">
        <v>800</v>
      </c>
      <c r="E125" s="51">
        <v>800</v>
      </c>
      <c r="F125" s="68">
        <v>800</v>
      </c>
      <c r="G125" s="72">
        <v>1222</v>
      </c>
      <c r="H125" s="55">
        <v>1222</v>
      </c>
      <c r="I125" s="77">
        <v>1319</v>
      </c>
      <c r="J125" s="53">
        <v>897</v>
      </c>
      <c r="K125" s="65">
        <f t="shared" si="8"/>
        <v>175112.77105284846</v>
      </c>
      <c r="L125" s="51">
        <f t="shared" si="9"/>
        <v>175112.77105284846</v>
      </c>
      <c r="M125" s="68">
        <f t="shared" si="10"/>
        <v>175112.77105284846</v>
      </c>
      <c r="N125" s="72">
        <f t="shared" si="11"/>
        <v>267484.75778322603</v>
      </c>
      <c r="O125" s="55">
        <f t="shared" si="12"/>
        <v>267484.75778322603</v>
      </c>
      <c r="P125" s="77">
        <f t="shared" si="13"/>
        <v>288717.1812733839</v>
      </c>
      <c r="Q125" s="53">
        <f t="shared" si="14"/>
        <v>196345.19454300634</v>
      </c>
    </row>
    <row r="126" spans="1:17" x14ac:dyDescent="0.25">
      <c r="A126" s="35">
        <v>710</v>
      </c>
      <c r="B126" s="35" t="s">
        <v>16</v>
      </c>
      <c r="C126" s="36">
        <f>IFERROR(VLOOKUP($A126,'Pipe Rate'!$A$1:$AC$23,MATCH($B126,'Pipe Rate'!$B$1:$AC$1,0)+1,0),"N/F")</f>
        <v>269.6955565177683</v>
      </c>
      <c r="D126" s="65">
        <v>559</v>
      </c>
      <c r="E126" s="51">
        <v>559</v>
      </c>
      <c r="F126" s="68">
        <v>559</v>
      </c>
      <c r="G126" s="72">
        <v>1679</v>
      </c>
      <c r="H126" s="55">
        <v>1679</v>
      </c>
      <c r="I126" s="77">
        <v>2612</v>
      </c>
      <c r="J126" s="53">
        <v>1492</v>
      </c>
      <c r="K126" s="65">
        <f t="shared" si="8"/>
        <v>150759.81609343248</v>
      </c>
      <c r="L126" s="51">
        <f t="shared" si="9"/>
        <v>150759.81609343248</v>
      </c>
      <c r="M126" s="68">
        <f t="shared" si="10"/>
        <v>150759.81609343248</v>
      </c>
      <c r="N126" s="72">
        <f t="shared" si="11"/>
        <v>452818.83939333295</v>
      </c>
      <c r="O126" s="55">
        <f t="shared" si="12"/>
        <v>452818.83939333295</v>
      </c>
      <c r="P126" s="77">
        <f t="shared" si="13"/>
        <v>704444.79362441076</v>
      </c>
      <c r="Q126" s="53">
        <f t="shared" si="14"/>
        <v>402385.77032451029</v>
      </c>
    </row>
    <row r="127" spans="1:17" x14ac:dyDescent="0.25">
      <c r="A127" s="35">
        <v>710</v>
      </c>
      <c r="B127" s="35" t="s">
        <v>18</v>
      </c>
      <c r="C127" s="36">
        <f>IFERROR(VLOOKUP($A127,'Pipe Rate'!$A$1:$AC$23,MATCH($B127,'Pipe Rate'!$B$1:$AC$1,0)+1,0),"N/F")</f>
        <v>332.29189518554233</v>
      </c>
      <c r="D127" s="65">
        <v>554</v>
      </c>
      <c r="E127" s="51">
        <v>554</v>
      </c>
      <c r="F127" s="68">
        <v>554</v>
      </c>
      <c r="G127" s="72">
        <v>936</v>
      </c>
      <c r="H127" s="55">
        <v>936</v>
      </c>
      <c r="I127" s="77">
        <v>1295</v>
      </c>
      <c r="J127" s="53">
        <v>914</v>
      </c>
      <c r="K127" s="65">
        <f t="shared" si="8"/>
        <v>184089.70993279046</v>
      </c>
      <c r="L127" s="51">
        <f t="shared" si="9"/>
        <v>184089.70993279046</v>
      </c>
      <c r="M127" s="68">
        <f t="shared" si="10"/>
        <v>184089.70993279046</v>
      </c>
      <c r="N127" s="72">
        <f t="shared" si="11"/>
        <v>311025.21389366762</v>
      </c>
      <c r="O127" s="55">
        <f t="shared" si="12"/>
        <v>311025.21389366762</v>
      </c>
      <c r="P127" s="77">
        <f t="shared" si="13"/>
        <v>430318.0042652773</v>
      </c>
      <c r="Q127" s="53">
        <f t="shared" si="14"/>
        <v>303714.7921995857</v>
      </c>
    </row>
    <row r="128" spans="1:17" x14ac:dyDescent="0.25">
      <c r="A128" s="35">
        <v>710</v>
      </c>
      <c r="B128" s="35" t="s">
        <v>21</v>
      </c>
      <c r="C128" s="36">
        <f>IFERROR(VLOOKUP($A128,'Pipe Rate'!$A$1:$AC$23,MATCH($B128,'Pipe Rate'!$B$1:$AC$1,0)+1,0),"N/F")</f>
        <v>479.49720475273767</v>
      </c>
      <c r="D128" s="65"/>
      <c r="E128" s="51"/>
      <c r="F128" s="68"/>
      <c r="G128" s="72"/>
      <c r="H128" s="55"/>
      <c r="I128" s="77">
        <v>197</v>
      </c>
      <c r="J128" s="53">
        <v>197</v>
      </c>
      <c r="K128" s="65">
        <f t="shared" si="8"/>
        <v>0</v>
      </c>
      <c r="L128" s="51">
        <f t="shared" si="9"/>
        <v>0</v>
      </c>
      <c r="M128" s="68">
        <f t="shared" si="10"/>
        <v>0</v>
      </c>
      <c r="N128" s="72">
        <f t="shared" si="11"/>
        <v>0</v>
      </c>
      <c r="O128" s="55">
        <f t="shared" si="12"/>
        <v>0</v>
      </c>
      <c r="P128" s="77">
        <f t="shared" si="13"/>
        <v>94460.949336289326</v>
      </c>
      <c r="Q128" s="53">
        <f t="shared" si="14"/>
        <v>94460.949336289326</v>
      </c>
    </row>
    <row r="129" spans="1:17" x14ac:dyDescent="0.25">
      <c r="A129" s="35">
        <v>710</v>
      </c>
      <c r="B129" s="35" t="s">
        <v>25</v>
      </c>
      <c r="C129" s="36">
        <f>IFERROR(VLOOKUP($A129,'Pipe Rate'!$A$1:$AC$23,MATCH($B129,'Pipe Rate'!$B$1:$AC$1,0)+1,0),"N/F")</f>
        <v>590.78850597584824</v>
      </c>
      <c r="D129" s="65">
        <v>288</v>
      </c>
      <c r="E129" s="51">
        <v>288</v>
      </c>
      <c r="F129" s="68">
        <v>288</v>
      </c>
      <c r="G129" s="72">
        <v>288</v>
      </c>
      <c r="H129" s="55">
        <v>288</v>
      </c>
      <c r="I129" s="77">
        <v>389</v>
      </c>
      <c r="J129" s="53">
        <v>389</v>
      </c>
      <c r="K129" s="65">
        <f t="shared" si="8"/>
        <v>170147.08972104429</v>
      </c>
      <c r="L129" s="51">
        <f t="shared" si="9"/>
        <v>170147.08972104429</v>
      </c>
      <c r="M129" s="68">
        <f t="shared" si="10"/>
        <v>170147.08972104429</v>
      </c>
      <c r="N129" s="72">
        <f t="shared" si="11"/>
        <v>170147.08972104429</v>
      </c>
      <c r="O129" s="55">
        <f t="shared" si="12"/>
        <v>170147.08972104429</v>
      </c>
      <c r="P129" s="77">
        <f t="shared" si="13"/>
        <v>229816.72882460497</v>
      </c>
      <c r="Q129" s="53">
        <f t="shared" si="14"/>
        <v>229816.72882460497</v>
      </c>
    </row>
    <row r="130" spans="1:17" x14ac:dyDescent="0.25">
      <c r="A130" s="35">
        <v>710</v>
      </c>
      <c r="B130" s="35" t="s">
        <v>27</v>
      </c>
      <c r="C130" s="36">
        <f>IFERROR(VLOOKUP($A130,'Pipe Rate'!$A$1:$AC$23,MATCH($B130,'Pipe Rate'!$B$1:$AC$1,0)+1,0),"N/F")</f>
        <v>727.91051821284282</v>
      </c>
      <c r="D130" s="65">
        <v>960</v>
      </c>
      <c r="E130" s="51">
        <v>960</v>
      </c>
      <c r="F130" s="68">
        <v>960</v>
      </c>
      <c r="G130" s="72">
        <v>960</v>
      </c>
      <c r="H130" s="55">
        <v>960</v>
      </c>
      <c r="I130" s="77">
        <v>1348</v>
      </c>
      <c r="J130" s="53">
        <v>1348</v>
      </c>
      <c r="K130" s="65">
        <f t="shared" si="8"/>
        <v>698794.09748432913</v>
      </c>
      <c r="L130" s="51">
        <f t="shared" si="9"/>
        <v>698794.09748432913</v>
      </c>
      <c r="M130" s="68">
        <f t="shared" si="10"/>
        <v>698794.09748432913</v>
      </c>
      <c r="N130" s="72">
        <f t="shared" si="11"/>
        <v>698794.09748432913</v>
      </c>
      <c r="O130" s="55">
        <f t="shared" si="12"/>
        <v>698794.09748432913</v>
      </c>
      <c r="P130" s="77">
        <f t="shared" si="13"/>
        <v>981223.37855091214</v>
      </c>
      <c r="Q130" s="53">
        <f t="shared" si="14"/>
        <v>981223.37855091214</v>
      </c>
    </row>
    <row r="131" spans="1:17" x14ac:dyDescent="0.25">
      <c r="A131" s="35">
        <v>710</v>
      </c>
      <c r="B131" s="35" t="s">
        <v>101</v>
      </c>
      <c r="C131" s="36">
        <f>IFERROR(VLOOKUP($A131,'Pipe Rate'!$A$1:$AC$23,MATCH($B131,'Pipe Rate'!$B$1:$AC$1,0)+1,0),"N/F")</f>
        <v>1050.3748777811322</v>
      </c>
      <c r="D131" s="65"/>
      <c r="E131" s="51"/>
      <c r="F131" s="68"/>
      <c r="G131" s="72"/>
      <c r="H131" s="55"/>
      <c r="I131" s="77">
        <v>222</v>
      </c>
      <c r="J131" s="53">
        <v>222</v>
      </c>
      <c r="K131" s="65">
        <f t="shared" si="8"/>
        <v>0</v>
      </c>
      <c r="L131" s="51">
        <f t="shared" si="9"/>
        <v>0</v>
      </c>
      <c r="M131" s="68">
        <f t="shared" si="10"/>
        <v>0</v>
      </c>
      <c r="N131" s="72">
        <f t="shared" si="11"/>
        <v>0</v>
      </c>
      <c r="O131" s="55">
        <f t="shared" si="12"/>
        <v>0</v>
      </c>
      <c r="P131" s="77">
        <f t="shared" si="13"/>
        <v>233183.22286741136</v>
      </c>
      <c r="Q131" s="53">
        <f t="shared" si="14"/>
        <v>233183.22286741136</v>
      </c>
    </row>
    <row r="132" spans="1:17" x14ac:dyDescent="0.25">
      <c r="A132" s="35">
        <v>710</v>
      </c>
      <c r="B132" s="35" t="s">
        <v>104</v>
      </c>
      <c r="C132" s="36">
        <f>IFERROR(VLOOKUP($A132,'Pipe Rate'!$A$1:$AC$23,MATCH($B132,'Pipe Rate'!$B$1:$AC$1,0)+1,0),"N/F")</f>
        <v>1294.1668869141331</v>
      </c>
      <c r="D132" s="65"/>
      <c r="E132" s="51"/>
      <c r="F132" s="68"/>
      <c r="G132" s="72"/>
      <c r="H132" s="55"/>
      <c r="I132" s="77">
        <v>100</v>
      </c>
      <c r="J132" s="53">
        <v>100</v>
      </c>
      <c r="K132" s="65">
        <f t="shared" si="8"/>
        <v>0</v>
      </c>
      <c r="L132" s="51">
        <f t="shared" ref="L132:L195" si="15">IFERROR(E132*$C132,0)</f>
        <v>0</v>
      </c>
      <c r="M132" s="68">
        <f t="shared" ref="M132:M195" si="16">IFERROR(F132*$C132,0)</f>
        <v>0</v>
      </c>
      <c r="N132" s="72">
        <f t="shared" ref="N132:N195" si="17">IFERROR(G132*$C132,0)</f>
        <v>0</v>
      </c>
      <c r="O132" s="55">
        <f t="shared" ref="O132:O195" si="18">IFERROR(H132*$C132,0)</f>
        <v>0</v>
      </c>
      <c r="P132" s="77">
        <f t="shared" ref="P132:P195" si="19">IFERROR(I132*$C132,0)</f>
        <v>129416.68869141331</v>
      </c>
      <c r="Q132" s="53">
        <f t="shared" ref="Q132:Q195" si="20">IFERROR(J132*$C132,0)</f>
        <v>129416.68869141331</v>
      </c>
    </row>
    <row r="133" spans="1:17" x14ac:dyDescent="0.25">
      <c r="A133" s="35">
        <v>710</v>
      </c>
      <c r="B133" s="35" t="s">
        <v>106</v>
      </c>
      <c r="C133" s="36">
        <f>IFERROR(VLOOKUP($A133,'Pipe Rate'!$A$1:$AC$23,MATCH($B133,'Pipe Rate'!$B$1:$AC$1,0)+1,0),"N/F")</f>
        <v>1594.5430213669038</v>
      </c>
      <c r="D133" s="65"/>
      <c r="E133" s="51"/>
      <c r="F133" s="68"/>
      <c r="G133" s="72"/>
      <c r="H133" s="55"/>
      <c r="I133" s="77">
        <v>252</v>
      </c>
      <c r="J133" s="53">
        <v>252</v>
      </c>
      <c r="K133" s="65">
        <f t="shared" si="8"/>
        <v>0</v>
      </c>
      <c r="L133" s="51">
        <f t="shared" si="15"/>
        <v>0</v>
      </c>
      <c r="M133" s="68">
        <f t="shared" si="16"/>
        <v>0</v>
      </c>
      <c r="N133" s="72">
        <f t="shared" si="17"/>
        <v>0</v>
      </c>
      <c r="O133" s="55">
        <f t="shared" si="18"/>
        <v>0</v>
      </c>
      <c r="P133" s="77">
        <f t="shared" si="19"/>
        <v>401824.84138445975</v>
      </c>
      <c r="Q133" s="53">
        <f t="shared" si="20"/>
        <v>401824.84138445975</v>
      </c>
    </row>
    <row r="134" spans="1:17" x14ac:dyDescent="0.25">
      <c r="A134" s="35">
        <v>800</v>
      </c>
      <c r="B134" s="35" t="s">
        <v>5</v>
      </c>
      <c r="C134" s="36">
        <f>IFERROR(VLOOKUP($A134,'Pipe Rate'!$A$1:$AC$23,MATCH($B134,'Pipe Rate'!$B$1:$AC$1,0)+1,0),"N/F")</f>
        <v>105.46776000000001</v>
      </c>
      <c r="D134" s="65">
        <v>434</v>
      </c>
      <c r="E134" s="51">
        <v>434</v>
      </c>
      <c r="F134" s="68">
        <v>434</v>
      </c>
      <c r="G134" s="72">
        <v>434</v>
      </c>
      <c r="H134" s="55">
        <v>434</v>
      </c>
      <c r="I134" s="77">
        <v>434</v>
      </c>
      <c r="J134" s="53">
        <v>434</v>
      </c>
      <c r="K134" s="65">
        <f t="shared" si="8"/>
        <v>45773.007840000006</v>
      </c>
      <c r="L134" s="51">
        <f t="shared" si="15"/>
        <v>45773.007840000006</v>
      </c>
      <c r="M134" s="68">
        <f t="shared" si="16"/>
        <v>45773.007840000006</v>
      </c>
      <c r="N134" s="72">
        <f t="shared" si="17"/>
        <v>45773.007840000006</v>
      </c>
      <c r="O134" s="55">
        <f t="shared" si="18"/>
        <v>45773.007840000006</v>
      </c>
      <c r="P134" s="77">
        <f t="shared" si="19"/>
        <v>45773.007840000006</v>
      </c>
      <c r="Q134" s="53">
        <f t="shared" si="20"/>
        <v>45773.007840000006</v>
      </c>
    </row>
    <row r="135" spans="1:17" x14ac:dyDescent="0.25">
      <c r="A135" s="35">
        <v>800</v>
      </c>
      <c r="B135" s="35" t="s">
        <v>6</v>
      </c>
      <c r="C135" s="36">
        <f>IFERROR(VLOOKUP($A135,'Pipe Rate'!$A$1:$AC$23,MATCH($B135,'Pipe Rate'!$B$1:$AC$1,0)+1,0),"N/F")</f>
        <v>117.06921360000003</v>
      </c>
      <c r="D135" s="65">
        <v>414</v>
      </c>
      <c r="E135" s="51">
        <v>414</v>
      </c>
      <c r="F135" s="68">
        <v>414</v>
      </c>
      <c r="G135" s="72">
        <v>414</v>
      </c>
      <c r="H135" s="55">
        <v>414</v>
      </c>
      <c r="I135" s="77">
        <v>414</v>
      </c>
      <c r="J135" s="53">
        <v>414</v>
      </c>
      <c r="K135" s="65">
        <f t="shared" si="8"/>
        <v>48466.654430400013</v>
      </c>
      <c r="L135" s="51">
        <f t="shared" si="15"/>
        <v>48466.654430400013</v>
      </c>
      <c r="M135" s="68">
        <f t="shared" si="16"/>
        <v>48466.654430400013</v>
      </c>
      <c r="N135" s="72">
        <f t="shared" si="17"/>
        <v>48466.654430400013</v>
      </c>
      <c r="O135" s="55">
        <f t="shared" si="18"/>
        <v>48466.654430400013</v>
      </c>
      <c r="P135" s="77">
        <f t="shared" si="19"/>
        <v>48466.654430400013</v>
      </c>
      <c r="Q135" s="53">
        <f t="shared" si="20"/>
        <v>48466.654430400013</v>
      </c>
    </row>
    <row r="136" spans="1:17" x14ac:dyDescent="0.25">
      <c r="A136" s="35">
        <v>800</v>
      </c>
      <c r="B136" s="35" t="s">
        <v>7</v>
      </c>
      <c r="C136" s="36">
        <f>IFERROR(VLOOKUP($A136,'Pipe Rate'!$A$1:$AC$23,MATCH($B136,'Pipe Rate'!$B$1:$AC$1,0)+1,0),"N/F")</f>
        <v>129.94682709600005</v>
      </c>
      <c r="D136" s="65">
        <v>277</v>
      </c>
      <c r="E136" s="51">
        <v>277</v>
      </c>
      <c r="F136" s="68">
        <v>277</v>
      </c>
      <c r="G136" s="72">
        <v>334</v>
      </c>
      <c r="H136" s="55">
        <v>334</v>
      </c>
      <c r="I136" s="77">
        <v>334</v>
      </c>
      <c r="J136" s="53">
        <v>277</v>
      </c>
      <c r="K136" s="65">
        <f t="shared" si="8"/>
        <v>35995.271105592015</v>
      </c>
      <c r="L136" s="51">
        <f t="shared" si="15"/>
        <v>35995.271105592015</v>
      </c>
      <c r="M136" s="68">
        <f t="shared" si="16"/>
        <v>35995.271105592015</v>
      </c>
      <c r="N136" s="72">
        <f t="shared" si="17"/>
        <v>43402.240250064016</v>
      </c>
      <c r="O136" s="55">
        <f t="shared" si="18"/>
        <v>43402.240250064016</v>
      </c>
      <c r="P136" s="77">
        <f t="shared" si="19"/>
        <v>43402.240250064016</v>
      </c>
      <c r="Q136" s="53">
        <f t="shared" si="20"/>
        <v>35995.271105592015</v>
      </c>
    </row>
    <row r="137" spans="1:17" x14ac:dyDescent="0.25">
      <c r="A137" s="35">
        <v>800</v>
      </c>
      <c r="B137" s="35" t="s">
        <v>8</v>
      </c>
      <c r="C137" s="36">
        <f>IFERROR(VLOOKUP($A137,'Pipe Rate'!$A$1:$AC$23,MATCH($B137,'Pipe Rate'!$B$1:$AC$1,0)+1,0),"N/F")</f>
        <v>144.24097807656005</v>
      </c>
      <c r="D137" s="65">
        <v>412</v>
      </c>
      <c r="E137" s="51">
        <v>412</v>
      </c>
      <c r="F137" s="68">
        <v>412</v>
      </c>
      <c r="G137" s="72">
        <v>553</v>
      </c>
      <c r="H137" s="55">
        <v>553</v>
      </c>
      <c r="I137" s="77">
        <v>553</v>
      </c>
      <c r="J137" s="53">
        <v>412</v>
      </c>
      <c r="K137" s="65">
        <f t="shared" si="8"/>
        <v>59427.282967542742</v>
      </c>
      <c r="L137" s="51">
        <f t="shared" si="15"/>
        <v>59427.282967542742</v>
      </c>
      <c r="M137" s="68">
        <f t="shared" si="16"/>
        <v>59427.282967542742</v>
      </c>
      <c r="N137" s="72">
        <f t="shared" si="17"/>
        <v>79765.260876337707</v>
      </c>
      <c r="O137" s="55">
        <f t="shared" si="18"/>
        <v>79765.260876337707</v>
      </c>
      <c r="P137" s="77">
        <f t="shared" si="19"/>
        <v>79765.260876337707</v>
      </c>
      <c r="Q137" s="53">
        <f t="shared" si="20"/>
        <v>59427.282967542742</v>
      </c>
    </row>
    <row r="138" spans="1:17" x14ac:dyDescent="0.25">
      <c r="A138" s="35">
        <v>800</v>
      </c>
      <c r="B138" s="35" t="s">
        <v>10</v>
      </c>
      <c r="C138" s="36">
        <f>IFERROR(VLOOKUP($A138,'Pipe Rate'!$A$1:$AC$23,MATCH($B138,'Pipe Rate'!$B$1:$AC$1,0)+1,0),"N/F")</f>
        <v>177.71930908812968</v>
      </c>
      <c r="D138" s="65">
        <v>89</v>
      </c>
      <c r="E138" s="51">
        <v>89</v>
      </c>
      <c r="F138" s="68">
        <v>89</v>
      </c>
      <c r="G138" s="72">
        <v>1371</v>
      </c>
      <c r="H138" s="55">
        <v>1371</v>
      </c>
      <c r="I138" s="77">
        <v>1371</v>
      </c>
      <c r="J138" s="53">
        <v>89</v>
      </c>
      <c r="K138" s="65">
        <f t="shared" si="8"/>
        <v>15817.018508843541</v>
      </c>
      <c r="L138" s="51">
        <f t="shared" si="15"/>
        <v>15817.018508843541</v>
      </c>
      <c r="M138" s="68">
        <f t="shared" si="16"/>
        <v>15817.018508843541</v>
      </c>
      <c r="N138" s="72">
        <f t="shared" si="17"/>
        <v>243653.1727598258</v>
      </c>
      <c r="O138" s="55">
        <f t="shared" si="18"/>
        <v>243653.1727598258</v>
      </c>
      <c r="P138" s="77">
        <f t="shared" si="19"/>
        <v>243653.1727598258</v>
      </c>
      <c r="Q138" s="53">
        <f t="shared" si="20"/>
        <v>15817.018508843541</v>
      </c>
    </row>
    <row r="139" spans="1:17" x14ac:dyDescent="0.25">
      <c r="A139" s="35">
        <v>800</v>
      </c>
      <c r="B139" s="35" t="s">
        <v>12</v>
      </c>
      <c r="C139" s="36">
        <f>IFERROR(VLOOKUP($A139,'Pipe Rate'!$A$1:$AC$23,MATCH($B139,'Pipe Rate'!$B$1:$AC$1,0)+1,0),"N/F")</f>
        <v>218.96796072748461</v>
      </c>
      <c r="D139" s="65">
        <v>459</v>
      </c>
      <c r="E139" s="51">
        <v>459</v>
      </c>
      <c r="F139" s="68">
        <v>459</v>
      </c>
      <c r="G139" s="72">
        <v>1195</v>
      </c>
      <c r="H139" s="55">
        <v>1195</v>
      </c>
      <c r="I139" s="77">
        <v>1195</v>
      </c>
      <c r="J139" s="53">
        <v>459</v>
      </c>
      <c r="K139" s="65">
        <f t="shared" si="8"/>
        <v>100506.29397391544</v>
      </c>
      <c r="L139" s="51">
        <f t="shared" si="15"/>
        <v>100506.29397391544</v>
      </c>
      <c r="M139" s="68">
        <f t="shared" si="16"/>
        <v>100506.29397391544</v>
      </c>
      <c r="N139" s="72">
        <f t="shared" si="17"/>
        <v>261666.71306934411</v>
      </c>
      <c r="O139" s="55">
        <f t="shared" si="18"/>
        <v>261666.71306934411</v>
      </c>
      <c r="P139" s="77">
        <f t="shared" si="19"/>
        <v>261666.71306934411</v>
      </c>
      <c r="Q139" s="53">
        <f t="shared" si="20"/>
        <v>100506.29397391544</v>
      </c>
    </row>
    <row r="140" spans="1:17" x14ac:dyDescent="0.25">
      <c r="A140" s="35">
        <v>800</v>
      </c>
      <c r="B140" s="35" t="s">
        <v>14</v>
      </c>
      <c r="C140" s="36">
        <f>IFERROR(VLOOKUP($A140,'Pipe Rate'!$A$1:$AC$23,MATCH($B140,'Pipe Rate'!$B$1:$AC$1,0)+1,0),"N/F")</f>
        <v>315.97076732976029</v>
      </c>
      <c r="D140" s="65">
        <v>612</v>
      </c>
      <c r="E140" s="51">
        <v>612</v>
      </c>
      <c r="F140" s="68">
        <v>612</v>
      </c>
      <c r="G140" s="72">
        <v>1113</v>
      </c>
      <c r="H140" s="55">
        <v>1486</v>
      </c>
      <c r="I140" s="77">
        <v>945</v>
      </c>
      <c r="J140" s="53">
        <v>70</v>
      </c>
      <c r="K140" s="65">
        <f t="shared" si="8"/>
        <v>193374.10960581331</v>
      </c>
      <c r="L140" s="51">
        <f t="shared" si="15"/>
        <v>193374.10960581331</v>
      </c>
      <c r="M140" s="68">
        <f t="shared" si="16"/>
        <v>193374.10960581331</v>
      </c>
      <c r="N140" s="72">
        <f t="shared" si="17"/>
        <v>351675.4640380232</v>
      </c>
      <c r="O140" s="55">
        <f t="shared" si="18"/>
        <v>469532.5602520238</v>
      </c>
      <c r="P140" s="77">
        <f t="shared" si="19"/>
        <v>298592.37512662349</v>
      </c>
      <c r="Q140" s="53">
        <f t="shared" si="20"/>
        <v>22117.953713083221</v>
      </c>
    </row>
    <row r="141" spans="1:17" x14ac:dyDescent="0.25">
      <c r="A141" s="35">
        <v>800</v>
      </c>
      <c r="B141" s="35" t="s">
        <v>16</v>
      </c>
      <c r="C141" s="36">
        <f>IFERROR(VLOOKUP($A141,'Pipe Rate'!$A$1:$AC$23,MATCH($B141,'Pipe Rate'!$B$1:$AC$1,0)+1,0),"N/F")</f>
        <v>389.30758242699773</v>
      </c>
      <c r="D141" s="65">
        <v>1179</v>
      </c>
      <c r="E141" s="51">
        <v>1179</v>
      </c>
      <c r="F141" s="68">
        <v>1179</v>
      </c>
      <c r="G141" s="72">
        <v>1179</v>
      </c>
      <c r="H141" s="55">
        <v>1627</v>
      </c>
      <c r="I141" s="77">
        <v>1139</v>
      </c>
      <c r="J141" s="53">
        <v>691</v>
      </c>
      <c r="K141" s="65">
        <f t="shared" si="8"/>
        <v>458993.6396814303</v>
      </c>
      <c r="L141" s="51">
        <f t="shared" si="15"/>
        <v>458993.6396814303</v>
      </c>
      <c r="M141" s="68">
        <f t="shared" si="16"/>
        <v>458993.6396814303</v>
      </c>
      <c r="N141" s="72">
        <f t="shared" si="17"/>
        <v>458993.6396814303</v>
      </c>
      <c r="O141" s="55">
        <f t="shared" si="18"/>
        <v>633403.43660872534</v>
      </c>
      <c r="P141" s="77">
        <f t="shared" si="19"/>
        <v>443421.33638435043</v>
      </c>
      <c r="Q141" s="53">
        <f t="shared" si="20"/>
        <v>269011.53945705545</v>
      </c>
    </row>
    <row r="142" spans="1:17" x14ac:dyDescent="0.25">
      <c r="A142" s="35">
        <v>800</v>
      </c>
      <c r="B142" s="35" t="s">
        <v>18</v>
      </c>
      <c r="C142" s="36">
        <f>IFERROR(VLOOKUP($A142,'Pipe Rate'!$A$1:$AC$23,MATCH($B142,'Pipe Rate'!$B$1:$AC$1,0)+1,0),"N/F")</f>
        <v>479.66587230830396</v>
      </c>
      <c r="D142" s="65">
        <v>1166</v>
      </c>
      <c r="E142" s="51">
        <v>1166</v>
      </c>
      <c r="F142" s="68">
        <v>1166</v>
      </c>
      <c r="G142" s="72">
        <v>1166</v>
      </c>
      <c r="H142" s="55">
        <v>1372</v>
      </c>
      <c r="I142" s="77">
        <v>1012</v>
      </c>
      <c r="J142" s="53">
        <v>807</v>
      </c>
      <c r="K142" s="65">
        <f t="shared" si="8"/>
        <v>559290.40711148246</v>
      </c>
      <c r="L142" s="51">
        <f t="shared" si="15"/>
        <v>559290.40711148246</v>
      </c>
      <c r="M142" s="68">
        <f t="shared" si="16"/>
        <v>559290.40711148246</v>
      </c>
      <c r="N142" s="72">
        <f t="shared" si="17"/>
        <v>559290.40711148246</v>
      </c>
      <c r="O142" s="55">
        <f t="shared" si="18"/>
        <v>658101.57680699299</v>
      </c>
      <c r="P142" s="77">
        <f t="shared" si="19"/>
        <v>485421.8627760036</v>
      </c>
      <c r="Q142" s="53">
        <f t="shared" si="20"/>
        <v>387090.35895280127</v>
      </c>
    </row>
    <row r="143" spans="1:17" x14ac:dyDescent="0.25">
      <c r="A143" s="35">
        <v>800</v>
      </c>
      <c r="B143" s="35" t="s">
        <v>21</v>
      </c>
      <c r="C143" s="36">
        <f>IFERROR(VLOOKUP($A143,'Pipe Rate'!$A$1:$AC$23,MATCH($B143,'Pipe Rate'!$B$1:$AC$1,0)+1,0),"N/F")</f>
        <v>692.15785374088273</v>
      </c>
      <c r="D143" s="65">
        <v>783</v>
      </c>
      <c r="E143" s="51">
        <v>783</v>
      </c>
      <c r="F143" s="68">
        <v>783</v>
      </c>
      <c r="G143" s="72">
        <v>783</v>
      </c>
      <c r="H143" s="55">
        <v>783</v>
      </c>
      <c r="I143" s="77">
        <v>586</v>
      </c>
      <c r="J143" s="53">
        <v>586</v>
      </c>
      <c r="K143" s="65">
        <f t="shared" si="8"/>
        <v>541959.59947911114</v>
      </c>
      <c r="L143" s="51">
        <f t="shared" si="15"/>
        <v>541959.59947911114</v>
      </c>
      <c r="M143" s="68">
        <f t="shared" si="16"/>
        <v>541959.59947911114</v>
      </c>
      <c r="N143" s="72">
        <f t="shared" si="17"/>
        <v>541959.59947911114</v>
      </c>
      <c r="O143" s="55">
        <f t="shared" si="18"/>
        <v>541959.59947911114</v>
      </c>
      <c r="P143" s="77">
        <f t="shared" si="19"/>
        <v>405604.50229215727</v>
      </c>
      <c r="Q143" s="53">
        <f t="shared" si="20"/>
        <v>405604.50229215727</v>
      </c>
    </row>
    <row r="144" spans="1:17" x14ac:dyDescent="0.25">
      <c r="A144" s="35">
        <v>800</v>
      </c>
      <c r="B144" s="35" t="s">
        <v>25</v>
      </c>
      <c r="C144" s="36">
        <f>IFERROR(VLOOKUP($A144,'Pipe Rate'!$A$1:$AC$23,MATCH($B144,'Pipe Rate'!$B$1:$AC$1,0)+1,0),"N/F")</f>
        <v>852.80769159414172</v>
      </c>
      <c r="D144" s="65">
        <v>178</v>
      </c>
      <c r="E144" s="51">
        <v>178</v>
      </c>
      <c r="F144" s="68">
        <v>178</v>
      </c>
      <c r="G144" s="72">
        <v>286</v>
      </c>
      <c r="H144" s="55">
        <v>286</v>
      </c>
      <c r="I144" s="77">
        <v>185</v>
      </c>
      <c r="J144" s="53">
        <v>77</v>
      </c>
      <c r="K144" s="65">
        <f t="shared" si="8"/>
        <v>151799.76910375722</v>
      </c>
      <c r="L144" s="51">
        <f t="shared" si="15"/>
        <v>151799.76910375722</v>
      </c>
      <c r="M144" s="68">
        <f t="shared" si="16"/>
        <v>151799.76910375722</v>
      </c>
      <c r="N144" s="72">
        <f t="shared" si="17"/>
        <v>243902.99979592452</v>
      </c>
      <c r="O144" s="55">
        <f t="shared" si="18"/>
        <v>243902.99979592452</v>
      </c>
      <c r="P144" s="77">
        <f t="shared" si="19"/>
        <v>157769.42294491621</v>
      </c>
      <c r="Q144" s="53">
        <f t="shared" si="20"/>
        <v>65666.192252748908</v>
      </c>
    </row>
    <row r="145" spans="1:17" x14ac:dyDescent="0.25">
      <c r="A145" s="35">
        <v>800</v>
      </c>
      <c r="B145" s="35" t="s">
        <v>27</v>
      </c>
      <c r="C145" s="36">
        <f>IFERROR(VLOOKUP($A145,'Pipe Rate'!$A$1:$AC$23,MATCH($B145,'Pipe Rate'!$B$1:$AC$1,0)+1,0),"N/F")</f>
        <v>1050.7443568131421</v>
      </c>
      <c r="D145" s="65">
        <v>388</v>
      </c>
      <c r="E145" s="51">
        <v>388</v>
      </c>
      <c r="F145" s="68">
        <v>388</v>
      </c>
      <c r="G145" s="72">
        <v>488</v>
      </c>
      <c r="H145" s="55">
        <v>488</v>
      </c>
      <c r="I145" s="77">
        <v>100</v>
      </c>
      <c r="J145" s="53"/>
      <c r="K145" s="65">
        <f t="shared" si="8"/>
        <v>407688.81044349913</v>
      </c>
      <c r="L145" s="51">
        <f t="shared" si="15"/>
        <v>407688.81044349913</v>
      </c>
      <c r="M145" s="68">
        <f t="shared" si="16"/>
        <v>407688.81044349913</v>
      </c>
      <c r="N145" s="72">
        <f t="shared" si="17"/>
        <v>512763.24612481333</v>
      </c>
      <c r="O145" s="55">
        <f t="shared" si="18"/>
        <v>512763.24612481333</v>
      </c>
      <c r="P145" s="77">
        <f t="shared" si="19"/>
        <v>105074.43568131421</v>
      </c>
      <c r="Q145" s="53">
        <f t="shared" si="20"/>
        <v>0</v>
      </c>
    </row>
    <row r="146" spans="1:17" x14ac:dyDescent="0.25">
      <c r="A146" s="35">
        <v>800</v>
      </c>
      <c r="B146" s="35" t="s">
        <v>101</v>
      </c>
      <c r="C146" s="36">
        <f>IFERROR(VLOOKUP($A146,'Pipe Rate'!$A$1:$AC$23,MATCH($B146,'Pipe Rate'!$B$1:$AC$1,0)+1,0),"N/F")</f>
        <v>1516.2241068813642</v>
      </c>
      <c r="D146" s="65">
        <v>222</v>
      </c>
      <c r="E146" s="51">
        <v>222</v>
      </c>
      <c r="F146" s="68">
        <v>222</v>
      </c>
      <c r="G146" s="72">
        <v>222</v>
      </c>
      <c r="H146" s="55">
        <v>222</v>
      </c>
      <c r="I146" s="77"/>
      <c r="J146" s="53"/>
      <c r="K146" s="65">
        <f t="shared" si="8"/>
        <v>336601.75172766286</v>
      </c>
      <c r="L146" s="51">
        <f t="shared" si="15"/>
        <v>336601.75172766286</v>
      </c>
      <c r="M146" s="68">
        <f t="shared" si="16"/>
        <v>336601.75172766286</v>
      </c>
      <c r="N146" s="72">
        <f t="shared" si="17"/>
        <v>336601.75172766286</v>
      </c>
      <c r="O146" s="55">
        <f t="shared" si="18"/>
        <v>336601.75172766286</v>
      </c>
      <c r="P146" s="77">
        <f t="shared" si="19"/>
        <v>0</v>
      </c>
      <c r="Q146" s="53">
        <f t="shared" si="20"/>
        <v>0</v>
      </c>
    </row>
    <row r="147" spans="1:17" x14ac:dyDescent="0.25">
      <c r="A147" s="35">
        <v>800</v>
      </c>
      <c r="B147" s="35" t="s">
        <v>104</v>
      </c>
      <c r="C147" s="36">
        <f>IFERROR(VLOOKUP($A147,'Pipe Rate'!$A$1:$AC$23,MATCH($B147,'Pipe Rate'!$B$1:$AC$1,0)+1,0),"N/F")</f>
        <v>1868.139722088529</v>
      </c>
      <c r="D147" s="65">
        <v>100</v>
      </c>
      <c r="E147" s="51">
        <v>100</v>
      </c>
      <c r="F147" s="68">
        <v>100</v>
      </c>
      <c r="G147" s="72">
        <v>100</v>
      </c>
      <c r="H147" s="55">
        <v>100</v>
      </c>
      <c r="I147" s="77"/>
      <c r="J147" s="53"/>
      <c r="K147" s="65">
        <f t="shared" si="8"/>
        <v>186813.97220885291</v>
      </c>
      <c r="L147" s="51">
        <f t="shared" si="15"/>
        <v>186813.97220885291</v>
      </c>
      <c r="M147" s="68">
        <f t="shared" si="16"/>
        <v>186813.97220885291</v>
      </c>
      <c r="N147" s="72">
        <f t="shared" si="17"/>
        <v>186813.97220885291</v>
      </c>
      <c r="O147" s="55">
        <f t="shared" si="18"/>
        <v>186813.97220885291</v>
      </c>
      <c r="P147" s="77">
        <f t="shared" si="19"/>
        <v>0</v>
      </c>
      <c r="Q147" s="53">
        <f t="shared" si="20"/>
        <v>0</v>
      </c>
    </row>
    <row r="148" spans="1:17" x14ac:dyDescent="0.25">
      <c r="A148" s="35">
        <v>800</v>
      </c>
      <c r="B148" s="35" t="s">
        <v>106</v>
      </c>
      <c r="C148" s="36">
        <f>IFERROR(VLOOKUP($A148,'Pipe Rate'!$A$1:$AC$23,MATCH($B148,'Pipe Rate'!$B$1:$AC$1,0)+1,0),"N/F")</f>
        <v>2301.734951585277</v>
      </c>
      <c r="D148" s="65">
        <v>196</v>
      </c>
      <c r="E148" s="51">
        <v>196</v>
      </c>
      <c r="F148" s="68">
        <v>196</v>
      </c>
      <c r="G148" s="72">
        <v>196</v>
      </c>
      <c r="H148" s="55">
        <v>196</v>
      </c>
      <c r="I148" s="77"/>
      <c r="J148" s="53"/>
      <c r="K148" s="65">
        <f t="shared" si="8"/>
        <v>451140.0505107143</v>
      </c>
      <c r="L148" s="51">
        <f t="shared" si="15"/>
        <v>451140.0505107143</v>
      </c>
      <c r="M148" s="68">
        <f t="shared" si="16"/>
        <v>451140.0505107143</v>
      </c>
      <c r="N148" s="72">
        <f t="shared" si="17"/>
        <v>451140.0505107143</v>
      </c>
      <c r="O148" s="55">
        <f t="shared" si="18"/>
        <v>451140.0505107143</v>
      </c>
      <c r="P148" s="77">
        <f t="shared" si="19"/>
        <v>0</v>
      </c>
      <c r="Q148" s="53">
        <f t="shared" si="20"/>
        <v>0</v>
      </c>
    </row>
    <row r="149" spans="1:17" x14ac:dyDescent="0.25">
      <c r="A149" s="35">
        <v>900</v>
      </c>
      <c r="B149" s="35" t="s">
        <v>5</v>
      </c>
      <c r="C149" s="36">
        <f>IFERROR(VLOOKUP($A149,'Pipe Rate'!$A$1:$AC$23,MATCH($B149,'Pipe Rate'!$B$1:$AC$1,0)+1,0),"N/F")</f>
        <v>120.99222000000002</v>
      </c>
      <c r="D149" s="65">
        <v>200</v>
      </c>
      <c r="E149" s="51">
        <v>200</v>
      </c>
      <c r="F149" s="68">
        <v>200</v>
      </c>
      <c r="G149" s="72">
        <v>200</v>
      </c>
      <c r="H149" s="55">
        <v>1288</v>
      </c>
      <c r="I149" s="77">
        <v>1288</v>
      </c>
      <c r="J149" s="53">
        <v>200</v>
      </c>
      <c r="K149" s="65">
        <f t="shared" si="8"/>
        <v>24198.444000000003</v>
      </c>
      <c r="L149" s="51">
        <f t="shared" si="15"/>
        <v>24198.444000000003</v>
      </c>
      <c r="M149" s="68">
        <f t="shared" si="16"/>
        <v>24198.444000000003</v>
      </c>
      <c r="N149" s="72">
        <f t="shared" si="17"/>
        <v>24198.444000000003</v>
      </c>
      <c r="O149" s="55">
        <f t="shared" si="18"/>
        <v>155837.97936000003</v>
      </c>
      <c r="P149" s="77">
        <f t="shared" si="19"/>
        <v>155837.97936000003</v>
      </c>
      <c r="Q149" s="53">
        <f t="shared" si="20"/>
        <v>24198.444000000003</v>
      </c>
    </row>
    <row r="150" spans="1:17" x14ac:dyDescent="0.25">
      <c r="A150" s="35">
        <v>900</v>
      </c>
      <c r="B150" s="35" t="s">
        <v>6</v>
      </c>
      <c r="C150" s="36">
        <f>IFERROR(VLOOKUP($A150,'Pipe Rate'!$A$1:$AC$23,MATCH($B150,'Pipe Rate'!$B$1:$AC$1,0)+1,0),"N/F")</f>
        <v>134.30136420000002</v>
      </c>
      <c r="D150" s="65">
        <v>326</v>
      </c>
      <c r="E150" s="51">
        <v>326</v>
      </c>
      <c r="F150" s="68">
        <v>326</v>
      </c>
      <c r="G150" s="72">
        <v>326</v>
      </c>
      <c r="H150" s="55">
        <v>893</v>
      </c>
      <c r="I150" s="77">
        <v>893</v>
      </c>
      <c r="J150" s="53">
        <v>326</v>
      </c>
      <c r="K150" s="65">
        <f t="shared" si="8"/>
        <v>43782.244729200007</v>
      </c>
      <c r="L150" s="51">
        <f t="shared" si="15"/>
        <v>43782.244729200007</v>
      </c>
      <c r="M150" s="68">
        <f t="shared" si="16"/>
        <v>43782.244729200007</v>
      </c>
      <c r="N150" s="72">
        <f t="shared" si="17"/>
        <v>43782.244729200007</v>
      </c>
      <c r="O150" s="55">
        <f t="shared" si="18"/>
        <v>119931.11823060003</v>
      </c>
      <c r="P150" s="77">
        <f t="shared" si="19"/>
        <v>119931.11823060003</v>
      </c>
      <c r="Q150" s="53">
        <f t="shared" si="20"/>
        <v>43782.244729200007</v>
      </c>
    </row>
    <row r="151" spans="1:17" x14ac:dyDescent="0.25">
      <c r="A151" s="35">
        <v>900</v>
      </c>
      <c r="B151" s="35" t="s">
        <v>7</v>
      </c>
      <c r="C151" s="36">
        <f>IFERROR(VLOOKUP($A151,'Pipe Rate'!$A$1:$AC$23,MATCH($B151,'Pipe Rate'!$B$1:$AC$1,0)+1,0),"N/F")</f>
        <v>149.07451426200004</v>
      </c>
      <c r="D151" s="65">
        <v>255</v>
      </c>
      <c r="E151" s="51">
        <v>255</v>
      </c>
      <c r="F151" s="68">
        <v>255</v>
      </c>
      <c r="G151" s="72">
        <v>255</v>
      </c>
      <c r="H151" s="55">
        <v>333</v>
      </c>
      <c r="I151" s="77">
        <v>333</v>
      </c>
      <c r="J151" s="53">
        <v>255</v>
      </c>
      <c r="K151" s="65">
        <f t="shared" si="8"/>
        <v>38014.001136810009</v>
      </c>
      <c r="L151" s="51">
        <f t="shared" si="15"/>
        <v>38014.001136810009</v>
      </c>
      <c r="M151" s="68">
        <f t="shared" si="16"/>
        <v>38014.001136810009</v>
      </c>
      <c r="N151" s="72">
        <f t="shared" si="17"/>
        <v>38014.001136810009</v>
      </c>
      <c r="O151" s="55">
        <f t="shared" si="18"/>
        <v>49641.813249246014</v>
      </c>
      <c r="P151" s="77">
        <f t="shared" si="19"/>
        <v>49641.813249246014</v>
      </c>
      <c r="Q151" s="53">
        <f t="shared" si="20"/>
        <v>38014.001136810009</v>
      </c>
    </row>
    <row r="152" spans="1:17" x14ac:dyDescent="0.25">
      <c r="A152" s="35">
        <v>900</v>
      </c>
      <c r="B152" s="35" t="s">
        <v>8</v>
      </c>
      <c r="C152" s="36">
        <f>IFERROR(VLOOKUP($A152,'Pipe Rate'!$A$1:$AC$23,MATCH($B152,'Pipe Rate'!$B$1:$AC$1,0)+1,0),"N/F")</f>
        <v>165.47271083082006</v>
      </c>
      <c r="D152" s="65">
        <v>471</v>
      </c>
      <c r="E152" s="51">
        <v>471</v>
      </c>
      <c r="F152" s="68">
        <v>471</v>
      </c>
      <c r="G152" s="72">
        <v>471</v>
      </c>
      <c r="H152" s="55">
        <v>471</v>
      </c>
      <c r="I152" s="77">
        <v>471</v>
      </c>
      <c r="J152" s="53">
        <v>471</v>
      </c>
      <c r="K152" s="65">
        <f t="shared" si="8"/>
        <v>77937.646801316252</v>
      </c>
      <c r="L152" s="51">
        <f t="shared" si="15"/>
        <v>77937.646801316252</v>
      </c>
      <c r="M152" s="68">
        <f t="shared" si="16"/>
        <v>77937.646801316252</v>
      </c>
      <c r="N152" s="72">
        <f t="shared" si="17"/>
        <v>77937.646801316252</v>
      </c>
      <c r="O152" s="55">
        <f t="shared" si="18"/>
        <v>77937.646801316252</v>
      </c>
      <c r="P152" s="77">
        <f t="shared" si="19"/>
        <v>77937.646801316252</v>
      </c>
      <c r="Q152" s="53">
        <f t="shared" si="20"/>
        <v>77937.646801316252</v>
      </c>
    </row>
    <row r="153" spans="1:17" x14ac:dyDescent="0.25">
      <c r="A153" s="35">
        <v>900</v>
      </c>
      <c r="B153" s="35" t="s">
        <v>10</v>
      </c>
      <c r="C153" s="36">
        <f>IFERROR(VLOOKUP($A153,'Pipe Rate'!$A$1:$AC$23,MATCH($B153,'Pipe Rate'!$B$1:$AC$1,0)+1,0),"N/F")</f>
        <v>203.87892701465344</v>
      </c>
      <c r="D153" s="65">
        <v>996</v>
      </c>
      <c r="E153" s="51">
        <v>996</v>
      </c>
      <c r="F153" s="68">
        <v>996</v>
      </c>
      <c r="G153" s="72">
        <v>996</v>
      </c>
      <c r="H153" s="55">
        <v>996</v>
      </c>
      <c r="I153" s="77">
        <v>996</v>
      </c>
      <c r="J153" s="53">
        <v>996</v>
      </c>
      <c r="K153" s="65">
        <f t="shared" si="8"/>
        <v>203063.41130659482</v>
      </c>
      <c r="L153" s="51">
        <f t="shared" si="15"/>
        <v>203063.41130659482</v>
      </c>
      <c r="M153" s="68">
        <f t="shared" si="16"/>
        <v>203063.41130659482</v>
      </c>
      <c r="N153" s="72">
        <f t="shared" si="17"/>
        <v>203063.41130659482</v>
      </c>
      <c r="O153" s="55">
        <f t="shared" si="18"/>
        <v>203063.41130659482</v>
      </c>
      <c r="P153" s="77">
        <f t="shared" si="19"/>
        <v>203063.41130659482</v>
      </c>
      <c r="Q153" s="53">
        <f t="shared" si="20"/>
        <v>203063.41130659482</v>
      </c>
    </row>
    <row r="154" spans="1:17" x14ac:dyDescent="0.25">
      <c r="A154" s="35">
        <v>900</v>
      </c>
      <c r="B154" s="35" t="s">
        <v>12</v>
      </c>
      <c r="C154" s="36">
        <f>IFERROR(VLOOKUP($A154,'Pipe Rate'!$A$1:$AC$23,MATCH($B154,'Pipe Rate'!$B$1:$AC$1,0)+1,0),"N/F")</f>
        <v>251.19922597475454</v>
      </c>
      <c r="D154" s="65">
        <v>994</v>
      </c>
      <c r="E154" s="51">
        <v>994</v>
      </c>
      <c r="F154" s="68">
        <v>994</v>
      </c>
      <c r="G154" s="72">
        <v>994</v>
      </c>
      <c r="H154" s="55">
        <v>1123</v>
      </c>
      <c r="I154" s="77">
        <v>1123</v>
      </c>
      <c r="J154" s="53">
        <v>994</v>
      </c>
      <c r="K154" s="65">
        <f t="shared" si="8"/>
        <v>249692.03061890602</v>
      </c>
      <c r="L154" s="51">
        <f t="shared" si="15"/>
        <v>249692.03061890602</v>
      </c>
      <c r="M154" s="68">
        <f t="shared" si="16"/>
        <v>249692.03061890602</v>
      </c>
      <c r="N154" s="72">
        <f t="shared" si="17"/>
        <v>249692.03061890602</v>
      </c>
      <c r="O154" s="55">
        <f t="shared" si="18"/>
        <v>282096.73076964932</v>
      </c>
      <c r="P154" s="77">
        <f t="shared" si="19"/>
        <v>282096.73076964932</v>
      </c>
      <c r="Q154" s="53">
        <f t="shared" si="20"/>
        <v>249692.03061890602</v>
      </c>
    </row>
    <row r="155" spans="1:17" x14ac:dyDescent="0.25">
      <c r="A155" s="35">
        <v>900</v>
      </c>
      <c r="B155" s="35" t="s">
        <v>14</v>
      </c>
      <c r="C155" s="36">
        <f>IFERROR(VLOOKUP($A155,'Pipe Rate'!$A$1:$AC$23,MATCH($B155,'Pipe Rate'!$B$1:$AC$1,0)+1,0),"N/F")</f>
        <v>362.48048308157087</v>
      </c>
      <c r="D155" s="65">
        <v>299</v>
      </c>
      <c r="E155" s="51">
        <v>299</v>
      </c>
      <c r="F155" s="68">
        <v>299</v>
      </c>
      <c r="G155" s="72">
        <v>299</v>
      </c>
      <c r="H155" s="55">
        <v>370</v>
      </c>
      <c r="I155" s="77">
        <v>370</v>
      </c>
      <c r="J155" s="53">
        <v>299</v>
      </c>
      <c r="K155" s="65">
        <f t="shared" si="8"/>
        <v>108381.66444138969</v>
      </c>
      <c r="L155" s="51">
        <f t="shared" si="15"/>
        <v>108381.66444138969</v>
      </c>
      <c r="M155" s="68">
        <f t="shared" si="16"/>
        <v>108381.66444138969</v>
      </c>
      <c r="N155" s="72">
        <f t="shared" si="17"/>
        <v>108381.66444138969</v>
      </c>
      <c r="O155" s="55">
        <f t="shared" si="18"/>
        <v>134117.77874018121</v>
      </c>
      <c r="P155" s="77">
        <f t="shared" si="19"/>
        <v>134117.77874018121</v>
      </c>
      <c r="Q155" s="53">
        <f t="shared" si="20"/>
        <v>108381.66444138969</v>
      </c>
    </row>
    <row r="156" spans="1:17" x14ac:dyDescent="0.25">
      <c r="A156" s="35">
        <v>900</v>
      </c>
      <c r="B156" s="35" t="s">
        <v>16</v>
      </c>
      <c r="C156" s="36">
        <f>IFERROR(VLOOKUP($A156,'Pipe Rate'!$A$1:$AC$23,MATCH($B156,'Pipe Rate'!$B$1:$AC$1,0)+1,0),"N/F")</f>
        <v>446.61220320480356</v>
      </c>
      <c r="D156" s="65">
        <v>99</v>
      </c>
      <c r="E156" s="51">
        <v>99</v>
      </c>
      <c r="F156" s="68">
        <v>99</v>
      </c>
      <c r="G156" s="72">
        <v>99</v>
      </c>
      <c r="H156" s="55">
        <v>99</v>
      </c>
      <c r="I156" s="77">
        <v>189</v>
      </c>
      <c r="J156" s="53">
        <v>189</v>
      </c>
      <c r="K156" s="65">
        <f t="shared" si="8"/>
        <v>44214.608117275551</v>
      </c>
      <c r="L156" s="51">
        <f t="shared" si="15"/>
        <v>44214.608117275551</v>
      </c>
      <c r="M156" s="68">
        <f t="shared" si="16"/>
        <v>44214.608117275551</v>
      </c>
      <c r="N156" s="72">
        <f t="shared" si="17"/>
        <v>44214.608117275551</v>
      </c>
      <c r="O156" s="55">
        <f t="shared" si="18"/>
        <v>44214.608117275551</v>
      </c>
      <c r="P156" s="77">
        <f t="shared" si="19"/>
        <v>84409.706405707868</v>
      </c>
      <c r="Q156" s="53">
        <f t="shared" si="20"/>
        <v>84409.706405707868</v>
      </c>
    </row>
    <row r="157" spans="1:17" x14ac:dyDescent="0.25">
      <c r="A157" s="35">
        <v>900</v>
      </c>
      <c r="B157" s="35" t="s">
        <v>21</v>
      </c>
      <c r="C157" s="36">
        <f>IFERROR(VLOOKUP($A157,'Pipe Rate'!$A$1:$AC$23,MATCH($B157,'Pipe Rate'!$B$1:$AC$1,0)+1,0),"N/F")</f>
        <v>794.04090230554561</v>
      </c>
      <c r="D157" s="65">
        <v>140</v>
      </c>
      <c r="E157" s="51">
        <v>140</v>
      </c>
      <c r="F157" s="68">
        <v>140</v>
      </c>
      <c r="G157" s="72">
        <v>140</v>
      </c>
      <c r="H157" s="55">
        <v>140</v>
      </c>
      <c r="I157" s="77">
        <v>140</v>
      </c>
      <c r="J157" s="53">
        <v>140</v>
      </c>
      <c r="K157" s="65">
        <f t="shared" si="8"/>
        <v>111165.72632277639</v>
      </c>
      <c r="L157" s="51">
        <f t="shared" si="15"/>
        <v>111165.72632277639</v>
      </c>
      <c r="M157" s="68">
        <f t="shared" si="16"/>
        <v>111165.72632277639</v>
      </c>
      <c r="N157" s="72">
        <f t="shared" si="17"/>
        <v>111165.72632277639</v>
      </c>
      <c r="O157" s="55">
        <f t="shared" si="18"/>
        <v>111165.72632277639</v>
      </c>
      <c r="P157" s="77">
        <f t="shared" si="19"/>
        <v>111165.72632277639</v>
      </c>
      <c r="Q157" s="53">
        <f t="shared" si="20"/>
        <v>111165.72632277639</v>
      </c>
    </row>
    <row r="158" spans="1:17" x14ac:dyDescent="0.25">
      <c r="A158" s="35">
        <v>900</v>
      </c>
      <c r="B158" s="35" t="s">
        <v>25</v>
      </c>
      <c r="C158" s="36">
        <f>IFERROR(VLOOKUP($A158,'Pipe Rate'!$A$1:$AC$23,MATCH($B158,'Pipe Rate'!$B$1:$AC$1,0)+1,0),"N/F")</f>
        <v>978.33779573066295</v>
      </c>
      <c r="D158" s="65">
        <v>337</v>
      </c>
      <c r="E158" s="51">
        <v>337</v>
      </c>
      <c r="F158" s="68">
        <v>337</v>
      </c>
      <c r="G158" s="72">
        <v>337</v>
      </c>
      <c r="H158" s="55">
        <v>337</v>
      </c>
      <c r="I158" s="77">
        <v>337</v>
      </c>
      <c r="J158" s="53">
        <v>337</v>
      </c>
      <c r="K158" s="65">
        <f t="shared" si="8"/>
        <v>329699.83716123342</v>
      </c>
      <c r="L158" s="51">
        <f t="shared" si="15"/>
        <v>329699.83716123342</v>
      </c>
      <c r="M158" s="68">
        <f t="shared" si="16"/>
        <v>329699.83716123342</v>
      </c>
      <c r="N158" s="72">
        <f t="shared" si="17"/>
        <v>329699.83716123342</v>
      </c>
      <c r="O158" s="55">
        <f t="shared" si="18"/>
        <v>329699.83716123342</v>
      </c>
      <c r="P158" s="77">
        <f t="shared" si="19"/>
        <v>329699.83716123342</v>
      </c>
      <c r="Q158" s="53">
        <f t="shared" si="20"/>
        <v>329699.83716123342</v>
      </c>
    </row>
    <row r="159" spans="1:17" x14ac:dyDescent="0.25">
      <c r="A159" s="35">
        <v>900</v>
      </c>
      <c r="B159" s="35" t="s">
        <v>27</v>
      </c>
      <c r="C159" s="36">
        <f>IFERROR(VLOOKUP($A159,'Pipe Rate'!$A$1:$AC$23,MATCH($B159,'Pipe Rate'!$B$1:$AC$1,0)+1,0),"N/F")</f>
        <v>1205.4099981197501</v>
      </c>
      <c r="D159" s="65">
        <v>677</v>
      </c>
      <c r="E159" s="51">
        <v>677</v>
      </c>
      <c r="F159" s="68">
        <v>677</v>
      </c>
      <c r="G159" s="72">
        <v>677</v>
      </c>
      <c r="H159" s="55">
        <v>677</v>
      </c>
      <c r="I159" s="77">
        <v>677</v>
      </c>
      <c r="J159" s="53">
        <v>677</v>
      </c>
      <c r="K159" s="65">
        <f t="shared" si="8"/>
        <v>816062.56872707081</v>
      </c>
      <c r="L159" s="51">
        <f t="shared" si="15"/>
        <v>816062.56872707081</v>
      </c>
      <c r="M159" s="68">
        <f t="shared" si="16"/>
        <v>816062.56872707081</v>
      </c>
      <c r="N159" s="72">
        <f t="shared" si="17"/>
        <v>816062.56872707081</v>
      </c>
      <c r="O159" s="55">
        <f t="shared" si="18"/>
        <v>816062.56872707081</v>
      </c>
      <c r="P159" s="77">
        <f t="shared" si="19"/>
        <v>816062.56872707081</v>
      </c>
      <c r="Q159" s="53">
        <f t="shared" si="20"/>
        <v>816062.56872707081</v>
      </c>
    </row>
    <row r="160" spans="1:17" x14ac:dyDescent="0.25">
      <c r="A160" s="35">
        <v>900</v>
      </c>
      <c r="B160" s="35" t="s">
        <v>101</v>
      </c>
      <c r="C160" s="36">
        <f>IFERROR(VLOOKUP($A160,'Pipe Rate'!$A$1:$AC$23,MATCH($B160,'Pipe Rate'!$B$1:$AC$1,0)+1,0),"N/F")</f>
        <v>1739.4066272867994</v>
      </c>
      <c r="D160" s="65">
        <v>122</v>
      </c>
      <c r="E160" s="51">
        <v>122</v>
      </c>
      <c r="F160" s="68">
        <v>122</v>
      </c>
      <c r="G160" s="72">
        <v>122</v>
      </c>
      <c r="H160" s="55">
        <v>122</v>
      </c>
      <c r="I160" s="77">
        <v>122</v>
      </c>
      <c r="J160" s="53">
        <v>122</v>
      </c>
      <c r="K160" s="65">
        <f t="shared" si="8"/>
        <v>212207.60852898954</v>
      </c>
      <c r="L160" s="51">
        <f t="shared" si="15"/>
        <v>212207.60852898954</v>
      </c>
      <c r="M160" s="68">
        <f t="shared" si="16"/>
        <v>212207.60852898954</v>
      </c>
      <c r="N160" s="72">
        <f t="shared" si="17"/>
        <v>212207.60852898954</v>
      </c>
      <c r="O160" s="55">
        <f t="shared" si="18"/>
        <v>212207.60852898954</v>
      </c>
      <c r="P160" s="77">
        <f t="shared" si="19"/>
        <v>212207.60852898954</v>
      </c>
      <c r="Q160" s="53">
        <f t="shared" si="20"/>
        <v>212207.60852898954</v>
      </c>
    </row>
    <row r="161" spans="1:17" x14ac:dyDescent="0.25">
      <c r="A161" s="35">
        <v>1000</v>
      </c>
      <c r="B161" s="35" t="s">
        <v>5</v>
      </c>
      <c r="C161" s="36">
        <f>IFERROR(VLOOKUP($A161,'Pipe Rate'!$A$1:$AC$23,MATCH($B161,'Pipe Rate'!$B$1:$AC$1,0)+1,0),"N/F")</f>
        <v>140.45940000000002</v>
      </c>
      <c r="D161" s="65">
        <v>638</v>
      </c>
      <c r="E161" s="51">
        <v>638</v>
      </c>
      <c r="F161" s="68"/>
      <c r="G161" s="72"/>
      <c r="H161" s="55">
        <v>300</v>
      </c>
      <c r="I161" s="77">
        <v>300</v>
      </c>
      <c r="J161" s="53">
        <v>638</v>
      </c>
      <c r="K161" s="65">
        <f t="shared" si="8"/>
        <v>89613.097200000004</v>
      </c>
      <c r="L161" s="51">
        <f t="shared" si="15"/>
        <v>89613.097200000004</v>
      </c>
      <c r="M161" s="68">
        <f t="shared" si="16"/>
        <v>0</v>
      </c>
      <c r="N161" s="72">
        <f t="shared" si="17"/>
        <v>0</v>
      </c>
      <c r="O161" s="55">
        <f t="shared" si="18"/>
        <v>42137.820000000007</v>
      </c>
      <c r="P161" s="77">
        <f t="shared" si="19"/>
        <v>42137.820000000007</v>
      </c>
      <c r="Q161" s="53">
        <f t="shared" si="20"/>
        <v>89613.097200000004</v>
      </c>
    </row>
    <row r="162" spans="1:17" x14ac:dyDescent="0.25">
      <c r="A162" s="35">
        <v>1000</v>
      </c>
      <c r="B162" s="35" t="s">
        <v>6</v>
      </c>
      <c r="C162" s="36">
        <f>IFERROR(VLOOKUP($A162,'Pipe Rate'!$A$1:$AC$23,MATCH($B162,'Pipe Rate'!$B$1:$AC$1,0)+1,0),"N/F")</f>
        <v>155.90993400000002</v>
      </c>
      <c r="D162" s="65">
        <v>1267</v>
      </c>
      <c r="E162" s="51">
        <v>1267</v>
      </c>
      <c r="F162" s="68">
        <v>380</v>
      </c>
      <c r="G162" s="72">
        <v>380</v>
      </c>
      <c r="H162" s="55">
        <v>680</v>
      </c>
      <c r="I162" s="77">
        <v>680</v>
      </c>
      <c r="J162" s="53">
        <v>1267</v>
      </c>
      <c r="K162" s="65">
        <f t="shared" si="8"/>
        <v>197537.88637800002</v>
      </c>
      <c r="L162" s="51">
        <f t="shared" si="15"/>
        <v>197537.88637800002</v>
      </c>
      <c r="M162" s="68">
        <f t="shared" si="16"/>
        <v>59245.774920000011</v>
      </c>
      <c r="N162" s="72">
        <f t="shared" si="17"/>
        <v>59245.774920000011</v>
      </c>
      <c r="O162" s="55">
        <f t="shared" si="18"/>
        <v>106018.75512000002</v>
      </c>
      <c r="P162" s="77">
        <f t="shared" si="19"/>
        <v>106018.75512000002</v>
      </c>
      <c r="Q162" s="53">
        <f t="shared" si="20"/>
        <v>197537.88637800002</v>
      </c>
    </row>
    <row r="163" spans="1:17" x14ac:dyDescent="0.25">
      <c r="A163" s="35">
        <v>1000</v>
      </c>
      <c r="B163" s="35" t="s">
        <v>7</v>
      </c>
      <c r="C163" s="36">
        <f>IFERROR(VLOOKUP($A163,'Pipe Rate'!$A$1:$AC$23,MATCH($B163,'Pipe Rate'!$B$1:$AC$1,0)+1,0),"N/F")</f>
        <v>173.06002674000004</v>
      </c>
      <c r="D163" s="65">
        <v>820</v>
      </c>
      <c r="E163" s="51">
        <v>820</v>
      </c>
      <c r="F163" s="68">
        <v>421</v>
      </c>
      <c r="G163" s="72">
        <v>421</v>
      </c>
      <c r="H163" s="55">
        <v>510</v>
      </c>
      <c r="I163" s="77">
        <v>510</v>
      </c>
      <c r="J163" s="53">
        <v>820</v>
      </c>
      <c r="K163" s="65">
        <f t="shared" si="8"/>
        <v>141909.22192680003</v>
      </c>
      <c r="L163" s="51">
        <f t="shared" si="15"/>
        <v>141909.22192680003</v>
      </c>
      <c r="M163" s="68">
        <f t="shared" si="16"/>
        <v>72858.271257540022</v>
      </c>
      <c r="N163" s="72">
        <f t="shared" si="17"/>
        <v>72858.271257540022</v>
      </c>
      <c r="O163" s="55">
        <f t="shared" si="18"/>
        <v>88260.61363740002</v>
      </c>
      <c r="P163" s="77">
        <f t="shared" si="19"/>
        <v>88260.61363740002</v>
      </c>
      <c r="Q163" s="53">
        <f t="shared" si="20"/>
        <v>141909.22192680003</v>
      </c>
    </row>
    <row r="164" spans="1:17" x14ac:dyDescent="0.25">
      <c r="A164" s="35">
        <v>1000</v>
      </c>
      <c r="B164" s="35" t="s">
        <v>8</v>
      </c>
      <c r="C164" s="36">
        <f>IFERROR(VLOOKUP($A164,'Pipe Rate'!$A$1:$AC$23,MATCH($B164,'Pipe Rate'!$B$1:$AC$1,0)+1,0),"N/F")</f>
        <v>192.09662968140006</v>
      </c>
      <c r="D164" s="65">
        <v>649</v>
      </c>
      <c r="E164" s="51">
        <v>649</v>
      </c>
      <c r="F164" s="68">
        <v>308</v>
      </c>
      <c r="G164" s="72">
        <v>308</v>
      </c>
      <c r="H164" s="55">
        <v>469</v>
      </c>
      <c r="I164" s="77">
        <v>469</v>
      </c>
      <c r="J164" s="53">
        <v>649</v>
      </c>
      <c r="K164" s="65">
        <f t="shared" si="8"/>
        <v>124670.71266322864</v>
      </c>
      <c r="L164" s="51">
        <f t="shared" si="15"/>
        <v>124670.71266322864</v>
      </c>
      <c r="M164" s="68">
        <f t="shared" si="16"/>
        <v>59165.76194187122</v>
      </c>
      <c r="N164" s="72">
        <f t="shared" si="17"/>
        <v>59165.76194187122</v>
      </c>
      <c r="O164" s="55">
        <f t="shared" si="18"/>
        <v>90093.319320576629</v>
      </c>
      <c r="P164" s="77">
        <f t="shared" si="19"/>
        <v>90093.319320576629</v>
      </c>
      <c r="Q164" s="53">
        <f t="shared" si="20"/>
        <v>124670.71266322864</v>
      </c>
    </row>
    <row r="165" spans="1:17" x14ac:dyDescent="0.25">
      <c r="A165" s="35">
        <v>1000</v>
      </c>
      <c r="B165" s="35" t="s">
        <v>10</v>
      </c>
      <c r="C165" s="36">
        <f>IFERROR(VLOOKUP($A165,'Pipe Rate'!$A$1:$AC$23,MATCH($B165,'Pipe Rate'!$B$1:$AC$1,0)+1,0),"N/F")</f>
        <v>236.68225743045306</v>
      </c>
      <c r="D165" s="65">
        <v>1601</v>
      </c>
      <c r="E165" s="51">
        <v>1601</v>
      </c>
      <c r="F165" s="68">
        <v>1104</v>
      </c>
      <c r="G165" s="72">
        <v>1104</v>
      </c>
      <c r="H165" s="55">
        <v>1390</v>
      </c>
      <c r="I165" s="77">
        <v>1390</v>
      </c>
      <c r="J165" s="53">
        <v>1601</v>
      </c>
      <c r="K165" s="65">
        <f t="shared" si="8"/>
        <v>378928.29414615536</v>
      </c>
      <c r="L165" s="51">
        <f t="shared" si="15"/>
        <v>378928.29414615536</v>
      </c>
      <c r="M165" s="68">
        <f t="shared" si="16"/>
        <v>261297.21220322017</v>
      </c>
      <c r="N165" s="72">
        <f t="shared" si="17"/>
        <v>261297.21220322017</v>
      </c>
      <c r="O165" s="55">
        <f t="shared" si="18"/>
        <v>328988.33782832976</v>
      </c>
      <c r="P165" s="77">
        <f t="shared" si="19"/>
        <v>328988.33782832976</v>
      </c>
      <c r="Q165" s="53">
        <f t="shared" si="20"/>
        <v>378928.29414615536</v>
      </c>
    </row>
    <row r="166" spans="1:17" x14ac:dyDescent="0.25">
      <c r="A166" s="35">
        <v>1000</v>
      </c>
      <c r="B166" s="35" t="s">
        <v>12</v>
      </c>
      <c r="C166" s="36">
        <f>IFERROR(VLOOKUP($A166,'Pipe Rate'!$A$1:$AC$23,MATCH($B166,'Pipe Rate'!$B$1:$AC$1,0)+1,0),"N/F")</f>
        <v>291.61620938006126</v>
      </c>
      <c r="D166" s="65">
        <v>1347</v>
      </c>
      <c r="E166" s="51">
        <v>1347</v>
      </c>
      <c r="F166" s="68">
        <v>1195</v>
      </c>
      <c r="G166" s="72">
        <v>1195</v>
      </c>
      <c r="H166" s="55">
        <v>1807</v>
      </c>
      <c r="I166" s="77">
        <v>1807</v>
      </c>
      <c r="J166" s="53">
        <v>1347</v>
      </c>
      <c r="K166" s="65">
        <f t="shared" si="8"/>
        <v>392807.03403494251</v>
      </c>
      <c r="L166" s="51">
        <f t="shared" si="15"/>
        <v>392807.03403494251</v>
      </c>
      <c r="M166" s="68">
        <f t="shared" si="16"/>
        <v>348481.37020917318</v>
      </c>
      <c r="N166" s="72">
        <f t="shared" si="17"/>
        <v>348481.37020917318</v>
      </c>
      <c r="O166" s="55">
        <f t="shared" si="18"/>
        <v>526950.49034977076</v>
      </c>
      <c r="P166" s="77">
        <f t="shared" si="19"/>
        <v>526950.49034977076</v>
      </c>
      <c r="Q166" s="53">
        <f t="shared" si="20"/>
        <v>392807.03403494251</v>
      </c>
    </row>
    <row r="167" spans="1:17" x14ac:dyDescent="0.25">
      <c r="A167" s="35">
        <v>1000</v>
      </c>
      <c r="B167" s="35" t="s">
        <v>14</v>
      </c>
      <c r="C167" s="36">
        <f>IFERROR(VLOOKUP($A167,'Pipe Rate'!$A$1:$AC$23,MATCH($B167,'Pipe Rate'!$B$1:$AC$1,0)+1,0),"N/F")</f>
        <v>420.80219013542848</v>
      </c>
      <c r="D167" s="65">
        <v>1043</v>
      </c>
      <c r="E167" s="51">
        <v>1043</v>
      </c>
      <c r="F167" s="68">
        <v>1043</v>
      </c>
      <c r="G167" s="72">
        <v>1043</v>
      </c>
      <c r="H167" s="55">
        <v>2357</v>
      </c>
      <c r="I167" s="77">
        <v>2357</v>
      </c>
      <c r="J167" s="53">
        <v>1043</v>
      </c>
      <c r="K167" s="65">
        <f t="shared" si="8"/>
        <v>438896.68431125191</v>
      </c>
      <c r="L167" s="51">
        <f t="shared" si="15"/>
        <v>438896.68431125191</v>
      </c>
      <c r="M167" s="68">
        <f t="shared" si="16"/>
        <v>438896.68431125191</v>
      </c>
      <c r="N167" s="72">
        <f t="shared" si="17"/>
        <v>438896.68431125191</v>
      </c>
      <c r="O167" s="55">
        <f t="shared" si="18"/>
        <v>991830.76214920497</v>
      </c>
      <c r="P167" s="77">
        <f t="shared" si="19"/>
        <v>991830.76214920497</v>
      </c>
      <c r="Q167" s="53">
        <f t="shared" si="20"/>
        <v>438896.68431125191</v>
      </c>
    </row>
    <row r="168" spans="1:17" x14ac:dyDescent="0.25">
      <c r="A168" s="35">
        <v>1000</v>
      </c>
      <c r="B168" s="35" t="s">
        <v>16</v>
      </c>
      <c r="C168" s="36">
        <f>IFERROR(VLOOKUP($A168,'Pipe Rate'!$A$1:$AC$23,MATCH($B168,'Pipe Rate'!$B$1:$AC$1,0)+1,0),"N/F")</f>
        <v>518.47037846586159</v>
      </c>
      <c r="D168" s="65">
        <v>2077</v>
      </c>
      <c r="E168" s="51">
        <v>2077</v>
      </c>
      <c r="F168" s="68">
        <v>2077</v>
      </c>
      <c r="G168" s="72">
        <v>2077</v>
      </c>
      <c r="H168" s="55">
        <v>2623</v>
      </c>
      <c r="I168" s="77">
        <v>2534</v>
      </c>
      <c r="J168" s="53">
        <v>1987</v>
      </c>
      <c r="K168" s="65">
        <f t="shared" si="8"/>
        <v>1076862.9760735945</v>
      </c>
      <c r="L168" s="51">
        <f t="shared" si="15"/>
        <v>1076862.9760735945</v>
      </c>
      <c r="M168" s="68">
        <f t="shared" si="16"/>
        <v>1076862.9760735945</v>
      </c>
      <c r="N168" s="72">
        <f t="shared" si="17"/>
        <v>1076862.9760735945</v>
      </c>
      <c r="O168" s="55">
        <f t="shared" si="18"/>
        <v>1359947.8027159548</v>
      </c>
      <c r="P168" s="77">
        <f t="shared" si="19"/>
        <v>1313803.9390324932</v>
      </c>
      <c r="Q168" s="53">
        <f t="shared" si="20"/>
        <v>1030200.642011667</v>
      </c>
    </row>
    <row r="169" spans="1:17" x14ac:dyDescent="0.25">
      <c r="A169" s="35">
        <v>1000</v>
      </c>
      <c r="B169" s="35" t="s">
        <v>18</v>
      </c>
      <c r="C169" s="36">
        <f>IFERROR(VLOOKUP($A169,'Pipe Rate'!$A$1:$AC$23,MATCH($B169,'Pipe Rate'!$B$1:$AC$1,0)+1,0),"N/F")</f>
        <v>638.80735330778816</v>
      </c>
      <c r="D169" s="65">
        <v>1233</v>
      </c>
      <c r="E169" s="51">
        <v>1233</v>
      </c>
      <c r="F169" s="68">
        <v>1233</v>
      </c>
      <c r="G169" s="72">
        <v>1233</v>
      </c>
      <c r="H169" s="55">
        <v>1355</v>
      </c>
      <c r="I169" s="77">
        <v>1355</v>
      </c>
      <c r="J169" s="53">
        <v>1233</v>
      </c>
      <c r="K169" s="65">
        <f t="shared" si="8"/>
        <v>787649.46662850282</v>
      </c>
      <c r="L169" s="51">
        <f t="shared" si="15"/>
        <v>787649.46662850282</v>
      </c>
      <c r="M169" s="68">
        <f t="shared" si="16"/>
        <v>787649.46662850282</v>
      </c>
      <c r="N169" s="72">
        <f t="shared" si="17"/>
        <v>787649.46662850282</v>
      </c>
      <c r="O169" s="55">
        <f t="shared" si="18"/>
        <v>865583.96373205294</v>
      </c>
      <c r="P169" s="77">
        <f t="shared" si="19"/>
        <v>865583.96373205294</v>
      </c>
      <c r="Q169" s="53">
        <f t="shared" si="20"/>
        <v>787649.46662850282</v>
      </c>
    </row>
    <row r="170" spans="1:17" x14ac:dyDescent="0.25">
      <c r="A170" s="35">
        <v>1000</v>
      </c>
      <c r="B170" s="35" t="s">
        <v>21</v>
      </c>
      <c r="C170" s="36">
        <f>IFERROR(VLOOKUP($A170,'Pipe Rate'!$A$1:$AC$23,MATCH($B170,'Pipe Rate'!$B$1:$AC$1,0)+1,0),"N/F")</f>
        <v>921.79901082313847</v>
      </c>
      <c r="D170" s="65">
        <v>1115</v>
      </c>
      <c r="E170" s="51">
        <v>1115</v>
      </c>
      <c r="F170" s="68">
        <v>1115</v>
      </c>
      <c r="G170" s="72">
        <v>1115</v>
      </c>
      <c r="H170" s="55">
        <v>1215</v>
      </c>
      <c r="I170" s="77">
        <v>1215</v>
      </c>
      <c r="J170" s="53">
        <v>1115</v>
      </c>
      <c r="K170" s="65">
        <f t="shared" si="8"/>
        <v>1027805.8970677993</v>
      </c>
      <c r="L170" s="51">
        <f t="shared" si="15"/>
        <v>1027805.8970677993</v>
      </c>
      <c r="M170" s="68">
        <f t="shared" si="16"/>
        <v>1027805.8970677993</v>
      </c>
      <c r="N170" s="72">
        <f t="shared" si="17"/>
        <v>1027805.8970677993</v>
      </c>
      <c r="O170" s="55">
        <f t="shared" si="18"/>
        <v>1119985.7981501133</v>
      </c>
      <c r="P170" s="77">
        <f t="shared" si="19"/>
        <v>1119985.7981501133</v>
      </c>
      <c r="Q170" s="53">
        <f t="shared" si="20"/>
        <v>1027805.8970677993</v>
      </c>
    </row>
    <row r="171" spans="1:17" x14ac:dyDescent="0.25">
      <c r="A171" s="35">
        <v>1000</v>
      </c>
      <c r="B171" s="35" t="s">
        <v>25</v>
      </c>
      <c r="C171" s="36">
        <f>IFERROR(VLOOKUP($A171,'Pipe Rate'!$A$1:$AC$23,MATCH($B171,'Pipe Rate'!$B$1:$AC$1,0)+1,0),"N/F")</f>
        <v>1135.7485612351891</v>
      </c>
      <c r="D171" s="65">
        <v>461</v>
      </c>
      <c r="E171" s="51">
        <v>461</v>
      </c>
      <c r="F171" s="68">
        <v>461</v>
      </c>
      <c r="G171" s="72">
        <v>461</v>
      </c>
      <c r="H171" s="55">
        <v>461</v>
      </c>
      <c r="I171" s="77">
        <v>461</v>
      </c>
      <c r="J171" s="53">
        <v>461</v>
      </c>
      <c r="K171" s="65">
        <f t="shared" si="8"/>
        <v>523580.08672942215</v>
      </c>
      <c r="L171" s="51">
        <f t="shared" si="15"/>
        <v>523580.08672942215</v>
      </c>
      <c r="M171" s="68">
        <f t="shared" si="16"/>
        <v>523580.08672942215</v>
      </c>
      <c r="N171" s="72">
        <f t="shared" si="17"/>
        <v>523580.08672942215</v>
      </c>
      <c r="O171" s="55">
        <f t="shared" si="18"/>
        <v>523580.08672942215</v>
      </c>
      <c r="P171" s="77">
        <f t="shared" si="19"/>
        <v>523580.08672942215</v>
      </c>
      <c r="Q171" s="53">
        <f t="shared" si="20"/>
        <v>523580.08672942215</v>
      </c>
    </row>
    <row r="172" spans="1:17" x14ac:dyDescent="0.25">
      <c r="A172" s="35">
        <v>1000</v>
      </c>
      <c r="B172" s="35" t="s">
        <v>27</v>
      </c>
      <c r="C172" s="36">
        <f>IFERROR(VLOOKUP($A172,'Pipe Rate'!$A$1:$AC$23,MATCH($B172,'Pipe Rate'!$B$1:$AC$1,0)+1,0),"N/F")</f>
        <v>1399.3558022978768</v>
      </c>
      <c r="D172" s="65">
        <v>288</v>
      </c>
      <c r="E172" s="51">
        <v>288</v>
      </c>
      <c r="F172" s="68">
        <v>288</v>
      </c>
      <c r="G172" s="72">
        <v>288</v>
      </c>
      <c r="H172" s="55">
        <v>288</v>
      </c>
      <c r="I172" s="77">
        <v>288</v>
      </c>
      <c r="J172" s="53">
        <v>288</v>
      </c>
      <c r="K172" s="65">
        <f t="shared" si="8"/>
        <v>403014.4710617885</v>
      </c>
      <c r="L172" s="51">
        <f t="shared" si="15"/>
        <v>403014.4710617885</v>
      </c>
      <c r="M172" s="68">
        <f t="shared" si="16"/>
        <v>403014.4710617885</v>
      </c>
      <c r="N172" s="72">
        <f t="shared" si="17"/>
        <v>403014.4710617885</v>
      </c>
      <c r="O172" s="55">
        <f t="shared" si="18"/>
        <v>403014.4710617885</v>
      </c>
      <c r="P172" s="77">
        <f t="shared" si="19"/>
        <v>403014.4710617885</v>
      </c>
      <c r="Q172" s="53">
        <f t="shared" si="20"/>
        <v>403014.4710617885</v>
      </c>
    </row>
    <row r="173" spans="1:17" x14ac:dyDescent="0.25">
      <c r="A173" s="35">
        <v>1100</v>
      </c>
      <c r="B173" s="35" t="s">
        <v>5</v>
      </c>
      <c r="C173" s="36">
        <f>IFERROR(VLOOKUP($A173,'Pipe Rate'!$A$1:$AC$23,MATCH($B173,'Pipe Rate'!$B$1:$AC$1,0)+1,0),"N/F")</f>
        <v>175.69746000000001</v>
      </c>
      <c r="D173" s="65">
        <v>340</v>
      </c>
      <c r="E173" s="51">
        <v>340</v>
      </c>
      <c r="F173" s="68">
        <v>976</v>
      </c>
      <c r="G173" s="72">
        <v>976</v>
      </c>
      <c r="H173" s="55"/>
      <c r="I173" s="77"/>
      <c r="J173" s="53">
        <v>340</v>
      </c>
      <c r="K173" s="65">
        <f t="shared" si="8"/>
        <v>59737.136400000003</v>
      </c>
      <c r="L173" s="51">
        <f t="shared" si="15"/>
        <v>59737.136400000003</v>
      </c>
      <c r="M173" s="68">
        <f t="shared" si="16"/>
        <v>171480.72096000001</v>
      </c>
      <c r="N173" s="72">
        <f t="shared" si="17"/>
        <v>171480.72096000001</v>
      </c>
      <c r="O173" s="55">
        <f t="shared" si="18"/>
        <v>0</v>
      </c>
      <c r="P173" s="77">
        <f t="shared" si="19"/>
        <v>0</v>
      </c>
      <c r="Q173" s="53">
        <f t="shared" si="20"/>
        <v>59737.136400000003</v>
      </c>
    </row>
    <row r="174" spans="1:17" x14ac:dyDescent="0.25">
      <c r="A174" s="35">
        <v>1100</v>
      </c>
      <c r="B174" s="35" t="s">
        <v>6</v>
      </c>
      <c r="C174" s="36">
        <f>IFERROR(VLOOKUP($A174,'Pipe Rate'!$A$1:$AC$23,MATCH($B174,'Pipe Rate'!$B$1:$AC$1,0)+1,0),"N/F")</f>
        <v>195.02418060000002</v>
      </c>
      <c r="D174" s="65">
        <v>500</v>
      </c>
      <c r="E174" s="51">
        <v>500</v>
      </c>
      <c r="F174" s="68">
        <v>1000</v>
      </c>
      <c r="G174" s="72">
        <v>1000</v>
      </c>
      <c r="H174" s="55"/>
      <c r="I174" s="77"/>
      <c r="J174" s="53">
        <v>500</v>
      </c>
      <c r="K174" s="65">
        <f t="shared" si="8"/>
        <v>97512.090300000011</v>
      </c>
      <c r="L174" s="51">
        <f t="shared" si="15"/>
        <v>97512.090300000011</v>
      </c>
      <c r="M174" s="68">
        <f t="shared" si="16"/>
        <v>195024.18060000002</v>
      </c>
      <c r="N174" s="72">
        <f t="shared" si="17"/>
        <v>195024.18060000002</v>
      </c>
      <c r="O174" s="55">
        <f t="shared" si="18"/>
        <v>0</v>
      </c>
      <c r="P174" s="77">
        <f t="shared" si="19"/>
        <v>0</v>
      </c>
      <c r="Q174" s="53">
        <f t="shared" si="20"/>
        <v>97512.090300000011</v>
      </c>
    </row>
    <row r="175" spans="1:17" x14ac:dyDescent="0.25">
      <c r="A175" s="35">
        <v>1100</v>
      </c>
      <c r="B175" s="35" t="s">
        <v>7</v>
      </c>
      <c r="C175" s="36">
        <f>IFERROR(VLOOKUP($A175,'Pipe Rate'!$A$1:$AC$23,MATCH($B175,'Pipe Rate'!$B$1:$AC$1,0)+1,0),"N/F")</f>
        <v>216.47684046600006</v>
      </c>
      <c r="D175" s="65">
        <v>320</v>
      </c>
      <c r="E175" s="51">
        <v>320</v>
      </c>
      <c r="F175" s="68">
        <v>237</v>
      </c>
      <c r="G175" s="72">
        <v>237</v>
      </c>
      <c r="H175" s="55"/>
      <c r="I175" s="77"/>
      <c r="J175" s="53">
        <v>320</v>
      </c>
      <c r="K175" s="65">
        <f t="shared" si="8"/>
        <v>69272.588949120021</v>
      </c>
      <c r="L175" s="51">
        <f t="shared" si="15"/>
        <v>69272.588949120021</v>
      </c>
      <c r="M175" s="68">
        <f t="shared" si="16"/>
        <v>51305.011190442012</v>
      </c>
      <c r="N175" s="72">
        <f t="shared" si="17"/>
        <v>51305.011190442012</v>
      </c>
      <c r="O175" s="55">
        <f t="shared" si="18"/>
        <v>0</v>
      </c>
      <c r="P175" s="77">
        <f t="shared" si="19"/>
        <v>0</v>
      </c>
      <c r="Q175" s="53">
        <f t="shared" si="20"/>
        <v>69272.588949120021</v>
      </c>
    </row>
    <row r="176" spans="1:17" x14ac:dyDescent="0.25">
      <c r="A176" s="35">
        <v>1100</v>
      </c>
      <c r="B176" s="35" t="s">
        <v>8</v>
      </c>
      <c r="C176" s="36">
        <f>IFERROR(VLOOKUP($A176,'Pipe Rate'!$A$1:$AC$23,MATCH($B176,'Pipe Rate'!$B$1:$AC$1,0)+1,0),"N/F")</f>
        <v>240.28929291726007</v>
      </c>
      <c r="D176" s="65">
        <v>429</v>
      </c>
      <c r="E176" s="51">
        <v>429</v>
      </c>
      <c r="F176" s="68"/>
      <c r="G176" s="72"/>
      <c r="H176" s="55"/>
      <c r="I176" s="77"/>
      <c r="J176" s="53">
        <v>429</v>
      </c>
      <c r="K176" s="65">
        <f t="shared" si="8"/>
        <v>103084.10666150457</v>
      </c>
      <c r="L176" s="51">
        <f t="shared" si="15"/>
        <v>103084.10666150457</v>
      </c>
      <c r="M176" s="68">
        <f t="shared" si="16"/>
        <v>0</v>
      </c>
      <c r="N176" s="72">
        <f t="shared" si="17"/>
        <v>0</v>
      </c>
      <c r="O176" s="55">
        <f t="shared" si="18"/>
        <v>0</v>
      </c>
      <c r="P176" s="77">
        <f t="shared" si="19"/>
        <v>0</v>
      </c>
      <c r="Q176" s="53">
        <f t="shared" si="20"/>
        <v>103084.10666150457</v>
      </c>
    </row>
    <row r="177" spans="1:17" x14ac:dyDescent="0.25">
      <c r="A177" s="35">
        <v>1100</v>
      </c>
      <c r="B177" s="35" t="s">
        <v>10</v>
      </c>
      <c r="C177" s="36">
        <f>IFERROR(VLOOKUP($A177,'Pipe Rate'!$A$1:$AC$23,MATCH($B177,'Pipe Rate'!$B$1:$AC$1,0)+1,0),"N/F")</f>
        <v>296.06043780335619</v>
      </c>
      <c r="D177" s="65">
        <v>1567</v>
      </c>
      <c r="E177" s="51">
        <v>1567</v>
      </c>
      <c r="F177" s="68">
        <v>280</v>
      </c>
      <c r="G177" s="72">
        <v>280</v>
      </c>
      <c r="H177" s="55"/>
      <c r="I177" s="77"/>
      <c r="J177" s="53">
        <v>1567</v>
      </c>
      <c r="K177" s="65">
        <f t="shared" si="8"/>
        <v>463926.70603785914</v>
      </c>
      <c r="L177" s="51">
        <f t="shared" si="15"/>
        <v>463926.70603785914</v>
      </c>
      <c r="M177" s="68">
        <f t="shared" si="16"/>
        <v>82896.922584939733</v>
      </c>
      <c r="N177" s="72">
        <f t="shared" si="17"/>
        <v>82896.922584939733</v>
      </c>
      <c r="O177" s="55">
        <f t="shared" si="18"/>
        <v>0</v>
      </c>
      <c r="P177" s="77">
        <f t="shared" si="19"/>
        <v>0</v>
      </c>
      <c r="Q177" s="53">
        <f t="shared" si="20"/>
        <v>463926.70603785914</v>
      </c>
    </row>
    <row r="178" spans="1:17" x14ac:dyDescent="0.25">
      <c r="A178" s="35">
        <v>1100</v>
      </c>
      <c r="B178" s="35" t="s">
        <v>12</v>
      </c>
      <c r="C178" s="36">
        <f>IFERROR(VLOOKUP($A178,'Pipe Rate'!$A$1:$AC$23,MATCH($B178,'Pipe Rate'!$B$1:$AC$1,0)+1,0),"N/F")</f>
        <v>364.77606541751521</v>
      </c>
      <c r="D178" s="65">
        <v>1034</v>
      </c>
      <c r="E178" s="51">
        <v>1034</v>
      </c>
      <c r="F178" s="68">
        <v>660</v>
      </c>
      <c r="G178" s="72">
        <v>660</v>
      </c>
      <c r="H178" s="55">
        <v>240</v>
      </c>
      <c r="I178" s="77">
        <v>240</v>
      </c>
      <c r="J178" s="53">
        <v>1034</v>
      </c>
      <c r="K178" s="65">
        <f t="shared" si="8"/>
        <v>377178.45164171071</v>
      </c>
      <c r="L178" s="51">
        <f t="shared" si="15"/>
        <v>377178.45164171071</v>
      </c>
      <c r="M178" s="68">
        <f t="shared" si="16"/>
        <v>240752.20317556005</v>
      </c>
      <c r="N178" s="72">
        <f t="shared" si="17"/>
        <v>240752.20317556005</v>
      </c>
      <c r="O178" s="55">
        <f t="shared" si="18"/>
        <v>87546.255700203648</v>
      </c>
      <c r="P178" s="77">
        <f t="shared" si="19"/>
        <v>87546.255700203648</v>
      </c>
      <c r="Q178" s="53">
        <f t="shared" si="20"/>
        <v>377178.45164171071</v>
      </c>
    </row>
    <row r="179" spans="1:17" x14ac:dyDescent="0.25">
      <c r="A179" s="35">
        <v>1100</v>
      </c>
      <c r="B179" s="35" t="s">
        <v>14</v>
      </c>
      <c r="C179" s="36">
        <f>IFERROR(VLOOKUP($A179,'Pipe Rate'!$A$1:$AC$23,MATCH($B179,'Pipe Rate'!$B$1:$AC$1,0)+1,0),"N/F")</f>
        <v>526.3718623974745</v>
      </c>
      <c r="D179" s="65">
        <v>765</v>
      </c>
      <c r="E179" s="51">
        <v>765</v>
      </c>
      <c r="F179" s="68">
        <v>448</v>
      </c>
      <c r="G179" s="72">
        <v>448</v>
      </c>
      <c r="H179" s="55">
        <v>163</v>
      </c>
      <c r="I179" s="77">
        <v>163</v>
      </c>
      <c r="J179" s="53">
        <v>765</v>
      </c>
      <c r="K179" s="65">
        <f t="shared" si="8"/>
        <v>402674.47473406798</v>
      </c>
      <c r="L179" s="51">
        <f t="shared" si="15"/>
        <v>402674.47473406798</v>
      </c>
      <c r="M179" s="68">
        <f t="shared" si="16"/>
        <v>235814.59435406857</v>
      </c>
      <c r="N179" s="72">
        <f t="shared" si="17"/>
        <v>235814.59435406857</v>
      </c>
      <c r="O179" s="55">
        <f t="shared" si="18"/>
        <v>85798.613570788337</v>
      </c>
      <c r="P179" s="77">
        <f t="shared" si="19"/>
        <v>85798.613570788337</v>
      </c>
      <c r="Q179" s="53">
        <f t="shared" si="20"/>
        <v>402674.47473406798</v>
      </c>
    </row>
    <row r="180" spans="1:17" x14ac:dyDescent="0.25">
      <c r="A180" s="35">
        <v>1100</v>
      </c>
      <c r="B180" s="35" t="s">
        <v>16</v>
      </c>
      <c r="C180" s="36">
        <f>IFERROR(VLOOKUP($A180,'Pipe Rate'!$A$1:$AC$23,MATCH($B180,'Pipe Rate'!$B$1:$AC$1,0)+1,0),"N/F")</f>
        <v>648.54277165992846</v>
      </c>
      <c r="D180" s="65">
        <v>703</v>
      </c>
      <c r="E180" s="51">
        <v>703</v>
      </c>
      <c r="F180" s="68">
        <v>274</v>
      </c>
      <c r="G180" s="72">
        <v>274</v>
      </c>
      <c r="H180" s="55">
        <v>133</v>
      </c>
      <c r="I180" s="77">
        <v>133</v>
      </c>
      <c r="J180" s="53">
        <v>703</v>
      </c>
      <c r="K180" s="65">
        <f t="shared" si="8"/>
        <v>455925.56847692974</v>
      </c>
      <c r="L180" s="51">
        <f t="shared" si="15"/>
        <v>455925.56847692974</v>
      </c>
      <c r="M180" s="68">
        <f t="shared" si="16"/>
        <v>177700.71943482041</v>
      </c>
      <c r="N180" s="72">
        <f t="shared" si="17"/>
        <v>177700.71943482041</v>
      </c>
      <c r="O180" s="55">
        <f t="shared" si="18"/>
        <v>86256.188630770484</v>
      </c>
      <c r="P180" s="77">
        <f t="shared" si="19"/>
        <v>86256.188630770484</v>
      </c>
      <c r="Q180" s="53">
        <f t="shared" si="20"/>
        <v>455925.56847692974</v>
      </c>
    </row>
    <row r="181" spans="1:17" x14ac:dyDescent="0.25">
      <c r="A181" s="35">
        <v>1100</v>
      </c>
      <c r="B181" s="35" t="s">
        <v>18</v>
      </c>
      <c r="C181" s="36">
        <f>IFERROR(VLOOKUP($A181,'Pipe Rate'!$A$1:$AC$23,MATCH($B181,'Pipe Rate'!$B$1:$AC$1,0)+1,0),"N/F")</f>
        <v>799.06954896219793</v>
      </c>
      <c r="D181" s="65">
        <v>308</v>
      </c>
      <c r="E181" s="51">
        <v>308</v>
      </c>
      <c r="F181" s="68"/>
      <c r="G181" s="72"/>
      <c r="H181" s="55"/>
      <c r="I181" s="77"/>
      <c r="J181" s="53">
        <v>308</v>
      </c>
      <c r="K181" s="65">
        <f t="shared" si="8"/>
        <v>246113.42108035696</v>
      </c>
      <c r="L181" s="51">
        <f t="shared" si="15"/>
        <v>246113.42108035696</v>
      </c>
      <c r="M181" s="68">
        <f t="shared" si="16"/>
        <v>0</v>
      </c>
      <c r="N181" s="72">
        <f t="shared" si="17"/>
        <v>0</v>
      </c>
      <c r="O181" s="55">
        <f t="shared" si="18"/>
        <v>0</v>
      </c>
      <c r="P181" s="77">
        <f t="shared" si="19"/>
        <v>0</v>
      </c>
      <c r="Q181" s="53">
        <f t="shared" si="20"/>
        <v>246113.42108035696</v>
      </c>
    </row>
    <row r="182" spans="1:17" x14ac:dyDescent="0.25">
      <c r="A182" s="35">
        <v>1100</v>
      </c>
      <c r="B182" s="35" t="s">
        <v>21</v>
      </c>
      <c r="C182" s="36">
        <f>IFERROR(VLOOKUP($A182,'Pipe Rate'!$A$1:$AC$23,MATCH($B182,'Pipe Rate'!$B$1:$AC$1,0)+1,0),"N/F")</f>
        <v>1153.0573591524517</v>
      </c>
      <c r="D182" s="65">
        <v>500</v>
      </c>
      <c r="E182" s="51">
        <v>500</v>
      </c>
      <c r="F182" s="68">
        <v>500</v>
      </c>
      <c r="G182" s="72">
        <v>500</v>
      </c>
      <c r="H182" s="55">
        <v>500</v>
      </c>
      <c r="I182" s="77">
        <v>500</v>
      </c>
      <c r="J182" s="53">
        <v>500</v>
      </c>
      <c r="K182" s="65">
        <f t="shared" si="8"/>
        <v>576528.67957622581</v>
      </c>
      <c r="L182" s="51">
        <f t="shared" si="15"/>
        <v>576528.67957622581</v>
      </c>
      <c r="M182" s="68">
        <f t="shared" si="16"/>
        <v>576528.67957622581</v>
      </c>
      <c r="N182" s="72">
        <f t="shared" si="17"/>
        <v>576528.67957622581</v>
      </c>
      <c r="O182" s="55">
        <f t="shared" si="18"/>
        <v>576528.67957622581</v>
      </c>
      <c r="P182" s="77">
        <f t="shared" si="19"/>
        <v>576528.67957622581</v>
      </c>
      <c r="Q182" s="53">
        <f t="shared" si="20"/>
        <v>576528.67957622581</v>
      </c>
    </row>
    <row r="183" spans="1:17" x14ac:dyDescent="0.25">
      <c r="A183" s="35">
        <v>1100</v>
      </c>
      <c r="B183" s="35" t="s">
        <v>25</v>
      </c>
      <c r="C183" s="36">
        <f>IFERROR(VLOOKUP($A183,'Pipe Rate'!$A$1:$AC$23,MATCH($B183,'Pipe Rate'!$B$1:$AC$1,0)+1,0),"N/F")</f>
        <v>1420.6819722117359</v>
      </c>
      <c r="D183" s="65">
        <v>918</v>
      </c>
      <c r="E183" s="51">
        <v>918</v>
      </c>
      <c r="F183" s="68">
        <v>918</v>
      </c>
      <c r="G183" s="72">
        <v>918</v>
      </c>
      <c r="H183" s="55">
        <v>918</v>
      </c>
      <c r="I183" s="77">
        <v>918</v>
      </c>
      <c r="J183" s="53">
        <v>918</v>
      </c>
      <c r="K183" s="65">
        <f t="shared" si="8"/>
        <v>1304186.0504903735</v>
      </c>
      <c r="L183" s="51">
        <f t="shared" si="15"/>
        <v>1304186.0504903735</v>
      </c>
      <c r="M183" s="68">
        <f t="shared" si="16"/>
        <v>1304186.0504903735</v>
      </c>
      <c r="N183" s="72">
        <f t="shared" si="17"/>
        <v>1304186.0504903735</v>
      </c>
      <c r="O183" s="55">
        <f t="shared" si="18"/>
        <v>1304186.0504903735</v>
      </c>
      <c r="P183" s="77">
        <f t="shared" si="19"/>
        <v>1304186.0504903735</v>
      </c>
      <c r="Q183" s="53">
        <f t="shared" si="20"/>
        <v>1304186.0504903735</v>
      </c>
    </row>
    <row r="184" spans="1:17" x14ac:dyDescent="0.25">
      <c r="A184" s="35">
        <v>1100</v>
      </c>
      <c r="B184" s="35" t="s">
        <v>27</v>
      </c>
      <c r="C184" s="36">
        <f>IFERROR(VLOOKUP($A184,'Pipe Rate'!$A$1:$AC$23,MATCH($B184,'Pipe Rate'!$B$1:$AC$1,0)+1,0),"N/F")</f>
        <v>1750.4222579620803</v>
      </c>
      <c r="D184" s="65">
        <v>40</v>
      </c>
      <c r="E184" s="51">
        <v>40</v>
      </c>
      <c r="F184" s="68">
        <v>40</v>
      </c>
      <c r="G184" s="72">
        <v>40</v>
      </c>
      <c r="H184" s="55">
        <v>40</v>
      </c>
      <c r="I184" s="77">
        <v>40</v>
      </c>
      <c r="J184" s="53">
        <v>40</v>
      </c>
      <c r="K184" s="65">
        <f t="shared" si="8"/>
        <v>70016.890318483216</v>
      </c>
      <c r="L184" s="51">
        <f t="shared" si="15"/>
        <v>70016.890318483216</v>
      </c>
      <c r="M184" s="68">
        <f t="shared" si="16"/>
        <v>70016.890318483216</v>
      </c>
      <c r="N184" s="72">
        <f t="shared" si="17"/>
        <v>70016.890318483216</v>
      </c>
      <c r="O184" s="55">
        <f t="shared" si="18"/>
        <v>70016.890318483216</v>
      </c>
      <c r="P184" s="77">
        <f t="shared" si="19"/>
        <v>70016.890318483216</v>
      </c>
      <c r="Q184" s="53">
        <f t="shared" si="20"/>
        <v>70016.890318483216</v>
      </c>
    </row>
    <row r="185" spans="1:17" x14ac:dyDescent="0.25">
      <c r="A185" s="35">
        <v>1200</v>
      </c>
      <c r="B185" s="35" t="s">
        <v>10</v>
      </c>
      <c r="C185" s="36">
        <f>IFERROR(VLOOKUP($A185,'Pipe Rate'!$A$1:$AC$23,MATCH($B185,'Pipe Rate'!$B$1:$AC$1,0)+1,0),"N/F")</f>
        <v>348.7949056869835</v>
      </c>
      <c r="D185" s="65">
        <v>200</v>
      </c>
      <c r="E185" s="51">
        <v>200</v>
      </c>
      <c r="F185" s="68">
        <v>200</v>
      </c>
      <c r="G185" s="72">
        <v>200</v>
      </c>
      <c r="H185" s="55">
        <v>200</v>
      </c>
      <c r="I185" s="77">
        <v>200</v>
      </c>
      <c r="J185" s="53">
        <v>200</v>
      </c>
      <c r="K185" s="65">
        <f t="shared" si="8"/>
        <v>69758.981137396695</v>
      </c>
      <c r="L185" s="51">
        <f t="shared" si="15"/>
        <v>69758.981137396695</v>
      </c>
      <c r="M185" s="68">
        <f t="shared" si="16"/>
        <v>69758.981137396695</v>
      </c>
      <c r="N185" s="72">
        <f t="shared" si="17"/>
        <v>69758.981137396695</v>
      </c>
      <c r="O185" s="55">
        <f t="shared" si="18"/>
        <v>69758.981137396695</v>
      </c>
      <c r="P185" s="77">
        <f t="shared" si="19"/>
        <v>69758.981137396695</v>
      </c>
      <c r="Q185" s="53">
        <f t="shared" si="20"/>
        <v>69758.981137396695</v>
      </c>
    </row>
    <row r="186" spans="1:17" x14ac:dyDescent="0.25">
      <c r="A186" s="35">
        <v>1200</v>
      </c>
      <c r="B186" s="35" t="s">
        <v>12</v>
      </c>
      <c r="C186" s="36">
        <f>IFERROR(VLOOKUP($A186,'Pipe Rate'!$A$1:$AC$23,MATCH($B186,'Pipe Rate'!$B$1:$AC$1,0)+1,0),"N/F")</f>
        <v>429.75020329693245</v>
      </c>
      <c r="D186" s="65">
        <v>200</v>
      </c>
      <c r="E186" s="51">
        <v>200</v>
      </c>
      <c r="F186" s="68">
        <v>200</v>
      </c>
      <c r="G186" s="72">
        <v>200</v>
      </c>
      <c r="H186" s="55">
        <v>200</v>
      </c>
      <c r="I186" s="77">
        <v>200</v>
      </c>
      <c r="J186" s="53">
        <v>200</v>
      </c>
      <c r="K186" s="65">
        <f t="shared" si="8"/>
        <v>85950.04065938649</v>
      </c>
      <c r="L186" s="51">
        <f t="shared" si="15"/>
        <v>85950.04065938649</v>
      </c>
      <c r="M186" s="68">
        <f t="shared" si="16"/>
        <v>85950.04065938649</v>
      </c>
      <c r="N186" s="72">
        <f t="shared" si="17"/>
        <v>85950.04065938649</v>
      </c>
      <c r="O186" s="55">
        <f t="shared" si="18"/>
        <v>85950.04065938649</v>
      </c>
      <c r="P186" s="77">
        <f t="shared" si="19"/>
        <v>85950.04065938649</v>
      </c>
      <c r="Q186" s="53">
        <f t="shared" si="20"/>
        <v>85950.04065938649</v>
      </c>
    </row>
    <row r="187" spans="1:17" x14ac:dyDescent="0.25">
      <c r="A187" s="35">
        <v>1200</v>
      </c>
      <c r="B187" s="35" t="s">
        <v>14</v>
      </c>
      <c r="C187" s="36">
        <f>IFERROR(VLOOKUP($A187,'Pipe Rate'!$A$1:$AC$23,MATCH($B187,'Pipe Rate'!$B$1:$AC$1,0)+1,0),"N/F")</f>
        <v>620.12954335747361</v>
      </c>
      <c r="D187" s="65">
        <v>100</v>
      </c>
      <c r="E187" s="51">
        <v>100</v>
      </c>
      <c r="F187" s="68">
        <v>100</v>
      </c>
      <c r="G187" s="72">
        <v>100</v>
      </c>
      <c r="H187" s="55">
        <v>100</v>
      </c>
      <c r="I187" s="77">
        <v>100</v>
      </c>
      <c r="J187" s="53">
        <v>100</v>
      </c>
      <c r="K187" s="65">
        <f t="shared" si="8"/>
        <v>62012.954335747359</v>
      </c>
      <c r="L187" s="51">
        <f t="shared" si="15"/>
        <v>62012.954335747359</v>
      </c>
      <c r="M187" s="68">
        <f t="shared" si="16"/>
        <v>62012.954335747359</v>
      </c>
      <c r="N187" s="72">
        <f t="shared" si="17"/>
        <v>62012.954335747359</v>
      </c>
      <c r="O187" s="55">
        <f t="shared" si="18"/>
        <v>62012.954335747359</v>
      </c>
      <c r="P187" s="77">
        <f t="shared" si="19"/>
        <v>62012.954335747359</v>
      </c>
      <c r="Q187" s="53">
        <f t="shared" si="20"/>
        <v>62012.954335747359</v>
      </c>
    </row>
    <row r="188" spans="1:17" x14ac:dyDescent="0.25">
      <c r="A188" s="35">
        <v>1200</v>
      </c>
      <c r="B188" s="35" t="s">
        <v>16</v>
      </c>
      <c r="C188" s="36">
        <f>IFERROR(VLOOKUP($A188,'Pipe Rate'!$A$1:$AC$23,MATCH($B188,'Pipe Rate'!$B$1:$AC$1,0)+1,0),"N/F")</f>
        <v>764.06161037074332</v>
      </c>
      <c r="D188" s="65"/>
      <c r="E188" s="51"/>
      <c r="F188" s="68">
        <v>297</v>
      </c>
      <c r="G188" s="72">
        <v>297</v>
      </c>
      <c r="H188" s="55"/>
      <c r="I188" s="77"/>
      <c r="J188" s="53"/>
      <c r="K188" s="65">
        <f t="shared" si="8"/>
        <v>0</v>
      </c>
      <c r="L188" s="51">
        <f t="shared" si="15"/>
        <v>0</v>
      </c>
      <c r="M188" s="68">
        <f t="shared" si="16"/>
        <v>226926.29828011076</v>
      </c>
      <c r="N188" s="72">
        <f t="shared" si="17"/>
        <v>226926.29828011076</v>
      </c>
      <c r="O188" s="55">
        <f t="shared" si="18"/>
        <v>0</v>
      </c>
      <c r="P188" s="77">
        <f t="shared" si="19"/>
        <v>0</v>
      </c>
      <c r="Q188" s="53">
        <f t="shared" si="20"/>
        <v>0</v>
      </c>
    </row>
    <row r="189" spans="1:17" x14ac:dyDescent="0.25">
      <c r="A189" s="35">
        <v>1200</v>
      </c>
      <c r="B189" s="35" t="s">
        <v>18</v>
      </c>
      <c r="C189" s="36">
        <f>IFERROR(VLOOKUP($A189,'Pipe Rate'!$A$1:$AC$23,MATCH($B189,'Pipe Rate'!$B$1:$AC$1,0)+1,0),"N/F")</f>
        <v>941.40031013779299</v>
      </c>
      <c r="D189" s="65"/>
      <c r="E189" s="51"/>
      <c r="F189" s="68">
        <v>357</v>
      </c>
      <c r="G189" s="72">
        <v>357</v>
      </c>
      <c r="H189" s="55">
        <v>300</v>
      </c>
      <c r="I189" s="77">
        <v>300</v>
      </c>
      <c r="J189" s="53"/>
      <c r="K189" s="65">
        <f t="shared" si="8"/>
        <v>0</v>
      </c>
      <c r="L189" s="51">
        <f t="shared" si="15"/>
        <v>0</v>
      </c>
      <c r="M189" s="68">
        <f t="shared" si="16"/>
        <v>336079.91071919212</v>
      </c>
      <c r="N189" s="72">
        <f t="shared" si="17"/>
        <v>336079.91071919212</v>
      </c>
      <c r="O189" s="55">
        <f t="shared" si="18"/>
        <v>282420.09304133791</v>
      </c>
      <c r="P189" s="77">
        <f t="shared" si="19"/>
        <v>282420.09304133791</v>
      </c>
      <c r="Q189" s="53">
        <f t="shared" si="20"/>
        <v>0</v>
      </c>
    </row>
    <row r="190" spans="1:17" x14ac:dyDescent="0.25">
      <c r="A190" s="35">
        <v>1200</v>
      </c>
      <c r="B190" s="35" t="s">
        <v>21</v>
      </c>
      <c r="C190" s="36">
        <f>IFERROR(VLOOKUP($A190,'Pipe Rate'!$A$1:$AC$23,MATCH($B190,'Pipe Rate'!$B$1:$AC$1,0)+1,0),"N/F")</f>
        <v>1358.4406475288354</v>
      </c>
      <c r="D190" s="65"/>
      <c r="E190" s="51"/>
      <c r="F190" s="68"/>
      <c r="G190" s="72"/>
      <c r="H190" s="55">
        <v>1109</v>
      </c>
      <c r="I190" s="77">
        <v>1109</v>
      </c>
      <c r="J190" s="53"/>
      <c r="K190" s="65">
        <f t="shared" si="8"/>
        <v>0</v>
      </c>
      <c r="L190" s="51">
        <f t="shared" si="15"/>
        <v>0</v>
      </c>
      <c r="M190" s="68">
        <f t="shared" si="16"/>
        <v>0</v>
      </c>
      <c r="N190" s="72">
        <f t="shared" si="17"/>
        <v>0</v>
      </c>
      <c r="O190" s="55">
        <f t="shared" si="18"/>
        <v>1506510.6781094784</v>
      </c>
      <c r="P190" s="77">
        <f t="shared" si="19"/>
        <v>1506510.6781094784</v>
      </c>
      <c r="Q190" s="53">
        <f t="shared" si="20"/>
        <v>0</v>
      </c>
    </row>
    <row r="191" spans="1:17" x14ac:dyDescent="0.25">
      <c r="A191" s="35">
        <v>1200</v>
      </c>
      <c r="B191" s="35" t="s">
        <v>25</v>
      </c>
      <c r="C191" s="36">
        <f>IFERROR(VLOOKUP($A191,'Pipe Rate'!$A$1:$AC$23,MATCH($B191,'Pipe Rate'!$B$1:$AC$1,0)+1,0),"N/F")</f>
        <v>1673.7347218202783</v>
      </c>
      <c r="D191" s="65"/>
      <c r="E191" s="51"/>
      <c r="F191" s="68"/>
      <c r="G191" s="72"/>
      <c r="H191" s="55">
        <v>333</v>
      </c>
      <c r="I191" s="77">
        <v>333</v>
      </c>
      <c r="J191" s="53"/>
      <c r="K191" s="65">
        <f t="shared" si="8"/>
        <v>0</v>
      </c>
      <c r="L191" s="51">
        <f t="shared" si="15"/>
        <v>0</v>
      </c>
      <c r="M191" s="68">
        <f t="shared" si="16"/>
        <v>0</v>
      </c>
      <c r="N191" s="72">
        <f t="shared" si="17"/>
        <v>0</v>
      </c>
      <c r="O191" s="55">
        <f t="shared" si="18"/>
        <v>557353.66236615262</v>
      </c>
      <c r="P191" s="77">
        <f t="shared" si="19"/>
        <v>557353.66236615262</v>
      </c>
      <c r="Q191" s="53">
        <f t="shared" si="20"/>
        <v>0</v>
      </c>
    </row>
    <row r="192" spans="1:17" x14ac:dyDescent="0.25">
      <c r="A192" s="35">
        <v>1200</v>
      </c>
      <c r="B192" s="35" t="s">
        <v>27</v>
      </c>
      <c r="C192" s="36">
        <f>IFERROR(VLOOKUP($A192,'Pipe Rate'!$A$1:$AC$23,MATCH($B192,'Pipe Rate'!$B$1:$AC$1,0)+1,0),"N/F")</f>
        <v>2062.2085507547654</v>
      </c>
      <c r="D192" s="65"/>
      <c r="E192" s="51"/>
      <c r="F192" s="68"/>
      <c r="G192" s="72"/>
      <c r="H192" s="55">
        <v>100</v>
      </c>
      <c r="I192" s="77">
        <v>100</v>
      </c>
      <c r="J192" s="53"/>
      <c r="K192" s="65">
        <f t="shared" si="8"/>
        <v>0</v>
      </c>
      <c r="L192" s="51">
        <f t="shared" si="15"/>
        <v>0</v>
      </c>
      <c r="M192" s="68">
        <f t="shared" si="16"/>
        <v>0</v>
      </c>
      <c r="N192" s="72">
        <f t="shared" si="17"/>
        <v>0</v>
      </c>
      <c r="O192" s="55">
        <f t="shared" si="18"/>
        <v>206220.85507547655</v>
      </c>
      <c r="P192" s="77">
        <f t="shared" si="19"/>
        <v>206220.85507547655</v>
      </c>
      <c r="Q192" s="53">
        <f t="shared" si="20"/>
        <v>0</v>
      </c>
    </row>
    <row r="193" spans="1:17" x14ac:dyDescent="0.25">
      <c r="A193" s="35">
        <v>1400</v>
      </c>
      <c r="B193" s="35" t="s">
        <v>6</v>
      </c>
      <c r="C193" s="36">
        <f>IFERROR(VLOOKUP($A193,'Pipe Rate'!$A$1:$AC$23,MATCH($B193,'Pipe Rate'!$B$1:$AC$1,0)+1,0),"N/F")</f>
        <v>307.03315950000007</v>
      </c>
      <c r="D193" s="65">
        <v>2938</v>
      </c>
      <c r="E193" s="51">
        <v>2938</v>
      </c>
      <c r="F193" s="68">
        <v>3258</v>
      </c>
      <c r="G193" s="72">
        <v>1909</v>
      </c>
      <c r="H193" s="55"/>
      <c r="I193" s="77"/>
      <c r="J193" s="53">
        <v>2938</v>
      </c>
      <c r="K193" s="65">
        <f t="shared" si="8"/>
        <v>902063.42261100025</v>
      </c>
      <c r="L193" s="51">
        <f t="shared" si="15"/>
        <v>902063.42261100025</v>
      </c>
      <c r="M193" s="68">
        <f t="shared" si="16"/>
        <v>1000314.0336510002</v>
      </c>
      <c r="N193" s="72">
        <f t="shared" si="17"/>
        <v>586126.30148550018</v>
      </c>
      <c r="O193" s="55">
        <f t="shared" si="18"/>
        <v>0</v>
      </c>
      <c r="P193" s="77">
        <f t="shared" si="19"/>
        <v>0</v>
      </c>
      <c r="Q193" s="53">
        <f t="shared" si="20"/>
        <v>902063.42261100025</v>
      </c>
    </row>
    <row r="194" spans="1:17" x14ac:dyDescent="0.25">
      <c r="A194" s="35">
        <v>1400</v>
      </c>
      <c r="B194" s="35" t="s">
        <v>7</v>
      </c>
      <c r="C194" s="36">
        <f>IFERROR(VLOOKUP($A194,'Pipe Rate'!$A$1:$AC$23,MATCH($B194,'Pipe Rate'!$B$1:$AC$1,0)+1,0),"N/F")</f>
        <v>340.80680704500008</v>
      </c>
      <c r="D194" s="65">
        <v>1115</v>
      </c>
      <c r="E194" s="51">
        <v>1115</v>
      </c>
      <c r="F194" s="68">
        <v>927</v>
      </c>
      <c r="G194" s="72">
        <v>372</v>
      </c>
      <c r="H194" s="55"/>
      <c r="I194" s="77"/>
      <c r="J194" s="53">
        <v>1115</v>
      </c>
      <c r="K194" s="65">
        <f t="shared" si="8"/>
        <v>379999.58985517512</v>
      </c>
      <c r="L194" s="51">
        <f t="shared" si="15"/>
        <v>379999.58985517512</v>
      </c>
      <c r="M194" s="68">
        <f t="shared" si="16"/>
        <v>315927.91013071506</v>
      </c>
      <c r="N194" s="72">
        <f t="shared" si="17"/>
        <v>126780.13222074004</v>
      </c>
      <c r="O194" s="55">
        <f t="shared" si="18"/>
        <v>0</v>
      </c>
      <c r="P194" s="77">
        <f t="shared" si="19"/>
        <v>0</v>
      </c>
      <c r="Q194" s="53">
        <f t="shared" si="20"/>
        <v>379999.58985517512</v>
      </c>
    </row>
    <row r="195" spans="1:17" x14ac:dyDescent="0.25">
      <c r="A195" s="35">
        <v>1400</v>
      </c>
      <c r="B195" s="35" t="s">
        <v>8</v>
      </c>
      <c r="C195" s="36">
        <f>IFERROR(VLOOKUP($A195,'Pipe Rate'!$A$1:$AC$23,MATCH($B195,'Pipe Rate'!$B$1:$AC$1,0)+1,0),"N/F")</f>
        <v>378.29555581995015</v>
      </c>
      <c r="D195" s="65">
        <v>680</v>
      </c>
      <c r="E195" s="51">
        <v>680</v>
      </c>
      <c r="F195" s="68">
        <v>757</v>
      </c>
      <c r="G195" s="72">
        <v>141</v>
      </c>
      <c r="H195" s="55"/>
      <c r="I195" s="77"/>
      <c r="J195" s="53">
        <v>680</v>
      </c>
      <c r="K195" s="65">
        <f t="shared" si="8"/>
        <v>257240.97795756609</v>
      </c>
      <c r="L195" s="51">
        <f t="shared" si="15"/>
        <v>257240.97795756609</v>
      </c>
      <c r="M195" s="68">
        <f t="shared" si="16"/>
        <v>286369.73575570225</v>
      </c>
      <c r="N195" s="72">
        <f t="shared" si="17"/>
        <v>53339.673370612974</v>
      </c>
      <c r="O195" s="55">
        <f t="shared" si="18"/>
        <v>0</v>
      </c>
      <c r="P195" s="77">
        <f t="shared" si="19"/>
        <v>0</v>
      </c>
      <c r="Q195" s="53">
        <f t="shared" si="20"/>
        <v>257240.97795756609</v>
      </c>
    </row>
    <row r="196" spans="1:17" x14ac:dyDescent="0.25">
      <c r="A196" s="35">
        <v>1400</v>
      </c>
      <c r="B196" s="35" t="s">
        <v>10</v>
      </c>
      <c r="C196" s="36">
        <f>IFERROR(VLOOKUP($A196,'Pipe Rate'!$A$1:$AC$23,MATCH($B196,'Pipe Rate'!$B$1:$AC$1,0)+1,0),"N/F")</f>
        <v>466.09795432576067</v>
      </c>
      <c r="D196" s="65">
        <v>2210</v>
      </c>
      <c r="E196" s="51">
        <v>2210</v>
      </c>
      <c r="F196" s="68">
        <v>2191</v>
      </c>
      <c r="G196" s="72">
        <v>261</v>
      </c>
      <c r="H196" s="55"/>
      <c r="I196" s="77"/>
      <c r="J196" s="53">
        <v>2210</v>
      </c>
      <c r="K196" s="65">
        <f t="shared" si="8"/>
        <v>1030076.4790599311</v>
      </c>
      <c r="L196" s="51">
        <f t="shared" ref="L196:L238" si="21">IFERROR(E196*$C196,0)</f>
        <v>1030076.4790599311</v>
      </c>
      <c r="M196" s="68">
        <f t="shared" ref="M196:M238" si="22">IFERROR(F196*$C196,0)</f>
        <v>1021220.6179277416</v>
      </c>
      <c r="N196" s="72">
        <f t="shared" ref="N196:N238" si="23">IFERROR(G196*$C196,0)</f>
        <v>121651.56607902354</v>
      </c>
      <c r="O196" s="55">
        <f t="shared" ref="O196:O238" si="24">IFERROR(H196*$C196,0)</f>
        <v>0</v>
      </c>
      <c r="P196" s="77">
        <f t="shared" ref="P196:P238" si="25">IFERROR(I196*$C196,0)</f>
        <v>0</v>
      </c>
      <c r="Q196" s="53">
        <f t="shared" ref="Q196:Q238" si="26">IFERROR(J196*$C196,0)</f>
        <v>1030076.4790599311</v>
      </c>
    </row>
    <row r="197" spans="1:17" x14ac:dyDescent="0.25">
      <c r="A197" s="35">
        <v>1400</v>
      </c>
      <c r="B197" s="35" t="s">
        <v>12</v>
      </c>
      <c r="C197" s="36">
        <f>IFERROR(VLOOKUP($A197,'Pipe Rate'!$A$1:$AC$23,MATCH($B197,'Pipe Rate'!$B$1:$AC$1,0)+1,0),"N/F")</f>
        <v>574.27928952476987</v>
      </c>
      <c r="D197" s="65">
        <v>1663</v>
      </c>
      <c r="E197" s="51">
        <v>1663</v>
      </c>
      <c r="F197" s="68">
        <v>1712</v>
      </c>
      <c r="G197" s="72">
        <v>421</v>
      </c>
      <c r="H197" s="55"/>
      <c r="I197" s="77"/>
      <c r="J197" s="53">
        <v>1663</v>
      </c>
      <c r="K197" s="65">
        <f t="shared" si="8"/>
        <v>955026.45847969223</v>
      </c>
      <c r="L197" s="51">
        <f t="shared" si="21"/>
        <v>955026.45847969223</v>
      </c>
      <c r="M197" s="68">
        <f t="shared" si="22"/>
        <v>983166.14366640605</v>
      </c>
      <c r="N197" s="72">
        <f t="shared" si="23"/>
        <v>241771.58088992813</v>
      </c>
      <c r="O197" s="55">
        <f t="shared" si="24"/>
        <v>0</v>
      </c>
      <c r="P197" s="77">
        <f t="shared" si="25"/>
        <v>0</v>
      </c>
      <c r="Q197" s="53">
        <f t="shared" si="26"/>
        <v>955026.45847969223</v>
      </c>
    </row>
    <row r="198" spans="1:17" x14ac:dyDescent="0.25">
      <c r="A198" s="35">
        <v>1400</v>
      </c>
      <c r="B198" s="35" t="s">
        <v>14</v>
      </c>
      <c r="C198" s="36">
        <f>IFERROR(VLOOKUP($A198,'Pipe Rate'!$A$1:$AC$23,MATCH($B198,'Pipe Rate'!$B$1:$AC$1,0)+1,0),"N/F")</f>
        <v>828.68501478424298</v>
      </c>
      <c r="D198" s="65">
        <v>1904</v>
      </c>
      <c r="E198" s="51">
        <v>1904</v>
      </c>
      <c r="F198" s="68">
        <v>3196</v>
      </c>
      <c r="G198" s="72">
        <v>1477</v>
      </c>
      <c r="H198" s="55"/>
      <c r="I198" s="77"/>
      <c r="J198" s="53">
        <v>1904</v>
      </c>
      <c r="K198" s="65">
        <f t="shared" si="8"/>
        <v>1577816.2681491987</v>
      </c>
      <c r="L198" s="51">
        <f t="shared" si="21"/>
        <v>1577816.2681491987</v>
      </c>
      <c r="M198" s="68">
        <f t="shared" si="22"/>
        <v>2648477.3072504406</v>
      </c>
      <c r="N198" s="72">
        <f t="shared" si="23"/>
        <v>1223967.7668363268</v>
      </c>
      <c r="O198" s="55">
        <f t="shared" si="24"/>
        <v>0</v>
      </c>
      <c r="P198" s="77">
        <f t="shared" si="25"/>
        <v>0</v>
      </c>
      <c r="Q198" s="53">
        <f t="shared" si="26"/>
        <v>1577816.2681491987</v>
      </c>
    </row>
    <row r="199" spans="1:17" x14ac:dyDescent="0.25">
      <c r="A199" s="35">
        <v>1400</v>
      </c>
      <c r="B199" s="35" t="s">
        <v>16</v>
      </c>
      <c r="C199" s="36">
        <f>IFERROR(VLOOKUP($A199,'Pipe Rate'!$A$1:$AC$23,MATCH($B199,'Pipe Rate'!$B$1:$AC$1,0)+1,0),"N/F")</f>
        <v>1021.022806715666</v>
      </c>
      <c r="D199" s="65">
        <v>1221</v>
      </c>
      <c r="E199" s="51">
        <v>1221</v>
      </c>
      <c r="F199" s="68">
        <v>2265</v>
      </c>
      <c r="G199" s="72">
        <v>1334</v>
      </c>
      <c r="H199" s="55"/>
      <c r="I199" s="77"/>
      <c r="J199" s="53">
        <v>1221</v>
      </c>
      <c r="K199" s="65">
        <f t="shared" si="8"/>
        <v>1246668.8469998282</v>
      </c>
      <c r="L199" s="51">
        <f t="shared" si="21"/>
        <v>1246668.8469998282</v>
      </c>
      <c r="M199" s="68">
        <f t="shared" si="22"/>
        <v>2312616.6572109833</v>
      </c>
      <c r="N199" s="72">
        <f t="shared" si="23"/>
        <v>1362044.4241586984</v>
      </c>
      <c r="O199" s="55">
        <f t="shared" si="24"/>
        <v>0</v>
      </c>
      <c r="P199" s="77">
        <f t="shared" si="25"/>
        <v>0</v>
      </c>
      <c r="Q199" s="53">
        <f t="shared" si="26"/>
        <v>1246668.8469998282</v>
      </c>
    </row>
    <row r="200" spans="1:17" x14ac:dyDescent="0.25">
      <c r="A200" s="35">
        <v>1400</v>
      </c>
      <c r="B200" s="35" t="s">
        <v>18</v>
      </c>
      <c r="C200" s="36">
        <f>IFERROR(VLOOKUP($A200,'Pipe Rate'!$A$1:$AC$23,MATCH($B200,'Pipe Rate'!$B$1:$AC$1,0)+1,0),"N/F")</f>
        <v>1258.0022001543723</v>
      </c>
      <c r="D200" s="65">
        <v>113</v>
      </c>
      <c r="E200" s="51">
        <v>113</v>
      </c>
      <c r="F200" s="68">
        <v>213</v>
      </c>
      <c r="G200" s="72">
        <v>213</v>
      </c>
      <c r="H200" s="55">
        <v>113</v>
      </c>
      <c r="I200" s="77">
        <v>113</v>
      </c>
      <c r="J200" s="53">
        <v>113</v>
      </c>
      <c r="K200" s="65">
        <f t="shared" si="8"/>
        <v>142154.24861744407</v>
      </c>
      <c r="L200" s="51">
        <f t="shared" si="21"/>
        <v>142154.24861744407</v>
      </c>
      <c r="M200" s="68">
        <f t="shared" si="22"/>
        <v>267954.4686328813</v>
      </c>
      <c r="N200" s="72">
        <f t="shared" si="23"/>
        <v>267954.4686328813</v>
      </c>
      <c r="O200" s="55">
        <f t="shared" si="24"/>
        <v>142154.24861744407</v>
      </c>
      <c r="P200" s="77">
        <f t="shared" si="25"/>
        <v>142154.24861744407</v>
      </c>
      <c r="Q200" s="53">
        <f t="shared" si="26"/>
        <v>142154.24861744407</v>
      </c>
    </row>
    <row r="201" spans="1:17" x14ac:dyDescent="0.25">
      <c r="A201" s="35">
        <v>1400</v>
      </c>
      <c r="B201" s="35" t="s">
        <v>21</v>
      </c>
      <c r="C201" s="36">
        <f>IFERROR(VLOOKUP($A201,'Pipe Rate'!$A$1:$AC$23,MATCH($B201,'Pipe Rate'!$B$1:$AC$1,0)+1,0),"N/F")</f>
        <v>1815.2971748227594</v>
      </c>
      <c r="D201" s="65"/>
      <c r="E201" s="51"/>
      <c r="F201" s="68">
        <v>122</v>
      </c>
      <c r="G201" s="72">
        <v>122</v>
      </c>
      <c r="H201" s="55"/>
      <c r="I201" s="77"/>
      <c r="J201" s="53"/>
      <c r="K201" s="65">
        <f t="shared" si="8"/>
        <v>0</v>
      </c>
      <c r="L201" s="51">
        <f t="shared" si="21"/>
        <v>0</v>
      </c>
      <c r="M201" s="68">
        <f t="shared" si="22"/>
        <v>221466.25532837666</v>
      </c>
      <c r="N201" s="72">
        <f t="shared" si="23"/>
        <v>221466.25532837666</v>
      </c>
      <c r="O201" s="55">
        <f t="shared" si="24"/>
        <v>0</v>
      </c>
      <c r="P201" s="77">
        <f t="shared" si="25"/>
        <v>0</v>
      </c>
      <c r="Q201" s="53">
        <f t="shared" si="26"/>
        <v>0</v>
      </c>
    </row>
    <row r="202" spans="1:17" x14ac:dyDescent="0.25">
      <c r="A202" s="35">
        <v>1400</v>
      </c>
      <c r="B202" s="35" t="s">
        <v>27</v>
      </c>
      <c r="C202" s="36">
        <f>IFERROR(VLOOKUP($A202,'Pipe Rate'!$A$1:$AC$23,MATCH($B202,'Pipe Rate'!$B$1:$AC$1,0)+1,0),"N/F")</f>
        <v>2755.748926455029</v>
      </c>
      <c r="D202" s="65">
        <v>209</v>
      </c>
      <c r="E202" s="51">
        <v>209</v>
      </c>
      <c r="F202" s="68">
        <v>209</v>
      </c>
      <c r="G202" s="72"/>
      <c r="H202" s="55"/>
      <c r="I202" s="77"/>
      <c r="J202" s="53">
        <v>209</v>
      </c>
      <c r="K202" s="65">
        <f t="shared" si="8"/>
        <v>575951.52562910109</v>
      </c>
      <c r="L202" s="51">
        <f t="shared" si="21"/>
        <v>575951.52562910109</v>
      </c>
      <c r="M202" s="68">
        <f t="shared" si="22"/>
        <v>575951.52562910109</v>
      </c>
      <c r="N202" s="72">
        <f t="shared" si="23"/>
        <v>0</v>
      </c>
      <c r="O202" s="55">
        <f t="shared" si="24"/>
        <v>0</v>
      </c>
      <c r="P202" s="77">
        <f t="shared" si="25"/>
        <v>0</v>
      </c>
      <c r="Q202" s="53">
        <f t="shared" si="26"/>
        <v>575951.52562910109</v>
      </c>
    </row>
    <row r="203" spans="1:17" x14ac:dyDescent="0.25">
      <c r="A203" s="35">
        <v>1600</v>
      </c>
      <c r="B203" s="35" t="s">
        <v>6</v>
      </c>
      <c r="C203" s="36">
        <f>IFERROR(VLOOKUP($A203,'Pipe Rate'!$A$1:$AC$23,MATCH($B203,'Pipe Rate'!$B$1:$AC$1,0)+1,0),"N/F")</f>
        <v>394.69830660000014</v>
      </c>
      <c r="D203" s="65">
        <v>1237</v>
      </c>
      <c r="E203" s="51">
        <v>1237</v>
      </c>
      <c r="F203" s="68"/>
      <c r="G203" s="72"/>
      <c r="H203" s="55"/>
      <c r="I203" s="77"/>
      <c r="J203" s="53">
        <v>1237</v>
      </c>
      <c r="K203" s="65">
        <f t="shared" si="8"/>
        <v>488241.80526420014</v>
      </c>
      <c r="L203" s="51">
        <f t="shared" si="21"/>
        <v>488241.80526420014</v>
      </c>
      <c r="M203" s="68">
        <f t="shared" si="22"/>
        <v>0</v>
      </c>
      <c r="N203" s="72">
        <f t="shared" si="23"/>
        <v>0</v>
      </c>
      <c r="O203" s="55">
        <f t="shared" si="24"/>
        <v>0</v>
      </c>
      <c r="P203" s="77">
        <f t="shared" si="25"/>
        <v>0</v>
      </c>
      <c r="Q203" s="53">
        <f t="shared" si="26"/>
        <v>488241.80526420014</v>
      </c>
    </row>
    <row r="204" spans="1:17" x14ac:dyDescent="0.25">
      <c r="A204" s="35">
        <v>1600</v>
      </c>
      <c r="B204" s="35" t="s">
        <v>7</v>
      </c>
      <c r="C204" s="36">
        <f>IFERROR(VLOOKUP($A204,'Pipe Rate'!$A$1:$AC$23,MATCH($B204,'Pipe Rate'!$B$1:$AC$1,0)+1,0),"N/F")</f>
        <v>438.11512032600018</v>
      </c>
      <c r="D204" s="65">
        <v>1017</v>
      </c>
      <c r="E204" s="51">
        <v>1017</v>
      </c>
      <c r="F204" s="68"/>
      <c r="G204" s="72"/>
      <c r="H204" s="55"/>
      <c r="I204" s="77"/>
      <c r="J204" s="53">
        <v>1017</v>
      </c>
      <c r="K204" s="65">
        <f t="shared" si="8"/>
        <v>445563.07737154217</v>
      </c>
      <c r="L204" s="51">
        <f t="shared" si="21"/>
        <v>445563.07737154217</v>
      </c>
      <c r="M204" s="68">
        <f t="shared" si="22"/>
        <v>0</v>
      </c>
      <c r="N204" s="72">
        <f t="shared" si="23"/>
        <v>0</v>
      </c>
      <c r="O204" s="55">
        <f t="shared" si="24"/>
        <v>0</v>
      </c>
      <c r="P204" s="77">
        <f t="shared" si="25"/>
        <v>0</v>
      </c>
      <c r="Q204" s="53">
        <f t="shared" si="26"/>
        <v>445563.07737154217</v>
      </c>
    </row>
    <row r="205" spans="1:17" x14ac:dyDescent="0.25">
      <c r="A205" s="35">
        <v>1600</v>
      </c>
      <c r="B205" s="35" t="s">
        <v>8</v>
      </c>
      <c r="C205" s="36">
        <f>IFERROR(VLOOKUP($A205,'Pipe Rate'!$A$1:$AC$23,MATCH($B205,'Pipe Rate'!$B$1:$AC$1,0)+1,0),"N/F")</f>
        <v>486.30778356186022</v>
      </c>
      <c r="D205" s="65">
        <v>167</v>
      </c>
      <c r="E205" s="51">
        <v>167</v>
      </c>
      <c r="F205" s="68"/>
      <c r="G205" s="72"/>
      <c r="H205" s="55"/>
      <c r="I205" s="77"/>
      <c r="J205" s="53">
        <v>167</v>
      </c>
      <c r="K205" s="65">
        <f t="shared" si="8"/>
        <v>81213.399854830655</v>
      </c>
      <c r="L205" s="51">
        <f t="shared" si="21"/>
        <v>81213.399854830655</v>
      </c>
      <c r="M205" s="68">
        <f t="shared" si="22"/>
        <v>0</v>
      </c>
      <c r="N205" s="72">
        <f t="shared" si="23"/>
        <v>0</v>
      </c>
      <c r="O205" s="55">
        <f t="shared" si="24"/>
        <v>0</v>
      </c>
      <c r="P205" s="77">
        <f t="shared" si="25"/>
        <v>0</v>
      </c>
      <c r="Q205" s="53">
        <f t="shared" si="26"/>
        <v>81213.399854830655</v>
      </c>
    </row>
    <row r="206" spans="1:17" x14ac:dyDescent="0.25">
      <c r="A206" s="35">
        <v>1600</v>
      </c>
      <c r="B206" s="35" t="s">
        <v>10</v>
      </c>
      <c r="C206" s="36">
        <f>IFERROR(VLOOKUP($A206,'Pipe Rate'!$A$1:$AC$23,MATCH($B206,'Pipe Rate'!$B$1:$AC$1,0)+1,0),"N/F")</f>
        <v>599.17982012656807</v>
      </c>
      <c r="D206" s="65">
        <v>261</v>
      </c>
      <c r="E206" s="51">
        <v>261</v>
      </c>
      <c r="F206" s="68"/>
      <c r="G206" s="72"/>
      <c r="H206" s="55"/>
      <c r="I206" s="77"/>
      <c r="J206" s="53">
        <v>261</v>
      </c>
      <c r="K206" s="65">
        <f t="shared" si="8"/>
        <v>156385.93305303427</v>
      </c>
      <c r="L206" s="51">
        <f t="shared" si="21"/>
        <v>156385.93305303427</v>
      </c>
      <c r="M206" s="68">
        <f t="shared" si="22"/>
        <v>0</v>
      </c>
      <c r="N206" s="72">
        <f t="shared" si="23"/>
        <v>0</v>
      </c>
      <c r="O206" s="55">
        <f t="shared" si="24"/>
        <v>0</v>
      </c>
      <c r="P206" s="77">
        <f t="shared" si="25"/>
        <v>0</v>
      </c>
      <c r="Q206" s="53">
        <f t="shared" si="26"/>
        <v>156385.93305303427</v>
      </c>
    </row>
    <row r="207" spans="1:17" x14ac:dyDescent="0.25">
      <c r="A207" s="35">
        <v>1600</v>
      </c>
      <c r="B207" s="35" t="s">
        <v>12</v>
      </c>
      <c r="C207" s="36">
        <f>IFERROR(VLOOKUP($A207,'Pipe Rate'!$A$1:$AC$23,MATCH($B207,'Pipe Rate'!$B$1:$AC$1,0)+1,0),"N/F")</f>
        <v>738.24945637794463</v>
      </c>
      <c r="D207" s="65">
        <v>421</v>
      </c>
      <c r="E207" s="51">
        <v>421</v>
      </c>
      <c r="F207" s="68"/>
      <c r="G207" s="72"/>
      <c r="H207" s="55"/>
      <c r="I207" s="77"/>
      <c r="J207" s="53">
        <v>421</v>
      </c>
      <c r="K207" s="65">
        <f t="shared" si="8"/>
        <v>310803.02113511472</v>
      </c>
      <c r="L207" s="51">
        <f t="shared" si="21"/>
        <v>310803.02113511472</v>
      </c>
      <c r="M207" s="68">
        <f t="shared" si="22"/>
        <v>0</v>
      </c>
      <c r="N207" s="72">
        <f t="shared" si="23"/>
        <v>0</v>
      </c>
      <c r="O207" s="55">
        <f t="shared" si="24"/>
        <v>0</v>
      </c>
      <c r="P207" s="77">
        <f t="shared" si="25"/>
        <v>0</v>
      </c>
      <c r="Q207" s="53">
        <f t="shared" si="26"/>
        <v>310803.02113511472</v>
      </c>
    </row>
    <row r="208" spans="1:17" x14ac:dyDescent="0.25">
      <c r="A208" s="35">
        <v>1600</v>
      </c>
      <c r="B208" s="35" t="s">
        <v>14</v>
      </c>
      <c r="C208" s="36">
        <f>IFERROR(VLOOKUP($A208,'Pipe Rate'!$A$1:$AC$23,MATCH($B208,'Pipe Rate'!$B$1:$AC$1,0)+1,0),"N/F")</f>
        <v>1065.2939655533742</v>
      </c>
      <c r="D208" s="65">
        <v>1388</v>
      </c>
      <c r="E208" s="51">
        <v>1388</v>
      </c>
      <c r="F208" s="68"/>
      <c r="G208" s="72"/>
      <c r="H208" s="55"/>
      <c r="I208" s="77"/>
      <c r="J208" s="53">
        <v>1388</v>
      </c>
      <c r="K208" s="65">
        <f t="shared" si="8"/>
        <v>1478628.0241880834</v>
      </c>
      <c r="L208" s="51">
        <f t="shared" si="21"/>
        <v>1478628.0241880834</v>
      </c>
      <c r="M208" s="68">
        <f t="shared" si="22"/>
        <v>0</v>
      </c>
      <c r="N208" s="72">
        <f t="shared" si="23"/>
        <v>0</v>
      </c>
      <c r="O208" s="55">
        <f t="shared" si="24"/>
        <v>0</v>
      </c>
      <c r="P208" s="77">
        <f t="shared" si="25"/>
        <v>0</v>
      </c>
      <c r="Q208" s="53">
        <f t="shared" si="26"/>
        <v>1478628.0241880834</v>
      </c>
    </row>
    <row r="209" spans="1:17" x14ac:dyDescent="0.25">
      <c r="A209" s="35">
        <v>1600</v>
      </c>
      <c r="B209" s="35" t="s">
        <v>16</v>
      </c>
      <c r="C209" s="36">
        <f>IFERROR(VLOOKUP($A209,'Pipe Rate'!$A$1:$AC$23,MATCH($B209,'Pipe Rate'!$B$1:$AC$1,0)+1,0),"N/F")</f>
        <v>1312.5486949583126</v>
      </c>
      <c r="D209" s="65">
        <v>1222</v>
      </c>
      <c r="E209" s="51">
        <v>1222</v>
      </c>
      <c r="F209" s="68"/>
      <c r="G209" s="72"/>
      <c r="H209" s="55"/>
      <c r="I209" s="77"/>
      <c r="J209" s="53">
        <v>1222</v>
      </c>
      <c r="K209" s="65">
        <f t="shared" si="8"/>
        <v>1603934.5052390581</v>
      </c>
      <c r="L209" s="51">
        <f t="shared" si="21"/>
        <v>1603934.5052390581</v>
      </c>
      <c r="M209" s="68">
        <f t="shared" si="22"/>
        <v>0</v>
      </c>
      <c r="N209" s="72">
        <f t="shared" si="23"/>
        <v>0</v>
      </c>
      <c r="O209" s="55">
        <f t="shared" si="24"/>
        <v>0</v>
      </c>
      <c r="P209" s="77">
        <f t="shared" si="25"/>
        <v>0</v>
      </c>
      <c r="Q209" s="53">
        <f t="shared" si="26"/>
        <v>1603934.5052390581</v>
      </c>
    </row>
    <row r="210" spans="1:17" x14ac:dyDescent="0.25">
      <c r="A210" s="35">
        <v>1600</v>
      </c>
      <c r="B210" s="35" t="s">
        <v>18</v>
      </c>
      <c r="C210" s="36">
        <f>IFERROR(VLOOKUP($A210,'Pipe Rate'!$A$1:$AC$23,MATCH($B210,'Pipe Rate'!$B$1:$AC$1,0)+1,0),"N/F")</f>
        <v>1617.1912470581372</v>
      </c>
      <c r="D210" s="65">
        <v>890</v>
      </c>
      <c r="E210" s="51">
        <v>890</v>
      </c>
      <c r="F210" s="68"/>
      <c r="G210" s="72"/>
      <c r="H210" s="55"/>
      <c r="I210" s="77"/>
      <c r="J210" s="53">
        <v>890</v>
      </c>
      <c r="K210" s="65">
        <f t="shared" si="8"/>
        <v>1439300.209881742</v>
      </c>
      <c r="L210" s="51">
        <f t="shared" si="21"/>
        <v>1439300.209881742</v>
      </c>
      <c r="M210" s="68">
        <f t="shared" si="22"/>
        <v>0</v>
      </c>
      <c r="N210" s="72">
        <f t="shared" si="23"/>
        <v>0</v>
      </c>
      <c r="O210" s="55">
        <f t="shared" si="24"/>
        <v>0</v>
      </c>
      <c r="P210" s="77">
        <f t="shared" si="25"/>
        <v>0</v>
      </c>
      <c r="Q210" s="53">
        <f t="shared" si="26"/>
        <v>1439300.209881742</v>
      </c>
    </row>
    <row r="211" spans="1:17" x14ac:dyDescent="0.25">
      <c r="A211" s="35">
        <v>1600</v>
      </c>
      <c r="B211" s="35" t="s">
        <v>21</v>
      </c>
      <c r="C211" s="36">
        <f>IFERROR(VLOOKUP($A211,'Pipe Rate'!$A$1:$AC$23,MATCH($B211,'Pipe Rate'!$B$1:$AC$1,0)+1,0),"N/F")</f>
        <v>2333.6069695048923</v>
      </c>
      <c r="D211" s="65">
        <v>185</v>
      </c>
      <c r="E211" s="51">
        <v>185</v>
      </c>
      <c r="F211" s="68"/>
      <c r="G211" s="72">
        <v>1102</v>
      </c>
      <c r="H211" s="55">
        <v>43</v>
      </c>
      <c r="I211" s="77">
        <v>43</v>
      </c>
      <c r="J211" s="53">
        <v>185</v>
      </c>
      <c r="K211" s="65">
        <f t="shared" si="8"/>
        <v>431717.28935840505</v>
      </c>
      <c r="L211" s="51">
        <f t="shared" si="21"/>
        <v>431717.28935840505</v>
      </c>
      <c r="M211" s="68">
        <f t="shared" si="22"/>
        <v>0</v>
      </c>
      <c r="N211" s="72">
        <f t="shared" si="23"/>
        <v>2571634.8803943912</v>
      </c>
      <c r="O211" s="55">
        <f t="shared" si="24"/>
        <v>100345.09968871037</v>
      </c>
      <c r="P211" s="77">
        <f t="shared" si="25"/>
        <v>100345.09968871037</v>
      </c>
      <c r="Q211" s="53">
        <f t="shared" si="26"/>
        <v>431717.28935840505</v>
      </c>
    </row>
    <row r="212" spans="1:17" x14ac:dyDescent="0.25">
      <c r="A212" s="35">
        <v>1600</v>
      </c>
      <c r="B212" s="35" t="s">
        <v>25</v>
      </c>
      <c r="C212" s="36">
        <f>IFERROR(VLOOKUP($A212,'Pipe Rate'!$A$1:$AC$23,MATCH($B212,'Pipe Rate'!$B$1:$AC$1,0)+1,0),"N/F")</f>
        <v>2875.2371471269785</v>
      </c>
      <c r="D212" s="65"/>
      <c r="E212" s="51"/>
      <c r="F212" s="68"/>
      <c r="G212" s="72">
        <v>407</v>
      </c>
      <c r="H212" s="55"/>
      <c r="I212" s="77"/>
      <c r="J212" s="53"/>
      <c r="K212" s="65">
        <f t="shared" ref="K212:K238" si="27">IFERROR(D212*$C212,0)</f>
        <v>0</v>
      </c>
      <c r="L212" s="51">
        <f t="shared" si="21"/>
        <v>0</v>
      </c>
      <c r="M212" s="68">
        <f t="shared" si="22"/>
        <v>0</v>
      </c>
      <c r="N212" s="72">
        <f t="shared" si="23"/>
        <v>1170221.5188806802</v>
      </c>
      <c r="O212" s="55">
        <f t="shared" si="24"/>
        <v>0</v>
      </c>
      <c r="P212" s="77">
        <f t="shared" si="25"/>
        <v>0</v>
      </c>
      <c r="Q212" s="53">
        <f t="shared" si="26"/>
        <v>0</v>
      </c>
    </row>
    <row r="213" spans="1:17" x14ac:dyDescent="0.25">
      <c r="A213" s="35">
        <v>1600</v>
      </c>
      <c r="B213" s="35" t="s">
        <v>27</v>
      </c>
      <c r="C213" s="36">
        <f>IFERROR(VLOOKUP($A213,'Pipe Rate'!$A$1:$AC$23,MATCH($B213,'Pipe Rate'!$B$1:$AC$1,0)+1,0),"N/F")</f>
        <v>3542.5796889751509</v>
      </c>
      <c r="D213" s="65"/>
      <c r="E213" s="51"/>
      <c r="F213" s="68"/>
      <c r="G213" s="72">
        <v>333</v>
      </c>
      <c r="H213" s="55"/>
      <c r="I213" s="77"/>
      <c r="J213" s="53"/>
      <c r="K213" s="65">
        <f t="shared" si="27"/>
        <v>0</v>
      </c>
      <c r="L213" s="51">
        <f t="shared" si="21"/>
        <v>0</v>
      </c>
      <c r="M213" s="68">
        <f t="shared" si="22"/>
        <v>0</v>
      </c>
      <c r="N213" s="72">
        <f t="shared" si="23"/>
        <v>1179679.0364287253</v>
      </c>
      <c r="O213" s="55">
        <f t="shared" si="24"/>
        <v>0</v>
      </c>
      <c r="P213" s="77">
        <f t="shared" si="25"/>
        <v>0</v>
      </c>
      <c r="Q213" s="53">
        <f t="shared" si="26"/>
        <v>0</v>
      </c>
    </row>
    <row r="214" spans="1:17" x14ac:dyDescent="0.25">
      <c r="A214" s="35">
        <v>1800</v>
      </c>
      <c r="B214" s="35" t="s">
        <v>21</v>
      </c>
      <c r="C214" s="36">
        <f>IFERROR(VLOOKUP($A214,'Pipe Rate'!$A$1:$AC$23,MATCH($B214,'Pipe Rate'!$B$1:$AC$1,0)+1,0),"N/F")</f>
        <v>2911.7528403281772</v>
      </c>
      <c r="D214" s="65"/>
      <c r="E214" s="51"/>
      <c r="F214" s="68">
        <v>824</v>
      </c>
      <c r="G214" s="72"/>
      <c r="H214" s="55"/>
      <c r="I214" s="77"/>
      <c r="J214" s="53"/>
      <c r="K214" s="65">
        <f t="shared" si="27"/>
        <v>0</v>
      </c>
      <c r="L214" s="51">
        <f t="shared" si="21"/>
        <v>0</v>
      </c>
      <c r="M214" s="68">
        <f t="shared" si="22"/>
        <v>2399284.340430418</v>
      </c>
      <c r="N214" s="72">
        <f t="shared" si="23"/>
        <v>0</v>
      </c>
      <c r="O214" s="55">
        <f t="shared" si="24"/>
        <v>0</v>
      </c>
      <c r="P214" s="77">
        <f t="shared" si="25"/>
        <v>0</v>
      </c>
      <c r="Q214" s="53">
        <f t="shared" si="26"/>
        <v>0</v>
      </c>
    </row>
    <row r="215" spans="1:17" x14ac:dyDescent="0.25">
      <c r="A215" s="35">
        <v>1800</v>
      </c>
      <c r="B215" s="35" t="s">
        <v>25</v>
      </c>
      <c r="C215" s="36">
        <f>IFERROR(VLOOKUP($A215,'Pipe Rate'!$A$1:$AC$23,MATCH($B215,'Pipe Rate'!$B$1:$AC$1,0)+1,0),"N/F")</f>
        <v>3587.5706745683474</v>
      </c>
      <c r="D215" s="65"/>
      <c r="E215" s="51"/>
      <c r="F215" s="68">
        <v>685</v>
      </c>
      <c r="G215" s="72">
        <v>43</v>
      </c>
      <c r="H215" s="55"/>
      <c r="I215" s="77"/>
      <c r="J215" s="53"/>
      <c r="K215" s="65">
        <f t="shared" si="27"/>
        <v>0</v>
      </c>
      <c r="L215" s="51">
        <f t="shared" si="21"/>
        <v>0</v>
      </c>
      <c r="M215" s="68">
        <f t="shared" si="22"/>
        <v>2457485.912079318</v>
      </c>
      <c r="N215" s="72">
        <f t="shared" si="23"/>
        <v>154265.53900643895</v>
      </c>
      <c r="O215" s="55">
        <f t="shared" si="24"/>
        <v>0</v>
      </c>
      <c r="P215" s="77">
        <f t="shared" si="25"/>
        <v>0</v>
      </c>
      <c r="Q215" s="53">
        <f t="shared" si="26"/>
        <v>0</v>
      </c>
    </row>
    <row r="216" spans="1:17" x14ac:dyDescent="0.25">
      <c r="A216" s="35">
        <v>1800</v>
      </c>
      <c r="B216" s="35" t="s">
        <v>27</v>
      </c>
      <c r="C216" s="36">
        <f>IFERROR(VLOOKUP($A216,'Pipe Rate'!$A$1:$AC$23,MATCH($B216,'Pipe Rate'!$B$1:$AC$1,0)+1,0),"N/F")</f>
        <v>4420.2458281356621</v>
      </c>
      <c r="D216" s="65"/>
      <c r="E216" s="51"/>
      <c r="F216" s="68">
        <v>333</v>
      </c>
      <c r="G216" s="72"/>
      <c r="H216" s="55"/>
      <c r="I216" s="77"/>
      <c r="J216" s="53"/>
      <c r="K216" s="65">
        <f t="shared" si="27"/>
        <v>0</v>
      </c>
      <c r="L216" s="51">
        <f t="shared" si="21"/>
        <v>0</v>
      </c>
      <c r="M216" s="68">
        <f t="shared" si="22"/>
        <v>1471941.8607691755</v>
      </c>
      <c r="N216" s="72">
        <f t="shared" si="23"/>
        <v>0</v>
      </c>
      <c r="O216" s="55">
        <f t="shared" si="24"/>
        <v>0</v>
      </c>
      <c r="P216" s="77">
        <f t="shared" si="25"/>
        <v>0</v>
      </c>
      <c r="Q216" s="53">
        <f t="shared" si="26"/>
        <v>0</v>
      </c>
    </row>
    <row r="217" spans="1:17" x14ac:dyDescent="0.25">
      <c r="A217" s="35">
        <v>2000</v>
      </c>
      <c r="B217" s="35" t="s">
        <v>21</v>
      </c>
      <c r="C217" s="36">
        <f>IFERROR(VLOOKUP($A217,'Pipe Rate'!$A$1:$AC$23,MATCH($B217,'Pipe Rate'!$B$1:$AC$1,0)+1,0),"N/F")</f>
        <v>3550.5433829161407</v>
      </c>
      <c r="D217" s="65">
        <v>500</v>
      </c>
      <c r="E217" s="51">
        <v>500</v>
      </c>
      <c r="F217" s="68"/>
      <c r="G217" s="72"/>
      <c r="H217" s="55"/>
      <c r="I217" s="77"/>
      <c r="J217" s="53">
        <v>500</v>
      </c>
      <c r="K217" s="65">
        <f t="shared" si="27"/>
        <v>1775271.6914580704</v>
      </c>
      <c r="L217" s="51">
        <f t="shared" si="21"/>
        <v>1775271.6914580704</v>
      </c>
      <c r="M217" s="68">
        <f t="shared" si="22"/>
        <v>0</v>
      </c>
      <c r="N217" s="72">
        <f t="shared" si="23"/>
        <v>0</v>
      </c>
      <c r="O217" s="55">
        <f t="shared" si="24"/>
        <v>0</v>
      </c>
      <c r="P217" s="77">
        <f t="shared" si="25"/>
        <v>0</v>
      </c>
      <c r="Q217" s="53">
        <f t="shared" si="26"/>
        <v>1775271.6914580704</v>
      </c>
    </row>
    <row r="218" spans="1:17" x14ac:dyDescent="0.25">
      <c r="A218" s="35">
        <v>2000</v>
      </c>
      <c r="B218" s="35" t="s">
        <v>25</v>
      </c>
      <c r="C218" s="36">
        <f>IFERROR(VLOOKUP($A218,'Pipe Rate'!$A$1:$AC$23,MATCH($B218,'Pipe Rate'!$B$1:$AC$1,0)+1,0),"N/F")</f>
        <v>4374.6245020909782</v>
      </c>
      <c r="D218" s="65">
        <v>909</v>
      </c>
      <c r="E218" s="51">
        <v>909</v>
      </c>
      <c r="F218" s="68">
        <v>43</v>
      </c>
      <c r="G218" s="72"/>
      <c r="H218" s="55"/>
      <c r="I218" s="77"/>
      <c r="J218" s="53">
        <v>909</v>
      </c>
      <c r="K218" s="65">
        <f t="shared" si="27"/>
        <v>3976533.672400699</v>
      </c>
      <c r="L218" s="51">
        <f t="shared" si="21"/>
        <v>3976533.672400699</v>
      </c>
      <c r="M218" s="68">
        <f t="shared" si="22"/>
        <v>188108.85358991206</v>
      </c>
      <c r="N218" s="72">
        <f t="shared" si="23"/>
        <v>0</v>
      </c>
      <c r="O218" s="55">
        <f t="shared" si="24"/>
        <v>0</v>
      </c>
      <c r="P218" s="77">
        <f t="shared" si="25"/>
        <v>0</v>
      </c>
      <c r="Q218" s="53">
        <f t="shared" si="26"/>
        <v>3976533.672400699</v>
      </c>
    </row>
    <row r="219" spans="1:17" x14ac:dyDescent="0.25">
      <c r="A219" s="35">
        <v>2000</v>
      </c>
      <c r="B219" s="35" t="s">
        <v>27</v>
      </c>
      <c r="C219" s="36">
        <f>IFERROR(VLOOKUP($A219,'Pipe Rate'!$A$1:$AC$23,MATCH($B219,'Pipe Rate'!$B$1:$AC$1,0)+1,0),"N/F")</f>
        <v>5389.9748490262946</v>
      </c>
      <c r="D219" s="65">
        <v>433</v>
      </c>
      <c r="E219" s="51">
        <v>433</v>
      </c>
      <c r="F219" s="68"/>
      <c r="G219" s="72"/>
      <c r="H219" s="55"/>
      <c r="I219" s="77"/>
      <c r="J219" s="53">
        <v>433</v>
      </c>
      <c r="K219" s="65">
        <f t="shared" si="27"/>
        <v>2333859.1096283854</v>
      </c>
      <c r="L219" s="51">
        <f t="shared" si="21"/>
        <v>2333859.1096283854</v>
      </c>
      <c r="M219" s="68">
        <f t="shared" si="22"/>
        <v>0</v>
      </c>
      <c r="N219" s="72">
        <f t="shared" si="23"/>
        <v>0</v>
      </c>
      <c r="O219" s="55">
        <f t="shared" si="24"/>
        <v>0</v>
      </c>
      <c r="P219" s="77">
        <f t="shared" si="25"/>
        <v>0</v>
      </c>
      <c r="Q219" s="53">
        <f t="shared" si="26"/>
        <v>2333859.1096283854</v>
      </c>
    </row>
    <row r="220" spans="1:17" x14ac:dyDescent="0.25">
      <c r="A220" s="35">
        <v>2200</v>
      </c>
      <c r="B220" s="35" t="s">
        <v>7</v>
      </c>
      <c r="C220" s="36">
        <f>IFERROR(VLOOKUP($A220,'Pipe Rate'!$A$1:$AC$23,MATCH($B220,'Pipe Rate'!$B$1:$AC$1,0)+1,0),"N/F")</f>
        <v>797.44238637300009</v>
      </c>
      <c r="D220" s="65"/>
      <c r="E220" s="51">
        <v>938</v>
      </c>
      <c r="F220" s="68"/>
      <c r="G220" s="72"/>
      <c r="H220" s="55"/>
      <c r="I220" s="77"/>
      <c r="J220" s="53"/>
      <c r="K220" s="65">
        <f t="shared" si="27"/>
        <v>0</v>
      </c>
      <c r="L220" s="51">
        <f t="shared" si="21"/>
        <v>748000.95841787406</v>
      </c>
      <c r="M220" s="68">
        <f t="shared" si="22"/>
        <v>0</v>
      </c>
      <c r="N220" s="72">
        <f t="shared" si="23"/>
        <v>0</v>
      </c>
      <c r="O220" s="55">
        <f t="shared" si="24"/>
        <v>0</v>
      </c>
      <c r="P220" s="77">
        <f t="shared" si="25"/>
        <v>0</v>
      </c>
      <c r="Q220" s="53">
        <f t="shared" si="26"/>
        <v>0</v>
      </c>
    </row>
    <row r="221" spans="1:17" x14ac:dyDescent="0.25">
      <c r="A221" s="35">
        <v>2200</v>
      </c>
      <c r="B221" s="35" t="s">
        <v>8</v>
      </c>
      <c r="C221" s="36">
        <f>IFERROR(VLOOKUP($A221,'Pipe Rate'!$A$1:$AC$23,MATCH($B221,'Pipe Rate'!$B$1:$AC$1,0)+1,0),"N/F")</f>
        <v>885.16104887403014</v>
      </c>
      <c r="D221" s="65"/>
      <c r="E221" s="51">
        <v>337</v>
      </c>
      <c r="F221" s="68"/>
      <c r="G221" s="72"/>
      <c r="H221" s="55"/>
      <c r="I221" s="77"/>
      <c r="J221" s="53"/>
      <c r="K221" s="65">
        <f t="shared" si="27"/>
        <v>0</v>
      </c>
      <c r="L221" s="51">
        <f t="shared" si="21"/>
        <v>298299.27347054816</v>
      </c>
      <c r="M221" s="68">
        <f t="shared" si="22"/>
        <v>0</v>
      </c>
      <c r="N221" s="72">
        <f t="shared" si="23"/>
        <v>0</v>
      </c>
      <c r="O221" s="55">
        <f t="shared" si="24"/>
        <v>0</v>
      </c>
      <c r="P221" s="77">
        <f t="shared" si="25"/>
        <v>0</v>
      </c>
      <c r="Q221" s="53">
        <f t="shared" si="26"/>
        <v>0</v>
      </c>
    </row>
    <row r="222" spans="1:17" x14ac:dyDescent="0.25">
      <c r="A222" s="35">
        <v>2200</v>
      </c>
      <c r="B222" s="35" t="s">
        <v>10</v>
      </c>
      <c r="C222" s="36">
        <f>IFERROR(VLOOKUP($A222,'Pipe Rate'!$A$1:$AC$23,MATCH($B222,'Pipe Rate'!$B$1:$AC$1,0)+1,0),"N/F")</f>
        <v>1090.6069283176928</v>
      </c>
      <c r="D222" s="65"/>
      <c r="E222" s="51">
        <v>591</v>
      </c>
      <c r="F222" s="68"/>
      <c r="G222" s="72"/>
      <c r="H222" s="55"/>
      <c r="I222" s="77"/>
      <c r="J222" s="53"/>
      <c r="K222" s="65">
        <f t="shared" si="27"/>
        <v>0</v>
      </c>
      <c r="L222" s="51">
        <f t="shared" si="21"/>
        <v>644548.69463575643</v>
      </c>
      <c r="M222" s="68">
        <f t="shared" si="22"/>
        <v>0</v>
      </c>
      <c r="N222" s="72">
        <f t="shared" si="23"/>
        <v>0</v>
      </c>
      <c r="O222" s="55">
        <f t="shared" si="24"/>
        <v>0</v>
      </c>
      <c r="P222" s="77">
        <f t="shared" si="25"/>
        <v>0</v>
      </c>
      <c r="Q222" s="53">
        <f t="shared" si="26"/>
        <v>0</v>
      </c>
    </row>
    <row r="223" spans="1:17" x14ac:dyDescent="0.25">
      <c r="A223" s="35">
        <v>2200</v>
      </c>
      <c r="B223" s="35" t="s">
        <v>12</v>
      </c>
      <c r="C223" s="36">
        <f>IFERROR(VLOOKUP($A223,'Pipe Rate'!$A$1:$AC$23,MATCH($B223,'Pipe Rate'!$B$1:$AC$1,0)+1,0),"N/F")</f>
        <v>1343.7367963802294</v>
      </c>
      <c r="D223" s="65"/>
      <c r="E223" s="51">
        <v>702</v>
      </c>
      <c r="F223" s="68"/>
      <c r="G223" s="72"/>
      <c r="H223" s="55"/>
      <c r="I223" s="77"/>
      <c r="J223" s="53"/>
      <c r="K223" s="65">
        <f t="shared" si="27"/>
        <v>0</v>
      </c>
      <c r="L223" s="51">
        <f t="shared" si="21"/>
        <v>943303.23105892108</v>
      </c>
      <c r="M223" s="68">
        <f t="shared" si="22"/>
        <v>0</v>
      </c>
      <c r="N223" s="72">
        <f t="shared" si="23"/>
        <v>0</v>
      </c>
      <c r="O223" s="55">
        <f t="shared" si="24"/>
        <v>0</v>
      </c>
      <c r="P223" s="77">
        <f t="shared" si="25"/>
        <v>0</v>
      </c>
      <c r="Q223" s="53">
        <f t="shared" si="26"/>
        <v>0</v>
      </c>
    </row>
    <row r="224" spans="1:17" x14ac:dyDescent="0.25">
      <c r="A224" s="35">
        <v>2200</v>
      </c>
      <c r="B224" s="35" t="s">
        <v>14</v>
      </c>
      <c r="C224" s="36">
        <f>IFERROR(VLOOKUP($A224,'Pipe Rate'!$A$1:$AC$23,MATCH($B224,'Pipe Rate'!$B$1:$AC$1,0)+1,0),"N/F")</f>
        <v>1939.0121971766712</v>
      </c>
      <c r="D224" s="65"/>
      <c r="E224" s="51">
        <v>1003</v>
      </c>
      <c r="F224" s="68"/>
      <c r="G224" s="72"/>
      <c r="H224" s="55"/>
      <c r="I224" s="77"/>
      <c r="J224" s="53"/>
      <c r="K224" s="65">
        <f t="shared" si="27"/>
        <v>0</v>
      </c>
      <c r="L224" s="51">
        <f t="shared" si="21"/>
        <v>1944829.2337682012</v>
      </c>
      <c r="M224" s="68">
        <f t="shared" si="22"/>
        <v>0</v>
      </c>
      <c r="N224" s="72">
        <f t="shared" si="23"/>
        <v>0</v>
      </c>
      <c r="O224" s="55">
        <f t="shared" si="24"/>
        <v>0</v>
      </c>
      <c r="P224" s="77">
        <f t="shared" si="25"/>
        <v>0</v>
      </c>
      <c r="Q224" s="53">
        <f t="shared" si="26"/>
        <v>0</v>
      </c>
    </row>
    <row r="225" spans="1:17" x14ac:dyDescent="0.25">
      <c r="A225" s="35">
        <v>2200</v>
      </c>
      <c r="B225" s="35" t="s">
        <v>16</v>
      </c>
      <c r="C225" s="36">
        <f>IFERROR(VLOOKUP($A225,'Pipe Rate'!$A$1:$AC$23,MATCH($B225,'Pipe Rate'!$B$1:$AC$1,0)+1,0),"N/F")</f>
        <v>2389.0569281413768</v>
      </c>
      <c r="D225" s="65"/>
      <c r="E225" s="51">
        <v>929</v>
      </c>
      <c r="F225" s="68"/>
      <c r="G225" s="72"/>
      <c r="H225" s="55"/>
      <c r="I225" s="77"/>
      <c r="J225" s="53"/>
      <c r="K225" s="65">
        <f t="shared" si="27"/>
        <v>0</v>
      </c>
      <c r="L225" s="51">
        <f t="shared" si="21"/>
        <v>2219433.8862433392</v>
      </c>
      <c r="M225" s="68">
        <f t="shared" si="22"/>
        <v>0</v>
      </c>
      <c r="N225" s="72">
        <f t="shared" si="23"/>
        <v>0</v>
      </c>
      <c r="O225" s="55">
        <f t="shared" si="24"/>
        <v>0</v>
      </c>
      <c r="P225" s="77">
        <f t="shared" si="25"/>
        <v>0</v>
      </c>
      <c r="Q225" s="53">
        <f t="shared" si="26"/>
        <v>0</v>
      </c>
    </row>
    <row r="226" spans="1:17" x14ac:dyDescent="0.25">
      <c r="A226" s="35">
        <v>2200</v>
      </c>
      <c r="B226" s="35" t="s">
        <v>18</v>
      </c>
      <c r="C226" s="36">
        <f>IFERROR(VLOOKUP($A226,'Pipe Rate'!$A$1:$AC$23,MATCH($B226,'Pipe Rate'!$B$1:$AC$1,0)+1,0),"N/F")</f>
        <v>2943.557041162991</v>
      </c>
      <c r="D226" s="65"/>
      <c r="E226" s="51">
        <v>664</v>
      </c>
      <c r="F226" s="68"/>
      <c r="G226" s="72"/>
      <c r="H226" s="55"/>
      <c r="I226" s="77"/>
      <c r="J226" s="53"/>
      <c r="K226" s="65">
        <f t="shared" si="27"/>
        <v>0</v>
      </c>
      <c r="L226" s="51">
        <f t="shared" si="21"/>
        <v>1954521.875332226</v>
      </c>
      <c r="M226" s="68">
        <f t="shared" si="22"/>
        <v>0</v>
      </c>
      <c r="N226" s="72">
        <f t="shared" si="23"/>
        <v>0</v>
      </c>
      <c r="O226" s="55">
        <f t="shared" si="24"/>
        <v>0</v>
      </c>
      <c r="P226" s="77">
        <f t="shared" si="25"/>
        <v>0</v>
      </c>
      <c r="Q226" s="53">
        <f t="shared" si="26"/>
        <v>0</v>
      </c>
    </row>
    <row r="227" spans="1:17" x14ac:dyDescent="0.25">
      <c r="A227" s="35">
        <v>2200</v>
      </c>
      <c r="B227" s="35" t="s">
        <v>21</v>
      </c>
      <c r="C227" s="36">
        <f>IFERROR(VLOOKUP($A227,'Pipe Rate'!$A$1:$AC$23,MATCH($B227,'Pipe Rate'!$B$1:$AC$1,0)+1,0),"N/F")</f>
        <v>4247.5528103981969</v>
      </c>
      <c r="D227" s="65"/>
      <c r="E227" s="51">
        <v>169</v>
      </c>
      <c r="F227" s="68"/>
      <c r="G227" s="72"/>
      <c r="H227" s="55"/>
      <c r="I227" s="77"/>
      <c r="J227" s="53"/>
      <c r="K227" s="65">
        <f t="shared" si="27"/>
        <v>0</v>
      </c>
      <c r="L227" s="51">
        <f t="shared" si="21"/>
        <v>717836.4249572953</v>
      </c>
      <c r="M227" s="68">
        <f t="shared" si="22"/>
        <v>0</v>
      </c>
      <c r="N227" s="72">
        <f t="shared" si="23"/>
        <v>0</v>
      </c>
      <c r="O227" s="55">
        <f t="shared" si="24"/>
        <v>0</v>
      </c>
      <c r="P227" s="77">
        <f t="shared" si="25"/>
        <v>0</v>
      </c>
      <c r="Q227" s="53">
        <f t="shared" si="26"/>
        <v>0</v>
      </c>
    </row>
    <row r="228" spans="1:17" x14ac:dyDescent="0.25">
      <c r="A228" s="35">
        <v>2200</v>
      </c>
      <c r="B228" s="35" t="s">
        <v>25</v>
      </c>
      <c r="C228" s="36">
        <f>IFERROR(VLOOKUP($A228,'Pipe Rate'!$A$1:$AC$23,MATCH($B228,'Pipe Rate'!$B$1:$AC$1,0)+1,0),"N/F")</f>
        <v>5233.4098176916186</v>
      </c>
      <c r="D228" s="65">
        <v>43</v>
      </c>
      <c r="E228" s="51">
        <v>43</v>
      </c>
      <c r="F228" s="68"/>
      <c r="G228" s="72"/>
      <c r="H228" s="55"/>
      <c r="I228" s="77"/>
      <c r="J228" s="53">
        <v>43</v>
      </c>
      <c r="K228" s="65">
        <f t="shared" si="27"/>
        <v>225036.62216073961</v>
      </c>
      <c r="L228" s="51">
        <f t="shared" si="21"/>
        <v>225036.62216073961</v>
      </c>
      <c r="M228" s="68">
        <f t="shared" si="22"/>
        <v>0</v>
      </c>
      <c r="N228" s="72">
        <f t="shared" si="23"/>
        <v>0</v>
      </c>
      <c r="O228" s="55">
        <f t="shared" si="24"/>
        <v>0</v>
      </c>
      <c r="P228" s="77">
        <f t="shared" si="25"/>
        <v>0</v>
      </c>
      <c r="Q228" s="53">
        <f t="shared" si="26"/>
        <v>225036.62216073961</v>
      </c>
    </row>
    <row r="229" spans="1:17" x14ac:dyDescent="0.25">
      <c r="A229" s="35"/>
      <c r="B229" s="35"/>
      <c r="C229" s="36" t="str">
        <f>IFERROR(VLOOKUP($A229,'Pipe Rate'!$A$1:$AC$23,MATCH($B229,'Pipe Rate'!$B$1:$AC$1,0)+1,0),"N/F")</f>
        <v>N/F</v>
      </c>
      <c r="D229" s="65"/>
      <c r="E229" s="51"/>
      <c r="F229" s="68"/>
      <c r="G229" s="72"/>
      <c r="H229" s="55"/>
      <c r="I229" s="77"/>
      <c r="J229" s="53"/>
      <c r="K229" s="65">
        <f t="shared" si="27"/>
        <v>0</v>
      </c>
      <c r="L229" s="51">
        <f t="shared" si="21"/>
        <v>0</v>
      </c>
      <c r="M229" s="68">
        <f t="shared" si="22"/>
        <v>0</v>
      </c>
      <c r="N229" s="72">
        <f t="shared" si="23"/>
        <v>0</v>
      </c>
      <c r="O229" s="55">
        <f t="shared" si="24"/>
        <v>0</v>
      </c>
      <c r="P229" s="77">
        <f t="shared" si="25"/>
        <v>0</v>
      </c>
      <c r="Q229" s="53">
        <f t="shared" si="26"/>
        <v>0</v>
      </c>
    </row>
    <row r="230" spans="1:17" x14ac:dyDescent="0.25">
      <c r="A230" s="35"/>
      <c r="B230" s="35"/>
      <c r="C230" s="36" t="str">
        <f>IFERROR(VLOOKUP($A230,'Pipe Rate'!$A$1:$AC$23,MATCH($B230,'Pipe Rate'!$B$1:$AC$1,0)+1,0),"N/F")</f>
        <v>N/F</v>
      </c>
      <c r="D230" s="65"/>
      <c r="E230" s="51"/>
      <c r="F230" s="68"/>
      <c r="G230" s="72"/>
      <c r="H230" s="55"/>
      <c r="I230" s="77"/>
      <c r="J230" s="53"/>
      <c r="K230" s="65">
        <f t="shared" si="27"/>
        <v>0</v>
      </c>
      <c r="L230" s="51">
        <f t="shared" si="21"/>
        <v>0</v>
      </c>
      <c r="M230" s="68">
        <f t="shared" si="22"/>
        <v>0</v>
      </c>
      <c r="N230" s="72">
        <f t="shared" si="23"/>
        <v>0</v>
      </c>
      <c r="O230" s="55">
        <f t="shared" si="24"/>
        <v>0</v>
      </c>
      <c r="P230" s="77">
        <f t="shared" si="25"/>
        <v>0</v>
      </c>
      <c r="Q230" s="53">
        <f t="shared" si="26"/>
        <v>0</v>
      </c>
    </row>
    <row r="231" spans="1:17" x14ac:dyDescent="0.25">
      <c r="A231" s="35"/>
      <c r="B231" s="35"/>
      <c r="C231" s="36" t="str">
        <f>IFERROR(VLOOKUP($A231,'Pipe Rate'!$A$1:$AC$23,MATCH($B231,'Pipe Rate'!$B$1:$AC$1,0)+1,0),"N/F")</f>
        <v>N/F</v>
      </c>
      <c r="D231" s="65"/>
      <c r="E231" s="51"/>
      <c r="F231" s="68"/>
      <c r="G231" s="72"/>
      <c r="H231" s="55"/>
      <c r="I231" s="77"/>
      <c r="J231" s="53"/>
      <c r="K231" s="65">
        <f t="shared" si="27"/>
        <v>0</v>
      </c>
      <c r="L231" s="51">
        <f t="shared" si="21"/>
        <v>0</v>
      </c>
      <c r="M231" s="68">
        <f t="shared" si="22"/>
        <v>0</v>
      </c>
      <c r="N231" s="72">
        <f t="shared" si="23"/>
        <v>0</v>
      </c>
      <c r="O231" s="55">
        <f t="shared" si="24"/>
        <v>0</v>
      </c>
      <c r="P231" s="77">
        <f t="shared" si="25"/>
        <v>0</v>
      </c>
      <c r="Q231" s="53">
        <f t="shared" si="26"/>
        <v>0</v>
      </c>
    </row>
    <row r="232" spans="1:17" x14ac:dyDescent="0.25">
      <c r="A232" s="35"/>
      <c r="B232" s="35"/>
      <c r="C232" s="36" t="str">
        <f>IFERROR(VLOOKUP($A232,'Pipe Rate'!$A$1:$AC$23,MATCH($B232,'Pipe Rate'!$B$1:$AC$1,0)+1,0),"N/F")</f>
        <v>N/F</v>
      </c>
      <c r="D232" s="65"/>
      <c r="E232" s="51"/>
      <c r="F232" s="68"/>
      <c r="G232" s="72"/>
      <c r="H232" s="55"/>
      <c r="I232" s="77"/>
      <c r="J232" s="53"/>
      <c r="K232" s="65">
        <f t="shared" si="27"/>
        <v>0</v>
      </c>
      <c r="L232" s="51">
        <f t="shared" si="21"/>
        <v>0</v>
      </c>
      <c r="M232" s="68">
        <f t="shared" si="22"/>
        <v>0</v>
      </c>
      <c r="N232" s="72">
        <f t="shared" si="23"/>
        <v>0</v>
      </c>
      <c r="O232" s="55">
        <f t="shared" si="24"/>
        <v>0</v>
      </c>
      <c r="P232" s="77">
        <f t="shared" si="25"/>
        <v>0</v>
      </c>
      <c r="Q232" s="53">
        <f t="shared" si="26"/>
        <v>0</v>
      </c>
    </row>
    <row r="233" spans="1:17" x14ac:dyDescent="0.25">
      <c r="A233" s="35"/>
      <c r="B233" s="35"/>
      <c r="C233" s="36" t="str">
        <f>IFERROR(VLOOKUP($A233,'Pipe Rate'!$A$1:$AC$23,MATCH($B233,'Pipe Rate'!$B$1:$AC$1,0)+1,0),"N/F")</f>
        <v>N/F</v>
      </c>
      <c r="D233" s="65"/>
      <c r="E233" s="51"/>
      <c r="F233" s="68"/>
      <c r="G233" s="72"/>
      <c r="H233" s="55"/>
      <c r="I233" s="77"/>
      <c r="J233" s="53"/>
      <c r="K233" s="65">
        <f t="shared" si="27"/>
        <v>0</v>
      </c>
      <c r="L233" s="51">
        <f t="shared" si="21"/>
        <v>0</v>
      </c>
      <c r="M233" s="68">
        <f t="shared" si="22"/>
        <v>0</v>
      </c>
      <c r="N233" s="72">
        <f t="shared" si="23"/>
        <v>0</v>
      </c>
      <c r="O233" s="55">
        <f t="shared" si="24"/>
        <v>0</v>
      </c>
      <c r="P233" s="77">
        <f t="shared" si="25"/>
        <v>0</v>
      </c>
      <c r="Q233" s="53">
        <f t="shared" si="26"/>
        <v>0</v>
      </c>
    </row>
    <row r="234" spans="1:17" x14ac:dyDescent="0.25">
      <c r="A234" s="35"/>
      <c r="B234" s="35"/>
      <c r="C234" s="36" t="str">
        <f>IFERROR(VLOOKUP($A234,'Pipe Rate'!$A$1:$AC$23,MATCH($B234,'Pipe Rate'!$B$1:$AC$1,0)+1,0),"N/F")</f>
        <v>N/F</v>
      </c>
      <c r="D234" s="65"/>
      <c r="E234" s="51"/>
      <c r="F234" s="68"/>
      <c r="G234" s="72"/>
      <c r="H234" s="55"/>
      <c r="I234" s="77"/>
      <c r="J234" s="53"/>
      <c r="K234" s="65">
        <f t="shared" si="27"/>
        <v>0</v>
      </c>
      <c r="L234" s="51">
        <f t="shared" si="21"/>
        <v>0</v>
      </c>
      <c r="M234" s="68">
        <f t="shared" si="22"/>
        <v>0</v>
      </c>
      <c r="N234" s="72">
        <f t="shared" si="23"/>
        <v>0</v>
      </c>
      <c r="O234" s="55">
        <f t="shared" si="24"/>
        <v>0</v>
      </c>
      <c r="P234" s="77">
        <f t="shared" si="25"/>
        <v>0</v>
      </c>
      <c r="Q234" s="53">
        <f t="shared" si="26"/>
        <v>0</v>
      </c>
    </row>
    <row r="235" spans="1:17" x14ac:dyDescent="0.25">
      <c r="A235" s="35"/>
      <c r="B235" s="35"/>
      <c r="C235" s="36" t="str">
        <f>IFERROR(VLOOKUP($A235,'Pipe Rate'!$A$1:$AC$23,MATCH($B235,'Pipe Rate'!$B$1:$AC$1,0)+1,0),"N/F")</f>
        <v>N/F</v>
      </c>
      <c r="D235" s="65"/>
      <c r="E235" s="51"/>
      <c r="F235" s="68"/>
      <c r="G235" s="72"/>
      <c r="H235" s="55"/>
      <c r="I235" s="77"/>
      <c r="J235" s="53"/>
      <c r="K235" s="65">
        <f t="shared" si="27"/>
        <v>0</v>
      </c>
      <c r="L235" s="51">
        <f t="shared" si="21"/>
        <v>0</v>
      </c>
      <c r="M235" s="68">
        <f t="shared" si="22"/>
        <v>0</v>
      </c>
      <c r="N235" s="72">
        <f t="shared" si="23"/>
        <v>0</v>
      </c>
      <c r="O235" s="55">
        <f t="shared" si="24"/>
        <v>0</v>
      </c>
      <c r="P235" s="77">
        <f t="shared" si="25"/>
        <v>0</v>
      </c>
      <c r="Q235" s="53">
        <f t="shared" si="26"/>
        <v>0</v>
      </c>
    </row>
    <row r="236" spans="1:17" x14ac:dyDescent="0.25">
      <c r="A236" s="35"/>
      <c r="B236" s="35"/>
      <c r="C236" s="36" t="str">
        <f>IFERROR(VLOOKUP($A236,'Pipe Rate'!$A$1:$AC$23,MATCH($B236,'Pipe Rate'!$B$1:$AC$1,0)+1,0),"N/F")</f>
        <v>N/F</v>
      </c>
      <c r="D236" s="65"/>
      <c r="E236" s="51"/>
      <c r="F236" s="68"/>
      <c r="G236" s="72"/>
      <c r="H236" s="55"/>
      <c r="I236" s="77"/>
      <c r="J236" s="53"/>
      <c r="K236" s="65">
        <f t="shared" si="27"/>
        <v>0</v>
      </c>
      <c r="L236" s="51">
        <f t="shared" si="21"/>
        <v>0</v>
      </c>
      <c r="M236" s="68">
        <f t="shared" si="22"/>
        <v>0</v>
      </c>
      <c r="N236" s="72">
        <f t="shared" si="23"/>
        <v>0</v>
      </c>
      <c r="O236" s="55">
        <f t="shared" si="24"/>
        <v>0</v>
      </c>
      <c r="P236" s="77">
        <f t="shared" si="25"/>
        <v>0</v>
      </c>
      <c r="Q236" s="53">
        <f t="shared" si="26"/>
        <v>0</v>
      </c>
    </row>
    <row r="237" spans="1:17" x14ac:dyDescent="0.25">
      <c r="A237" s="35"/>
      <c r="B237" s="35"/>
      <c r="C237" s="36" t="str">
        <f>IFERROR(VLOOKUP($A237,'Pipe Rate'!$A$1:$AC$23,MATCH($B237,'Pipe Rate'!$B$1:$AC$1,0)+1,0),"N/F")</f>
        <v>N/F</v>
      </c>
      <c r="D237" s="65"/>
      <c r="E237" s="51"/>
      <c r="F237" s="68"/>
      <c r="G237" s="72"/>
      <c r="H237" s="55"/>
      <c r="I237" s="77"/>
      <c r="J237" s="53"/>
      <c r="K237" s="65">
        <f t="shared" si="27"/>
        <v>0</v>
      </c>
      <c r="L237" s="51">
        <f t="shared" si="21"/>
        <v>0</v>
      </c>
      <c r="M237" s="68">
        <f t="shared" si="22"/>
        <v>0</v>
      </c>
      <c r="N237" s="72">
        <f t="shared" si="23"/>
        <v>0</v>
      </c>
      <c r="O237" s="55">
        <f t="shared" si="24"/>
        <v>0</v>
      </c>
      <c r="P237" s="77">
        <f t="shared" si="25"/>
        <v>0</v>
      </c>
      <c r="Q237" s="53">
        <f t="shared" si="26"/>
        <v>0</v>
      </c>
    </row>
    <row r="238" spans="1:17" x14ac:dyDescent="0.25">
      <c r="A238" s="35"/>
      <c r="B238" s="35"/>
      <c r="C238" s="36" t="str">
        <f>IFERROR(VLOOKUP($A238,'Pipe Rate'!$A$1:$AC$23,MATCH($B238,'Pipe Rate'!$B$1:$AC$1,0)+1,0),"N/F")</f>
        <v>N/F</v>
      </c>
      <c r="D238" s="65"/>
      <c r="E238" s="51"/>
      <c r="F238" s="68"/>
      <c r="G238" s="72"/>
      <c r="H238" s="55"/>
      <c r="I238" s="77"/>
      <c r="J238" s="53"/>
      <c r="K238" s="65">
        <f t="shared" si="27"/>
        <v>0</v>
      </c>
      <c r="L238" s="51">
        <f t="shared" si="21"/>
        <v>0</v>
      </c>
      <c r="M238" s="68">
        <f t="shared" si="22"/>
        <v>0</v>
      </c>
      <c r="N238" s="72">
        <f t="shared" si="23"/>
        <v>0</v>
      </c>
      <c r="O238" s="55">
        <f t="shared" si="24"/>
        <v>0</v>
      </c>
      <c r="P238" s="77">
        <f t="shared" si="25"/>
        <v>0</v>
      </c>
      <c r="Q238" s="53">
        <f t="shared" si="26"/>
        <v>0</v>
      </c>
    </row>
    <row r="239" spans="1:17" ht="28.5" customHeight="1" x14ac:dyDescent="0.25">
      <c r="A239" s="251" t="s">
        <v>32</v>
      </c>
      <c r="B239" s="252"/>
      <c r="C239" s="253"/>
      <c r="D239" s="63">
        <f t="shared" ref="D239:Q239" si="28">SUM(D3:D238)</f>
        <v>1498232</v>
      </c>
      <c r="E239" s="45">
        <f t="shared" si="28"/>
        <v>1498232</v>
      </c>
      <c r="F239" s="44">
        <f t="shared" si="28"/>
        <v>1498234</v>
      </c>
      <c r="G239" s="70">
        <f t="shared" si="28"/>
        <v>1498233</v>
      </c>
      <c r="H239" s="74">
        <f t="shared" si="28"/>
        <v>1498231</v>
      </c>
      <c r="I239" s="42">
        <f t="shared" si="28"/>
        <v>1498289</v>
      </c>
      <c r="J239" s="43">
        <f t="shared" si="28"/>
        <v>1498289</v>
      </c>
      <c r="K239" s="63">
        <f t="shared" si="28"/>
        <v>75852551.434955552</v>
      </c>
      <c r="L239" s="45">
        <f t="shared" si="28"/>
        <v>84823470.351707608</v>
      </c>
      <c r="M239" s="44">
        <f t="shared" si="28"/>
        <v>69540446.805194661</v>
      </c>
      <c r="N239" s="70">
        <f t="shared" si="28"/>
        <v>64136008.190863907</v>
      </c>
      <c r="O239" s="74">
        <f t="shared" si="28"/>
        <v>58366290.067676805</v>
      </c>
      <c r="P239" s="42">
        <f t="shared" si="28"/>
        <v>57803225.896153249</v>
      </c>
      <c r="Q239" s="43">
        <f t="shared" si="28"/>
        <v>75289450.089632362</v>
      </c>
    </row>
  </sheetData>
  <mergeCells count="4">
    <mergeCell ref="A1:A2"/>
    <mergeCell ref="B1:B2"/>
    <mergeCell ref="C1:C2"/>
    <mergeCell ref="A239:C239"/>
  </mergeCells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A7DEDB14-342C-4A22-911E-57E4CC3D9B6A}">
          <x14:formula1>
            <xm:f>'Pipe Rate'!$A$2:$A$23</xm:f>
          </x14:formula1>
          <xm:sqref>A3:A238</xm:sqref>
        </x14:dataValidation>
        <x14:dataValidation type="list" allowBlank="1" showInputMessage="1" showErrorMessage="1" xr:uid="{2E95A995-5D45-4AC6-9864-664DB2F0CDA8}">
          <x14:formula1>
            <xm:f>'Pipe Rate'!$B$1:$AC$1</xm:f>
          </x14:formula1>
          <xm:sqref>B3:B238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7B1DA-0DB4-4ABC-9DD1-0FEE711F7F69}">
  <dimension ref="A1:Q158"/>
  <sheetViews>
    <sheetView topLeftCell="A10" workbookViewId="0">
      <selection activeCell="A158" sqref="A158:C158"/>
    </sheetView>
  </sheetViews>
  <sheetFormatPr defaultRowHeight="15" x14ac:dyDescent="0.25"/>
  <cols>
    <col min="1" max="1" width="17.5703125" style="1" customWidth="1"/>
    <col min="2" max="2" width="14.85546875" style="1" customWidth="1"/>
    <col min="3" max="3" width="9.140625" style="80"/>
    <col min="4" max="10" width="13" style="37" customWidth="1"/>
    <col min="11" max="17" width="17.7109375" style="37" customWidth="1"/>
    <col min="18" max="16384" width="9.140625" style="1"/>
  </cols>
  <sheetData>
    <row r="1" spans="1:17" x14ac:dyDescent="0.25">
      <c r="A1" s="254" t="s">
        <v>78</v>
      </c>
      <c r="B1" s="254" t="s">
        <v>33</v>
      </c>
      <c r="C1" s="255" t="s">
        <v>29</v>
      </c>
      <c r="D1" s="63" t="s">
        <v>107</v>
      </c>
      <c r="E1" s="45" t="s">
        <v>108</v>
      </c>
      <c r="F1" s="44" t="s">
        <v>109</v>
      </c>
      <c r="G1" s="70" t="s">
        <v>110</v>
      </c>
      <c r="H1" s="74" t="s">
        <v>111</v>
      </c>
      <c r="I1" s="42" t="s">
        <v>112</v>
      </c>
      <c r="J1" s="43" t="s">
        <v>113</v>
      </c>
      <c r="K1" s="63" t="s">
        <v>107</v>
      </c>
      <c r="L1" s="45" t="s">
        <v>108</v>
      </c>
      <c r="M1" s="44" t="s">
        <v>109</v>
      </c>
      <c r="N1" s="70" t="s">
        <v>110</v>
      </c>
      <c r="O1" s="74" t="s">
        <v>111</v>
      </c>
      <c r="P1" s="42" t="s">
        <v>112</v>
      </c>
      <c r="Q1" s="43" t="s">
        <v>113</v>
      </c>
    </row>
    <row r="2" spans="1:17" ht="30" x14ac:dyDescent="0.25">
      <c r="A2" s="254"/>
      <c r="B2" s="254"/>
      <c r="C2" s="255"/>
      <c r="D2" s="64" t="s">
        <v>76</v>
      </c>
      <c r="E2" s="57" t="s">
        <v>76</v>
      </c>
      <c r="F2" s="49" t="s">
        <v>76</v>
      </c>
      <c r="G2" s="71" t="s">
        <v>76</v>
      </c>
      <c r="H2" s="75" t="s">
        <v>76</v>
      </c>
      <c r="I2" s="47" t="s">
        <v>76</v>
      </c>
      <c r="J2" s="59" t="s">
        <v>76</v>
      </c>
      <c r="K2" s="64" t="s">
        <v>31</v>
      </c>
      <c r="L2" s="57" t="s">
        <v>31</v>
      </c>
      <c r="M2" s="49" t="s">
        <v>31</v>
      </c>
      <c r="N2" s="71" t="s">
        <v>31</v>
      </c>
      <c r="O2" s="75" t="s">
        <v>31</v>
      </c>
      <c r="P2" s="47" t="s">
        <v>31</v>
      </c>
      <c r="Q2" s="59" t="s">
        <v>31</v>
      </c>
    </row>
    <row r="3" spans="1:17" x14ac:dyDescent="0.25">
      <c r="A3" s="35" t="s">
        <v>37</v>
      </c>
      <c r="B3" s="35" t="s">
        <v>3</v>
      </c>
      <c r="C3" s="36">
        <f>IFERROR(VLOOKUP($A3,'Manhole Rate'!$A$1:$AC$4,MATCH($B3,'Manhole Rate'!$B$1:$AC$1,0)+1,0),"N/F")</f>
        <v>703.81170599999996</v>
      </c>
      <c r="D3" s="65">
        <v>3315</v>
      </c>
      <c r="E3" s="51">
        <v>3314</v>
      </c>
      <c r="F3" s="68">
        <v>3315</v>
      </c>
      <c r="G3" s="72">
        <v>3316</v>
      </c>
      <c r="H3" s="55">
        <v>3317</v>
      </c>
      <c r="I3" s="77">
        <v>3318</v>
      </c>
      <c r="J3" s="53">
        <v>3316</v>
      </c>
      <c r="K3" s="65">
        <f t="shared" ref="K3:K34" si="0">IFERROR(D3*$C3,0)</f>
        <v>2333135.8053899999</v>
      </c>
      <c r="L3" s="51">
        <f t="shared" ref="L3:L34" si="1">IFERROR(E3*$C3,0)</f>
        <v>2332431.9936839999</v>
      </c>
      <c r="M3" s="68">
        <f t="shared" ref="M3:M34" si="2">IFERROR(F3*$C3,0)</f>
        <v>2333135.8053899999</v>
      </c>
      <c r="N3" s="72">
        <f t="shared" ref="N3:N34" si="3">IFERROR(G3*$C3,0)</f>
        <v>2333839.6170959999</v>
      </c>
      <c r="O3" s="55">
        <f t="shared" ref="O3:O34" si="4">IFERROR(H3*$C3,0)</f>
        <v>2334543.4288019999</v>
      </c>
      <c r="P3" s="77">
        <f t="shared" ref="P3:P34" si="5">IFERROR(I3*$C3,0)</f>
        <v>2335247.2405079999</v>
      </c>
      <c r="Q3" s="53">
        <f t="shared" ref="Q3:Q34" si="6">IFERROR(J3*$C3,0)</f>
        <v>2333839.6170959999</v>
      </c>
    </row>
    <row r="4" spans="1:17" x14ac:dyDescent="0.25">
      <c r="A4" s="35" t="s">
        <v>37</v>
      </c>
      <c r="B4" s="35" t="s">
        <v>4</v>
      </c>
      <c r="C4" s="36">
        <f>IFERROR(VLOOKUP($A4,'Manhole Rate'!$A$1:$AC$4,MATCH($B4,'Manhole Rate'!$B$1:$AC$1,0)+1,0),"N/F")</f>
        <v>813.60938199999998</v>
      </c>
      <c r="D4" s="65">
        <v>4210</v>
      </c>
      <c r="E4" s="51">
        <v>4202</v>
      </c>
      <c r="F4" s="68">
        <v>4210</v>
      </c>
      <c r="G4" s="72">
        <v>4211</v>
      </c>
      <c r="H4" s="55">
        <v>4211</v>
      </c>
      <c r="I4" s="77">
        <v>4206</v>
      </c>
      <c r="J4" s="53">
        <v>4205</v>
      </c>
      <c r="K4" s="65">
        <f t="shared" si="0"/>
        <v>3425295.49822</v>
      </c>
      <c r="L4" s="51">
        <f t="shared" si="1"/>
        <v>3418786.623164</v>
      </c>
      <c r="M4" s="68">
        <f t="shared" si="2"/>
        <v>3425295.49822</v>
      </c>
      <c r="N4" s="72">
        <f t="shared" si="3"/>
        <v>3426109.1076019998</v>
      </c>
      <c r="O4" s="55">
        <f t="shared" si="4"/>
        <v>3426109.1076019998</v>
      </c>
      <c r="P4" s="77">
        <f t="shared" si="5"/>
        <v>3422041.0606919997</v>
      </c>
      <c r="Q4" s="53">
        <f t="shared" si="6"/>
        <v>3421227.4513099999</v>
      </c>
    </row>
    <row r="5" spans="1:17" x14ac:dyDescent="0.25">
      <c r="A5" s="35" t="s">
        <v>37</v>
      </c>
      <c r="B5" s="35" t="s">
        <v>5</v>
      </c>
      <c r="C5" s="36">
        <f>IFERROR(VLOOKUP($A5,'Manhole Rate'!$A$1:$AC$4,MATCH($B5,'Manhole Rate'!$B$1:$AC$1,0)+1,0),"N/F")</f>
        <v>884.92778500000009</v>
      </c>
      <c r="D5" s="65">
        <v>2667</v>
      </c>
      <c r="E5" s="51">
        <v>2663</v>
      </c>
      <c r="F5" s="68">
        <v>2669</v>
      </c>
      <c r="G5" s="72">
        <v>2671</v>
      </c>
      <c r="H5" s="55">
        <v>2688</v>
      </c>
      <c r="I5" s="77">
        <v>2684</v>
      </c>
      <c r="J5" s="53">
        <v>2663</v>
      </c>
      <c r="K5" s="65">
        <f t="shared" si="0"/>
        <v>2360102.4025950003</v>
      </c>
      <c r="L5" s="51">
        <f t="shared" si="1"/>
        <v>2356562.6914550001</v>
      </c>
      <c r="M5" s="68">
        <f t="shared" si="2"/>
        <v>2361872.258165</v>
      </c>
      <c r="N5" s="72">
        <f t="shared" si="3"/>
        <v>2363642.1137350001</v>
      </c>
      <c r="O5" s="55">
        <f t="shared" si="4"/>
        <v>2378685.8860800001</v>
      </c>
      <c r="P5" s="77">
        <f t="shared" si="5"/>
        <v>2375146.1749400003</v>
      </c>
      <c r="Q5" s="53">
        <f t="shared" si="6"/>
        <v>2356562.6914550001</v>
      </c>
    </row>
    <row r="6" spans="1:17" x14ac:dyDescent="0.25">
      <c r="A6" s="35" t="s">
        <v>37</v>
      </c>
      <c r="B6" s="35" t="s">
        <v>6</v>
      </c>
      <c r="C6" s="36">
        <f>IFERROR(VLOOKUP($A6,'Manhole Rate'!$A$1:$AC$4,MATCH($B6,'Manhole Rate'!$B$1:$AC$1,0)+1,0),"N/F")</f>
        <v>1089.5106879999998</v>
      </c>
      <c r="D6" s="65">
        <v>1594</v>
      </c>
      <c r="E6" s="51">
        <v>1594</v>
      </c>
      <c r="F6" s="68">
        <v>1599</v>
      </c>
      <c r="G6" s="72">
        <v>1600</v>
      </c>
      <c r="H6" s="55">
        <v>1607</v>
      </c>
      <c r="I6" s="77">
        <v>1605</v>
      </c>
      <c r="J6" s="53">
        <v>1592</v>
      </c>
      <c r="K6" s="65">
        <f t="shared" si="0"/>
        <v>1736680.0366719998</v>
      </c>
      <c r="L6" s="51">
        <f t="shared" si="1"/>
        <v>1736680.0366719998</v>
      </c>
      <c r="M6" s="68">
        <f t="shared" si="2"/>
        <v>1742127.5901119998</v>
      </c>
      <c r="N6" s="72">
        <f t="shared" si="3"/>
        <v>1743217.1007999997</v>
      </c>
      <c r="O6" s="55">
        <f t="shared" si="4"/>
        <v>1750843.6756159998</v>
      </c>
      <c r="P6" s="77">
        <f t="shared" si="5"/>
        <v>1748664.6542399998</v>
      </c>
      <c r="Q6" s="53">
        <f t="shared" si="6"/>
        <v>1734501.0152959998</v>
      </c>
    </row>
    <row r="7" spans="1:17" x14ac:dyDescent="0.25">
      <c r="A7" s="35" t="s">
        <v>37</v>
      </c>
      <c r="B7" s="35" t="s">
        <v>7</v>
      </c>
      <c r="C7" s="36">
        <f>IFERROR(VLOOKUP($A7,'Manhole Rate'!$A$1:$AC$4,MATCH($B7,'Manhole Rate'!$B$1:$AC$1,0)+1,0),"N/F")</f>
        <v>1253.937091</v>
      </c>
      <c r="D7" s="65">
        <v>1236</v>
      </c>
      <c r="E7" s="51">
        <v>1235</v>
      </c>
      <c r="F7" s="68">
        <v>1242</v>
      </c>
      <c r="G7" s="72">
        <v>1243</v>
      </c>
      <c r="H7" s="55">
        <v>1250</v>
      </c>
      <c r="I7" s="77">
        <v>1249</v>
      </c>
      <c r="J7" s="53">
        <v>1235</v>
      </c>
      <c r="K7" s="65">
        <f t="shared" si="0"/>
        <v>1549866.2444760001</v>
      </c>
      <c r="L7" s="51">
        <f t="shared" si="1"/>
        <v>1548612.3073849999</v>
      </c>
      <c r="M7" s="68">
        <f t="shared" si="2"/>
        <v>1557389.867022</v>
      </c>
      <c r="N7" s="72">
        <f t="shared" si="3"/>
        <v>1558643.8041129999</v>
      </c>
      <c r="O7" s="55">
        <f t="shared" si="4"/>
        <v>1567421.36375</v>
      </c>
      <c r="P7" s="77">
        <f t="shared" si="5"/>
        <v>1566167.4266590001</v>
      </c>
      <c r="Q7" s="53">
        <f t="shared" si="6"/>
        <v>1548612.3073849999</v>
      </c>
    </row>
    <row r="8" spans="1:17" x14ac:dyDescent="0.25">
      <c r="A8" s="35" t="s">
        <v>37</v>
      </c>
      <c r="B8" s="35" t="s">
        <v>8</v>
      </c>
      <c r="C8" s="36">
        <f>IFERROR(VLOOKUP($A8,'Manhole Rate'!$A$1:$AC$4,MATCH($B8,'Manhole Rate'!$B$1:$AC$1,0)+1,0),"N/F")</f>
        <v>1391.8701710100001</v>
      </c>
      <c r="D8" s="65">
        <v>968</v>
      </c>
      <c r="E8" s="51">
        <v>967</v>
      </c>
      <c r="F8" s="68">
        <v>975</v>
      </c>
      <c r="G8" s="72">
        <v>978</v>
      </c>
      <c r="H8" s="55">
        <v>986</v>
      </c>
      <c r="I8" s="77">
        <v>986</v>
      </c>
      <c r="J8" s="53">
        <v>968</v>
      </c>
      <c r="K8" s="65">
        <f t="shared" si="0"/>
        <v>1347330.3255376802</v>
      </c>
      <c r="L8" s="51">
        <f t="shared" si="1"/>
        <v>1345938.4553666702</v>
      </c>
      <c r="M8" s="68">
        <f t="shared" si="2"/>
        <v>1357073.4167347501</v>
      </c>
      <c r="N8" s="72">
        <f t="shared" si="3"/>
        <v>1361249.0272477802</v>
      </c>
      <c r="O8" s="55">
        <f t="shared" si="4"/>
        <v>1372383.9886158602</v>
      </c>
      <c r="P8" s="77">
        <f t="shared" si="5"/>
        <v>1372383.9886158602</v>
      </c>
      <c r="Q8" s="53">
        <f t="shared" si="6"/>
        <v>1347330.3255376802</v>
      </c>
    </row>
    <row r="9" spans="1:17" x14ac:dyDescent="0.25">
      <c r="A9" s="35" t="s">
        <v>37</v>
      </c>
      <c r="B9" s="35" t="s">
        <v>10</v>
      </c>
      <c r="C9" s="36">
        <f>IFERROR(VLOOKUP($A9,'Manhole Rate'!$A$1:$AC$4,MATCH($B9,'Manhole Rate'!$B$1:$AC$1,0)+1,0),"N/F")</f>
        <v>1714.9232377014214</v>
      </c>
      <c r="D9" s="65">
        <v>1403</v>
      </c>
      <c r="E9" s="51">
        <v>1403</v>
      </c>
      <c r="F9" s="68">
        <v>1428</v>
      </c>
      <c r="G9" s="72">
        <v>1448</v>
      </c>
      <c r="H9" s="55">
        <v>1454</v>
      </c>
      <c r="I9" s="77">
        <v>1460</v>
      </c>
      <c r="J9" s="53">
        <v>1409</v>
      </c>
      <c r="K9" s="65">
        <f t="shared" si="0"/>
        <v>2406037.302495094</v>
      </c>
      <c r="L9" s="51">
        <f t="shared" si="1"/>
        <v>2406037.302495094</v>
      </c>
      <c r="M9" s="68">
        <f t="shared" si="2"/>
        <v>2448910.3834376298</v>
      </c>
      <c r="N9" s="72">
        <f t="shared" si="3"/>
        <v>2483208.848191658</v>
      </c>
      <c r="O9" s="55">
        <f t="shared" si="4"/>
        <v>2493498.3876178665</v>
      </c>
      <c r="P9" s="77">
        <f t="shared" si="5"/>
        <v>2503787.9270440754</v>
      </c>
      <c r="Q9" s="53">
        <f t="shared" si="6"/>
        <v>2416326.841921303</v>
      </c>
    </row>
    <row r="10" spans="1:17" x14ac:dyDescent="0.25">
      <c r="A10" s="35" t="s">
        <v>37</v>
      </c>
      <c r="B10" s="35" t="s">
        <v>12</v>
      </c>
      <c r="C10" s="36">
        <f>IFERROR(VLOOKUP($A10,'Manhole Rate'!$A$1:$AC$4,MATCH($B10,'Manhole Rate'!$B$1:$AC$1,0)+1,0),"N/F")</f>
        <v>2112.9569211719217</v>
      </c>
      <c r="D10" s="65">
        <v>962</v>
      </c>
      <c r="E10" s="51">
        <v>962</v>
      </c>
      <c r="F10" s="68">
        <v>982</v>
      </c>
      <c r="G10" s="72">
        <v>995</v>
      </c>
      <c r="H10" s="55">
        <v>1003</v>
      </c>
      <c r="I10" s="77">
        <v>1008</v>
      </c>
      <c r="J10" s="53">
        <v>967</v>
      </c>
      <c r="K10" s="65">
        <f t="shared" si="0"/>
        <v>2032664.5581673887</v>
      </c>
      <c r="L10" s="51">
        <f t="shared" si="1"/>
        <v>2032664.5581673887</v>
      </c>
      <c r="M10" s="68">
        <f t="shared" si="2"/>
        <v>2074923.6965908271</v>
      </c>
      <c r="N10" s="72">
        <f t="shared" si="3"/>
        <v>2102392.136566062</v>
      </c>
      <c r="O10" s="55">
        <f t="shared" si="4"/>
        <v>2119295.7919354374</v>
      </c>
      <c r="P10" s="77">
        <f t="shared" si="5"/>
        <v>2129860.5765412971</v>
      </c>
      <c r="Q10" s="53">
        <f t="shared" si="6"/>
        <v>2043229.3427732484</v>
      </c>
    </row>
    <row r="11" spans="1:17" x14ac:dyDescent="0.25">
      <c r="A11" s="35" t="s">
        <v>37</v>
      </c>
      <c r="B11" s="35" t="s">
        <v>14</v>
      </c>
      <c r="C11" s="36">
        <f>IFERROR(VLOOKUP($A11,'Manhole Rate'!$A$1:$AC$4,MATCH($B11,'Manhole Rate'!$B$1:$AC$1,0)+1,0),"N/F")</f>
        <v>3048.9968372510834</v>
      </c>
      <c r="D11" s="65">
        <v>678</v>
      </c>
      <c r="E11" s="51">
        <v>676</v>
      </c>
      <c r="F11" s="68">
        <v>694</v>
      </c>
      <c r="G11" s="72">
        <v>715</v>
      </c>
      <c r="H11" s="55">
        <v>732</v>
      </c>
      <c r="I11" s="77">
        <v>730</v>
      </c>
      <c r="J11" s="53">
        <v>676</v>
      </c>
      <c r="K11" s="65">
        <f t="shared" si="0"/>
        <v>2067219.8556562345</v>
      </c>
      <c r="L11" s="51">
        <f t="shared" si="1"/>
        <v>2061121.8619817323</v>
      </c>
      <c r="M11" s="68">
        <f t="shared" si="2"/>
        <v>2116003.805052252</v>
      </c>
      <c r="N11" s="72">
        <f t="shared" si="3"/>
        <v>2180032.7386345249</v>
      </c>
      <c r="O11" s="55">
        <f t="shared" si="4"/>
        <v>2231865.6848677932</v>
      </c>
      <c r="P11" s="77">
        <f t="shared" si="5"/>
        <v>2225767.691193291</v>
      </c>
      <c r="Q11" s="53">
        <f t="shared" si="6"/>
        <v>2061121.8619817323</v>
      </c>
    </row>
    <row r="12" spans="1:17" x14ac:dyDescent="0.25">
      <c r="A12" s="35" t="s">
        <v>37</v>
      </c>
      <c r="B12" s="35" t="s">
        <v>16</v>
      </c>
      <c r="C12" s="36">
        <f>IFERROR(VLOOKUP($A12,'Manhole Rate'!$A$1:$AC$4,MATCH($B12,'Manhole Rate'!$B$1:$AC$1,0)+1,0),"N/F")</f>
        <v>3756.6690031770609</v>
      </c>
      <c r="D12" s="65">
        <v>617</v>
      </c>
      <c r="E12" s="51">
        <v>612</v>
      </c>
      <c r="F12" s="68">
        <v>626</v>
      </c>
      <c r="G12" s="72">
        <v>652</v>
      </c>
      <c r="H12" s="55">
        <v>659</v>
      </c>
      <c r="I12" s="77">
        <v>662</v>
      </c>
      <c r="J12" s="53">
        <v>620</v>
      </c>
      <c r="K12" s="65">
        <f t="shared" si="0"/>
        <v>2317864.7749602464</v>
      </c>
      <c r="L12" s="51">
        <f t="shared" si="1"/>
        <v>2299081.4299443611</v>
      </c>
      <c r="M12" s="68">
        <f t="shared" si="2"/>
        <v>2351674.7959888401</v>
      </c>
      <c r="N12" s="72">
        <f t="shared" si="3"/>
        <v>2449348.1900714436</v>
      </c>
      <c r="O12" s="55">
        <f t="shared" si="4"/>
        <v>2475644.8730936833</v>
      </c>
      <c r="P12" s="77">
        <f t="shared" si="5"/>
        <v>2486914.8801032142</v>
      </c>
      <c r="Q12" s="53">
        <f t="shared" si="6"/>
        <v>2329134.7819697778</v>
      </c>
    </row>
    <row r="13" spans="1:17" x14ac:dyDescent="0.25">
      <c r="A13" s="35" t="s">
        <v>37</v>
      </c>
      <c r="B13" s="35" t="s">
        <v>18</v>
      </c>
      <c r="C13" s="36">
        <f>IFERROR(VLOOKUP($A13,'Manhole Rate'!$A$1:$AC$4,MATCH($B13,'Manhole Rate'!$B$1:$AC$1,0)+1,0),"N/F")</f>
        <v>4628.5918788144581</v>
      </c>
      <c r="D13" s="65">
        <v>436</v>
      </c>
      <c r="E13" s="51">
        <v>429</v>
      </c>
      <c r="F13" s="68">
        <v>441</v>
      </c>
      <c r="G13" s="72">
        <v>454</v>
      </c>
      <c r="H13" s="55">
        <v>458</v>
      </c>
      <c r="I13" s="77">
        <v>458</v>
      </c>
      <c r="J13" s="53">
        <v>436</v>
      </c>
      <c r="K13" s="65">
        <f t="shared" si="0"/>
        <v>2018066.0591631038</v>
      </c>
      <c r="L13" s="51">
        <f t="shared" si="1"/>
        <v>1985665.9160114026</v>
      </c>
      <c r="M13" s="68">
        <f t="shared" si="2"/>
        <v>2041209.018557176</v>
      </c>
      <c r="N13" s="72">
        <f t="shared" si="3"/>
        <v>2101380.7129817642</v>
      </c>
      <c r="O13" s="55">
        <f t="shared" si="4"/>
        <v>2119895.0804970218</v>
      </c>
      <c r="P13" s="77">
        <f t="shared" si="5"/>
        <v>2119895.0804970218</v>
      </c>
      <c r="Q13" s="53">
        <f t="shared" si="6"/>
        <v>2018066.0591631038</v>
      </c>
    </row>
    <row r="14" spans="1:17" x14ac:dyDescent="0.25">
      <c r="A14" s="35" t="s">
        <v>37</v>
      </c>
      <c r="B14" s="35" t="s">
        <v>21</v>
      </c>
      <c r="C14" s="36">
        <f>IFERROR(VLOOKUP($A14,'Manhole Rate'!$A$1:$AC$4,MATCH($B14,'Manhole Rate'!$B$1:$AC$1,0)+1,0),"N/F")</f>
        <v>6679.0580811292639</v>
      </c>
      <c r="D14" s="65">
        <v>252</v>
      </c>
      <c r="E14" s="51">
        <v>235</v>
      </c>
      <c r="F14" s="68">
        <v>252</v>
      </c>
      <c r="G14" s="72">
        <v>252</v>
      </c>
      <c r="H14" s="55">
        <v>252</v>
      </c>
      <c r="I14" s="77">
        <v>252</v>
      </c>
      <c r="J14" s="53">
        <v>252</v>
      </c>
      <c r="K14" s="65">
        <f t="shared" si="0"/>
        <v>1683122.6364445745</v>
      </c>
      <c r="L14" s="51">
        <f t="shared" si="1"/>
        <v>1569578.649065377</v>
      </c>
      <c r="M14" s="68">
        <f t="shared" si="2"/>
        <v>1683122.6364445745</v>
      </c>
      <c r="N14" s="72">
        <f t="shared" si="3"/>
        <v>1683122.6364445745</v>
      </c>
      <c r="O14" s="55">
        <f t="shared" si="4"/>
        <v>1683122.6364445745</v>
      </c>
      <c r="P14" s="77">
        <f t="shared" si="5"/>
        <v>1683122.6364445745</v>
      </c>
      <c r="Q14" s="53">
        <f t="shared" si="6"/>
        <v>1683122.6364445745</v>
      </c>
    </row>
    <row r="15" spans="1:17" x14ac:dyDescent="0.25">
      <c r="A15" s="35" t="s">
        <v>37</v>
      </c>
      <c r="B15" s="35" t="s">
        <v>25</v>
      </c>
      <c r="C15" s="36">
        <f>IFERROR(VLOOKUP($A15,'Manhole Rate'!$A$1:$AC$4,MATCH($B15,'Manhole Rate'!$B$1:$AC$1,0)+1,0),"N/F")</f>
        <v>8229.2674617593675</v>
      </c>
      <c r="D15" s="65">
        <v>153</v>
      </c>
      <c r="E15" s="51">
        <v>141</v>
      </c>
      <c r="F15" s="68">
        <v>153</v>
      </c>
      <c r="G15" s="72">
        <v>154</v>
      </c>
      <c r="H15" s="55">
        <v>154</v>
      </c>
      <c r="I15" s="77">
        <v>154</v>
      </c>
      <c r="J15" s="53">
        <v>153</v>
      </c>
      <c r="K15" s="65">
        <f t="shared" si="0"/>
        <v>1259077.9216491831</v>
      </c>
      <c r="L15" s="51">
        <f t="shared" si="1"/>
        <v>1160326.7121080707</v>
      </c>
      <c r="M15" s="68">
        <f t="shared" si="2"/>
        <v>1259077.9216491831</v>
      </c>
      <c r="N15" s="72">
        <f t="shared" si="3"/>
        <v>1267307.1891109427</v>
      </c>
      <c r="O15" s="55">
        <f t="shared" si="4"/>
        <v>1267307.1891109427</v>
      </c>
      <c r="P15" s="77">
        <f t="shared" si="5"/>
        <v>1267307.1891109427</v>
      </c>
      <c r="Q15" s="53">
        <f t="shared" si="6"/>
        <v>1259077.9216491831</v>
      </c>
    </row>
    <row r="16" spans="1:17" x14ac:dyDescent="0.25">
      <c r="A16" s="35" t="s">
        <v>37</v>
      </c>
      <c r="B16" s="35" t="s">
        <v>27</v>
      </c>
      <c r="C16" s="36">
        <f>IFERROR(VLOOKUP($A16,'Manhole Rate'!$A$1:$AC$4,MATCH($B16,'Manhole Rate'!$B$1:$AC$1,0)+1,0),"N/F")</f>
        <v>10139.28043963372</v>
      </c>
      <c r="D16" s="65">
        <v>67</v>
      </c>
      <c r="E16" s="51">
        <v>67</v>
      </c>
      <c r="F16" s="68">
        <v>67</v>
      </c>
      <c r="G16" s="72">
        <v>68</v>
      </c>
      <c r="H16" s="55">
        <v>68</v>
      </c>
      <c r="I16" s="77">
        <v>68</v>
      </c>
      <c r="J16" s="53">
        <v>67</v>
      </c>
      <c r="K16" s="65">
        <f t="shared" si="0"/>
        <v>679331.78945545922</v>
      </c>
      <c r="L16" s="51">
        <f t="shared" si="1"/>
        <v>679331.78945545922</v>
      </c>
      <c r="M16" s="68">
        <f t="shared" si="2"/>
        <v>679331.78945545922</v>
      </c>
      <c r="N16" s="72">
        <f t="shared" si="3"/>
        <v>689471.06989509298</v>
      </c>
      <c r="O16" s="55">
        <f t="shared" si="4"/>
        <v>689471.06989509298</v>
      </c>
      <c r="P16" s="77">
        <f t="shared" si="5"/>
        <v>689471.06989509298</v>
      </c>
      <c r="Q16" s="53">
        <f t="shared" si="6"/>
        <v>679331.78945545922</v>
      </c>
    </row>
    <row r="17" spans="1:17" x14ac:dyDescent="0.25">
      <c r="A17" s="35" t="s">
        <v>37</v>
      </c>
      <c r="B17" s="35" t="s">
        <v>101</v>
      </c>
      <c r="C17" s="36">
        <f>IFERROR(VLOOKUP($A17,'Manhole Rate'!$A$1:$AC$4,MATCH($B17,'Manhole Rate'!$B$1:$AC$1,0)+1,0),"N/F")</f>
        <v>14630.981674391458</v>
      </c>
      <c r="D17" s="65">
        <v>19</v>
      </c>
      <c r="E17" s="51">
        <v>19</v>
      </c>
      <c r="F17" s="68">
        <v>19</v>
      </c>
      <c r="G17" s="72">
        <v>19</v>
      </c>
      <c r="H17" s="55">
        <v>19</v>
      </c>
      <c r="I17" s="77">
        <v>19</v>
      </c>
      <c r="J17" s="53">
        <v>19</v>
      </c>
      <c r="K17" s="65">
        <f t="shared" si="0"/>
        <v>277988.6518134377</v>
      </c>
      <c r="L17" s="51">
        <f t="shared" si="1"/>
        <v>277988.6518134377</v>
      </c>
      <c r="M17" s="68">
        <f t="shared" si="2"/>
        <v>277988.6518134377</v>
      </c>
      <c r="N17" s="72">
        <f t="shared" si="3"/>
        <v>277988.6518134377</v>
      </c>
      <c r="O17" s="55">
        <f t="shared" si="4"/>
        <v>277988.6518134377</v>
      </c>
      <c r="P17" s="77">
        <f t="shared" si="5"/>
        <v>277988.6518134377</v>
      </c>
      <c r="Q17" s="53">
        <f t="shared" si="6"/>
        <v>277988.6518134377</v>
      </c>
    </row>
    <row r="18" spans="1:17" x14ac:dyDescent="0.25">
      <c r="A18" s="35" t="s">
        <v>37</v>
      </c>
      <c r="B18" s="35" t="s">
        <v>104</v>
      </c>
      <c r="C18" s="36">
        <f>IFERROR(VLOOKUP($A18,'Manhole Rate'!$A$1:$AC$4,MATCH($B18,'Manhole Rate'!$B$1:$AC$1,0)+1,0),"N/F")</f>
        <v>18026.832521017721</v>
      </c>
      <c r="D18" s="65">
        <v>11</v>
      </c>
      <c r="E18" s="51">
        <v>11</v>
      </c>
      <c r="F18" s="68">
        <v>11</v>
      </c>
      <c r="G18" s="72">
        <v>11</v>
      </c>
      <c r="H18" s="55">
        <v>11</v>
      </c>
      <c r="I18" s="77">
        <v>11</v>
      </c>
      <c r="J18" s="53">
        <v>11</v>
      </c>
      <c r="K18" s="65">
        <f t="shared" si="0"/>
        <v>198295.15773119492</v>
      </c>
      <c r="L18" s="51">
        <f t="shared" si="1"/>
        <v>198295.15773119492</v>
      </c>
      <c r="M18" s="68">
        <f t="shared" si="2"/>
        <v>198295.15773119492</v>
      </c>
      <c r="N18" s="72">
        <f t="shared" si="3"/>
        <v>198295.15773119492</v>
      </c>
      <c r="O18" s="55">
        <f t="shared" si="4"/>
        <v>198295.15773119492</v>
      </c>
      <c r="P18" s="77">
        <f t="shared" si="5"/>
        <v>198295.15773119492</v>
      </c>
      <c r="Q18" s="53">
        <f t="shared" si="6"/>
        <v>198295.15773119492</v>
      </c>
    </row>
    <row r="19" spans="1:17" x14ac:dyDescent="0.25">
      <c r="A19" s="35" t="s">
        <v>37</v>
      </c>
      <c r="B19" s="35" t="s">
        <v>106</v>
      </c>
      <c r="C19" s="36">
        <f>IFERROR(VLOOKUP($A19,'Manhole Rate'!$A$1:$AC$4,MATCH($B19,'Manhole Rate'!$B$1:$AC$1,0)+1,0),"N/F")</f>
        <v>22210.86034914594</v>
      </c>
      <c r="D19" s="65">
        <v>9</v>
      </c>
      <c r="E19" s="51">
        <v>9</v>
      </c>
      <c r="F19" s="68">
        <v>9</v>
      </c>
      <c r="G19" s="72">
        <v>9</v>
      </c>
      <c r="H19" s="55">
        <v>9</v>
      </c>
      <c r="I19" s="77">
        <v>9</v>
      </c>
      <c r="J19" s="53">
        <v>9</v>
      </c>
      <c r="K19" s="65">
        <f t="shared" si="0"/>
        <v>199897.74314231347</v>
      </c>
      <c r="L19" s="51">
        <f t="shared" si="1"/>
        <v>199897.74314231347</v>
      </c>
      <c r="M19" s="68">
        <f t="shared" si="2"/>
        <v>199897.74314231347</v>
      </c>
      <c r="N19" s="72">
        <f t="shared" si="3"/>
        <v>199897.74314231347</v>
      </c>
      <c r="O19" s="55">
        <f t="shared" si="4"/>
        <v>199897.74314231347</v>
      </c>
      <c r="P19" s="77">
        <f t="shared" si="5"/>
        <v>199897.74314231347</v>
      </c>
      <c r="Q19" s="53">
        <f t="shared" si="6"/>
        <v>199897.74314231347</v>
      </c>
    </row>
    <row r="20" spans="1:17" x14ac:dyDescent="0.25">
      <c r="A20" s="35" t="s">
        <v>38</v>
      </c>
      <c r="B20" s="35" t="s">
        <v>5</v>
      </c>
      <c r="C20" s="36">
        <f>IFERROR(VLOOKUP($A20,'Manhole Rate'!$A$1:$AC$4,MATCH($B20,'Manhole Rate'!$B$1:$AC$1,0)+1,0),"N/F")</f>
        <v>1102.9759200000003</v>
      </c>
      <c r="D20" s="65">
        <v>9</v>
      </c>
      <c r="E20" s="51">
        <v>9</v>
      </c>
      <c r="F20" s="68">
        <v>12</v>
      </c>
      <c r="G20" s="72">
        <v>12</v>
      </c>
      <c r="H20" s="55"/>
      <c r="I20" s="77"/>
      <c r="J20" s="53">
        <v>9</v>
      </c>
      <c r="K20" s="65">
        <f t="shared" si="0"/>
        <v>9926.7832800000033</v>
      </c>
      <c r="L20" s="51">
        <f t="shared" si="1"/>
        <v>9926.7832800000033</v>
      </c>
      <c r="M20" s="68">
        <f t="shared" si="2"/>
        <v>13235.711040000004</v>
      </c>
      <c r="N20" s="72">
        <f t="shared" si="3"/>
        <v>13235.711040000004</v>
      </c>
      <c r="O20" s="55">
        <f t="shared" si="4"/>
        <v>0</v>
      </c>
      <c r="P20" s="77">
        <f t="shared" si="5"/>
        <v>0</v>
      </c>
      <c r="Q20" s="53">
        <f t="shared" si="6"/>
        <v>9926.7832800000033</v>
      </c>
    </row>
    <row r="21" spans="1:17" x14ac:dyDescent="0.25">
      <c r="A21" s="35" t="s">
        <v>38</v>
      </c>
      <c r="B21" s="35" t="s">
        <v>6</v>
      </c>
      <c r="C21" s="36">
        <f>IFERROR(VLOOKUP($A21,'Manhole Rate'!$A$1:$AC$4,MATCH($B21,'Manhole Rate'!$B$1:$AC$1,0)+1,0),"N/F")</f>
        <v>1224.3032712000004</v>
      </c>
      <c r="D21" s="65">
        <v>47</v>
      </c>
      <c r="E21" s="51">
        <v>47</v>
      </c>
      <c r="F21" s="68">
        <v>42</v>
      </c>
      <c r="G21" s="72">
        <v>28</v>
      </c>
      <c r="H21" s="55">
        <v>8</v>
      </c>
      <c r="I21" s="77">
        <v>8</v>
      </c>
      <c r="J21" s="53">
        <v>47</v>
      </c>
      <c r="K21" s="65">
        <f t="shared" si="0"/>
        <v>57542.25374640002</v>
      </c>
      <c r="L21" s="51">
        <f t="shared" si="1"/>
        <v>57542.25374640002</v>
      </c>
      <c r="M21" s="68">
        <f t="shared" si="2"/>
        <v>51420.737390400012</v>
      </c>
      <c r="N21" s="72">
        <f t="shared" si="3"/>
        <v>34280.491593600011</v>
      </c>
      <c r="O21" s="55">
        <f t="shared" si="4"/>
        <v>9794.426169600003</v>
      </c>
      <c r="P21" s="77">
        <f t="shared" si="5"/>
        <v>9794.426169600003</v>
      </c>
      <c r="Q21" s="53">
        <f t="shared" si="6"/>
        <v>57542.25374640002</v>
      </c>
    </row>
    <row r="22" spans="1:17" x14ac:dyDescent="0.25">
      <c r="A22" s="35" t="s">
        <v>38</v>
      </c>
      <c r="B22" s="35" t="s">
        <v>7</v>
      </c>
      <c r="C22" s="36">
        <f>IFERROR(VLOOKUP($A22,'Manhole Rate'!$A$1:$AC$4,MATCH($B22,'Manhole Rate'!$B$1:$AC$1,0)+1,0),"N/F")</f>
        <v>1358.9766310320006</v>
      </c>
      <c r="D22" s="65">
        <v>32</v>
      </c>
      <c r="E22" s="51">
        <v>32</v>
      </c>
      <c r="F22" s="68">
        <v>23</v>
      </c>
      <c r="G22" s="72">
        <v>17</v>
      </c>
      <c r="H22" s="55">
        <v>7</v>
      </c>
      <c r="I22" s="77">
        <v>7</v>
      </c>
      <c r="J22" s="53">
        <v>32</v>
      </c>
      <c r="K22" s="65">
        <f t="shared" si="0"/>
        <v>43487.252193024018</v>
      </c>
      <c r="L22" s="51">
        <f t="shared" si="1"/>
        <v>43487.252193024018</v>
      </c>
      <c r="M22" s="68">
        <f t="shared" si="2"/>
        <v>31256.462513736013</v>
      </c>
      <c r="N22" s="72">
        <f t="shared" si="3"/>
        <v>23102.60272754401</v>
      </c>
      <c r="O22" s="55">
        <f t="shared" si="4"/>
        <v>9512.8364172240035</v>
      </c>
      <c r="P22" s="77">
        <f t="shared" si="5"/>
        <v>9512.8364172240035</v>
      </c>
      <c r="Q22" s="53">
        <f t="shared" si="6"/>
        <v>43487.252193024018</v>
      </c>
    </row>
    <row r="23" spans="1:17" x14ac:dyDescent="0.25">
      <c r="A23" s="35" t="s">
        <v>38</v>
      </c>
      <c r="B23" s="35" t="s">
        <v>8</v>
      </c>
      <c r="C23" s="36">
        <f>IFERROR(VLOOKUP($A23,'Manhole Rate'!$A$1:$AC$4,MATCH($B23,'Manhole Rate'!$B$1:$AC$1,0)+1,0),"N/F")</f>
        <v>1508.4640604455208</v>
      </c>
      <c r="D23" s="65">
        <v>22</v>
      </c>
      <c r="E23" s="51">
        <v>22</v>
      </c>
      <c r="F23" s="68">
        <v>17</v>
      </c>
      <c r="G23" s="72">
        <v>12</v>
      </c>
      <c r="H23" s="55">
        <v>7</v>
      </c>
      <c r="I23" s="77">
        <v>7</v>
      </c>
      <c r="J23" s="53">
        <v>22</v>
      </c>
      <c r="K23" s="65">
        <f t="shared" si="0"/>
        <v>33186.209329801459</v>
      </c>
      <c r="L23" s="51">
        <f t="shared" si="1"/>
        <v>33186.209329801459</v>
      </c>
      <c r="M23" s="68">
        <f t="shared" si="2"/>
        <v>25643.889027573852</v>
      </c>
      <c r="N23" s="72">
        <f t="shared" si="3"/>
        <v>18101.568725346249</v>
      </c>
      <c r="O23" s="55">
        <f t="shared" si="4"/>
        <v>10559.248423118646</v>
      </c>
      <c r="P23" s="77">
        <f t="shared" si="5"/>
        <v>10559.248423118646</v>
      </c>
      <c r="Q23" s="53">
        <f t="shared" si="6"/>
        <v>33186.209329801459</v>
      </c>
    </row>
    <row r="24" spans="1:17" x14ac:dyDescent="0.25">
      <c r="A24" s="35" t="s">
        <v>38</v>
      </c>
      <c r="B24" s="35" t="s">
        <v>10</v>
      </c>
      <c r="C24" s="36">
        <f>IFERROR(VLOOKUP($A24,'Manhole Rate'!$A$1:$AC$4,MATCH($B24,'Manhole Rate'!$B$1:$AC$1,0)+1,0),"N/F")</f>
        <v>1858.5785688749263</v>
      </c>
      <c r="D24" s="65">
        <v>69</v>
      </c>
      <c r="E24" s="51">
        <v>69</v>
      </c>
      <c r="F24" s="68">
        <v>51</v>
      </c>
      <c r="G24" s="72">
        <v>24</v>
      </c>
      <c r="H24" s="55">
        <v>19</v>
      </c>
      <c r="I24" s="77">
        <v>19</v>
      </c>
      <c r="J24" s="53">
        <v>69</v>
      </c>
      <c r="K24" s="65">
        <f t="shared" si="0"/>
        <v>128241.92125236991</v>
      </c>
      <c r="L24" s="51">
        <f t="shared" si="1"/>
        <v>128241.92125236991</v>
      </c>
      <c r="M24" s="68">
        <f t="shared" si="2"/>
        <v>94787.507012621238</v>
      </c>
      <c r="N24" s="72">
        <f t="shared" si="3"/>
        <v>44605.885652998229</v>
      </c>
      <c r="O24" s="55">
        <f t="shared" si="4"/>
        <v>35312.992808623603</v>
      </c>
      <c r="P24" s="77">
        <f t="shared" si="5"/>
        <v>35312.992808623603</v>
      </c>
      <c r="Q24" s="53">
        <f t="shared" si="6"/>
        <v>128241.92125236991</v>
      </c>
    </row>
    <row r="25" spans="1:17" x14ac:dyDescent="0.25">
      <c r="A25" s="35" t="s">
        <v>38</v>
      </c>
      <c r="B25" s="35" t="s">
        <v>12</v>
      </c>
      <c r="C25" s="36">
        <f>IFERROR(VLOOKUP($A25,'Manhole Rate'!$A$1:$AC$4,MATCH($B25,'Manhole Rate'!$B$1:$AC$1,0)+1,0),"N/F")</f>
        <v>2289.9546547107971</v>
      </c>
      <c r="D25" s="65">
        <v>48</v>
      </c>
      <c r="E25" s="51">
        <v>48</v>
      </c>
      <c r="F25" s="68">
        <v>42</v>
      </c>
      <c r="G25" s="72">
        <v>25</v>
      </c>
      <c r="H25" s="55">
        <v>23</v>
      </c>
      <c r="I25" s="77">
        <v>23</v>
      </c>
      <c r="J25" s="53">
        <v>48</v>
      </c>
      <c r="K25" s="65">
        <f t="shared" si="0"/>
        <v>109917.82342611827</v>
      </c>
      <c r="L25" s="51">
        <f t="shared" si="1"/>
        <v>109917.82342611827</v>
      </c>
      <c r="M25" s="68">
        <f t="shared" si="2"/>
        <v>96178.095497853472</v>
      </c>
      <c r="N25" s="72">
        <f t="shared" si="3"/>
        <v>57248.86636776993</v>
      </c>
      <c r="O25" s="55">
        <f t="shared" si="4"/>
        <v>52668.957058348329</v>
      </c>
      <c r="P25" s="77">
        <f t="shared" si="5"/>
        <v>52668.957058348329</v>
      </c>
      <c r="Q25" s="53">
        <f t="shared" si="6"/>
        <v>109917.82342611827</v>
      </c>
    </row>
    <row r="26" spans="1:17" x14ac:dyDescent="0.25">
      <c r="A26" s="35" t="s">
        <v>38</v>
      </c>
      <c r="B26" s="35" t="s">
        <v>14</v>
      </c>
      <c r="C26" s="36">
        <f>IFERROR(VLOOKUP($A26,'Manhole Rate'!$A$1:$AC$4,MATCH($B26,'Manhole Rate'!$B$1:$AC$1,0)+1,0),"N/F")</f>
        <v>3304.4045667476803</v>
      </c>
      <c r="D26" s="65">
        <v>45</v>
      </c>
      <c r="E26" s="51">
        <v>45</v>
      </c>
      <c r="F26" s="68">
        <v>59</v>
      </c>
      <c r="G26" s="72">
        <v>40</v>
      </c>
      <c r="H26" s="55">
        <v>30</v>
      </c>
      <c r="I26" s="77">
        <v>30</v>
      </c>
      <c r="J26" s="53">
        <v>45</v>
      </c>
      <c r="K26" s="65">
        <f t="shared" si="0"/>
        <v>148698.20550364561</v>
      </c>
      <c r="L26" s="51">
        <f t="shared" si="1"/>
        <v>148698.20550364561</v>
      </c>
      <c r="M26" s="68">
        <f t="shared" si="2"/>
        <v>194959.86943811315</v>
      </c>
      <c r="N26" s="72">
        <f t="shared" si="3"/>
        <v>132176.18266990723</v>
      </c>
      <c r="O26" s="55">
        <f t="shared" si="4"/>
        <v>99132.137002430405</v>
      </c>
      <c r="P26" s="77">
        <f t="shared" si="5"/>
        <v>99132.137002430405</v>
      </c>
      <c r="Q26" s="53">
        <f t="shared" si="6"/>
        <v>148698.20550364561</v>
      </c>
    </row>
    <row r="27" spans="1:17" x14ac:dyDescent="0.25">
      <c r="A27" s="35" t="s">
        <v>38</v>
      </c>
      <c r="B27" s="35" t="s">
        <v>16</v>
      </c>
      <c r="C27" s="36">
        <f>IFERROR(VLOOKUP($A27,'Manhole Rate'!$A$1:$AC$4,MATCH($B27,'Manhole Rate'!$B$1:$AC$1,0)+1,0),"N/F")</f>
        <v>4071.3568666898177</v>
      </c>
      <c r="D27" s="65">
        <v>41</v>
      </c>
      <c r="E27" s="51">
        <v>41</v>
      </c>
      <c r="F27" s="68">
        <v>51</v>
      </c>
      <c r="G27" s="72">
        <v>37</v>
      </c>
      <c r="H27" s="55">
        <v>26</v>
      </c>
      <c r="I27" s="77">
        <v>25</v>
      </c>
      <c r="J27" s="53">
        <v>40</v>
      </c>
      <c r="K27" s="65">
        <f t="shared" si="0"/>
        <v>166925.63153428253</v>
      </c>
      <c r="L27" s="51">
        <f t="shared" si="1"/>
        <v>166925.63153428253</v>
      </c>
      <c r="M27" s="68">
        <f t="shared" si="2"/>
        <v>207639.20020118071</v>
      </c>
      <c r="N27" s="72">
        <f t="shared" si="3"/>
        <v>150640.20406752324</v>
      </c>
      <c r="O27" s="55">
        <f t="shared" si="4"/>
        <v>105855.27853393526</v>
      </c>
      <c r="P27" s="77">
        <f t="shared" si="5"/>
        <v>101783.92166724545</v>
      </c>
      <c r="Q27" s="53">
        <f t="shared" si="6"/>
        <v>162854.27466759272</v>
      </c>
    </row>
    <row r="28" spans="1:17" x14ac:dyDescent="0.25">
      <c r="A28" s="35" t="s">
        <v>38</v>
      </c>
      <c r="B28" s="35" t="s">
        <v>18</v>
      </c>
      <c r="C28" s="36">
        <f>IFERROR(VLOOKUP($A28,'Manhole Rate'!$A$1:$AC$4,MATCH($B28,'Manhole Rate'!$B$1:$AC$1,0)+1,0),"N/F")</f>
        <v>5016.3187954485256</v>
      </c>
      <c r="D28" s="65">
        <v>23</v>
      </c>
      <c r="E28" s="51">
        <v>23</v>
      </c>
      <c r="F28" s="68">
        <v>25</v>
      </c>
      <c r="G28" s="72">
        <v>25</v>
      </c>
      <c r="H28" s="55">
        <v>24</v>
      </c>
      <c r="I28" s="77">
        <v>24</v>
      </c>
      <c r="J28" s="53">
        <v>23</v>
      </c>
      <c r="K28" s="65">
        <f t="shared" si="0"/>
        <v>115375.3322953161</v>
      </c>
      <c r="L28" s="51">
        <f t="shared" si="1"/>
        <v>115375.3322953161</v>
      </c>
      <c r="M28" s="68">
        <f t="shared" si="2"/>
        <v>125407.96988621313</v>
      </c>
      <c r="N28" s="72">
        <f t="shared" si="3"/>
        <v>125407.96988621313</v>
      </c>
      <c r="O28" s="55">
        <f t="shared" si="4"/>
        <v>120391.65109076462</v>
      </c>
      <c r="P28" s="77">
        <f t="shared" si="5"/>
        <v>120391.65109076462</v>
      </c>
      <c r="Q28" s="53">
        <f t="shared" si="6"/>
        <v>115375.3322953161</v>
      </c>
    </row>
    <row r="29" spans="1:17" x14ac:dyDescent="0.25">
      <c r="A29" s="35" t="s">
        <v>38</v>
      </c>
      <c r="B29" s="35" t="s">
        <v>21</v>
      </c>
      <c r="C29" s="36">
        <f>IFERROR(VLOOKUP($A29,'Manhole Rate'!$A$1:$AC$4,MATCH($B29,'Manhole Rate'!$B$1:$AC$1,0)+1,0),"N/F")</f>
        <v>7238.5480218322236</v>
      </c>
      <c r="D29" s="65">
        <v>20</v>
      </c>
      <c r="E29" s="51">
        <v>20</v>
      </c>
      <c r="F29" s="68">
        <v>23</v>
      </c>
      <c r="G29" s="72">
        <v>23</v>
      </c>
      <c r="H29" s="55">
        <v>33</v>
      </c>
      <c r="I29" s="77">
        <v>33</v>
      </c>
      <c r="J29" s="53">
        <v>20</v>
      </c>
      <c r="K29" s="65">
        <f t="shared" si="0"/>
        <v>144770.96043664447</v>
      </c>
      <c r="L29" s="51">
        <f t="shared" si="1"/>
        <v>144770.96043664447</v>
      </c>
      <c r="M29" s="68">
        <f t="shared" si="2"/>
        <v>166486.60450214116</v>
      </c>
      <c r="N29" s="72">
        <f t="shared" si="3"/>
        <v>166486.60450214116</v>
      </c>
      <c r="O29" s="55">
        <f t="shared" si="4"/>
        <v>238872.08472046338</v>
      </c>
      <c r="P29" s="77">
        <f t="shared" si="5"/>
        <v>238872.08472046338</v>
      </c>
      <c r="Q29" s="53">
        <f t="shared" si="6"/>
        <v>144770.96043664447</v>
      </c>
    </row>
    <row r="30" spans="1:17" x14ac:dyDescent="0.25">
      <c r="A30" s="35" t="s">
        <v>38</v>
      </c>
      <c r="B30" s="35" t="s">
        <v>25</v>
      </c>
      <c r="C30" s="36">
        <f>IFERROR(VLOOKUP($A30,'Manhole Rate'!$A$1:$AC$4,MATCH($B30,'Manhole Rate'!$B$1:$AC$1,0)+1,0),"N/F")</f>
        <v>8918.6150176994852</v>
      </c>
      <c r="D30" s="65">
        <v>14</v>
      </c>
      <c r="E30" s="51">
        <v>14</v>
      </c>
      <c r="F30" s="68">
        <v>14</v>
      </c>
      <c r="G30" s="72">
        <v>14</v>
      </c>
      <c r="H30" s="55">
        <v>18</v>
      </c>
      <c r="I30" s="77">
        <v>18</v>
      </c>
      <c r="J30" s="53">
        <v>14</v>
      </c>
      <c r="K30" s="65">
        <f t="shared" si="0"/>
        <v>124860.61024779279</v>
      </c>
      <c r="L30" s="51">
        <f t="shared" si="1"/>
        <v>124860.61024779279</v>
      </c>
      <c r="M30" s="68">
        <f t="shared" si="2"/>
        <v>124860.61024779279</v>
      </c>
      <c r="N30" s="72">
        <f t="shared" si="3"/>
        <v>124860.61024779279</v>
      </c>
      <c r="O30" s="55">
        <f t="shared" si="4"/>
        <v>160535.07031859073</v>
      </c>
      <c r="P30" s="77">
        <f t="shared" si="5"/>
        <v>160535.07031859073</v>
      </c>
      <c r="Q30" s="53">
        <f t="shared" si="6"/>
        <v>124860.61024779279</v>
      </c>
    </row>
    <row r="31" spans="1:17" x14ac:dyDescent="0.25">
      <c r="A31" s="35" t="s">
        <v>38</v>
      </c>
      <c r="B31" s="35" t="s">
        <v>27</v>
      </c>
      <c r="C31" s="36">
        <f>IFERROR(VLOOKUP($A31,'Manhole Rate'!$A$1:$AC$4,MATCH($B31,'Manhole Rate'!$B$1:$AC$1,0)+1,0),"N/F")</f>
        <v>10988.625563307538</v>
      </c>
      <c r="D31" s="65">
        <v>8</v>
      </c>
      <c r="E31" s="51">
        <v>8</v>
      </c>
      <c r="F31" s="68">
        <v>8</v>
      </c>
      <c r="G31" s="72">
        <v>6</v>
      </c>
      <c r="H31" s="55">
        <v>8</v>
      </c>
      <c r="I31" s="77">
        <v>8</v>
      </c>
      <c r="J31" s="53">
        <v>8</v>
      </c>
      <c r="K31" s="65">
        <f t="shared" si="0"/>
        <v>87909.004506460304</v>
      </c>
      <c r="L31" s="51">
        <f t="shared" si="1"/>
        <v>87909.004506460304</v>
      </c>
      <c r="M31" s="68">
        <f t="shared" si="2"/>
        <v>87909.004506460304</v>
      </c>
      <c r="N31" s="72">
        <f t="shared" si="3"/>
        <v>65931.753379845235</v>
      </c>
      <c r="O31" s="55">
        <f t="shared" si="4"/>
        <v>87909.004506460304</v>
      </c>
      <c r="P31" s="77">
        <f t="shared" si="5"/>
        <v>87909.004506460304</v>
      </c>
      <c r="Q31" s="53">
        <f t="shared" si="6"/>
        <v>87909.004506460304</v>
      </c>
    </row>
    <row r="32" spans="1:17" x14ac:dyDescent="0.25">
      <c r="A32" s="35" t="s">
        <v>39</v>
      </c>
      <c r="B32" s="35" t="s">
        <v>6</v>
      </c>
      <c r="C32" s="36">
        <f>IFERROR(VLOOKUP($A32,'Manhole Rate'!$A$1:$AC$4,MATCH($B32,'Manhole Rate'!$B$1:$AC$1,0)+1,0),"N/F")</f>
        <v>1764.035294</v>
      </c>
      <c r="D32" s="65">
        <v>11</v>
      </c>
      <c r="E32" s="51">
        <v>11</v>
      </c>
      <c r="F32" s="68"/>
      <c r="G32" s="72"/>
      <c r="H32" s="55"/>
      <c r="I32" s="77"/>
      <c r="J32" s="53">
        <v>11</v>
      </c>
      <c r="K32" s="65">
        <f t="shared" si="0"/>
        <v>19404.388234000002</v>
      </c>
      <c r="L32" s="51">
        <f t="shared" si="1"/>
        <v>19404.388234000002</v>
      </c>
      <c r="M32" s="68">
        <f t="shared" si="2"/>
        <v>0</v>
      </c>
      <c r="N32" s="72">
        <f t="shared" si="3"/>
        <v>0</v>
      </c>
      <c r="O32" s="55">
        <f t="shared" si="4"/>
        <v>0</v>
      </c>
      <c r="P32" s="77">
        <f t="shared" si="5"/>
        <v>0</v>
      </c>
      <c r="Q32" s="53">
        <f t="shared" si="6"/>
        <v>19404.388234000002</v>
      </c>
    </row>
    <row r="33" spans="1:17" x14ac:dyDescent="0.25">
      <c r="A33" s="35" t="s">
        <v>39</v>
      </c>
      <c r="B33" s="35" t="s">
        <v>7</v>
      </c>
      <c r="C33" s="36">
        <f>IFERROR(VLOOKUP($A33,'Manhole Rate'!$A$1:$AC$4,MATCH($B33,'Manhole Rate'!$B$1:$AC$1,0)+1,0),"N/F")</f>
        <v>1988.494553</v>
      </c>
      <c r="D33" s="65">
        <v>11</v>
      </c>
      <c r="E33" s="51">
        <v>17</v>
      </c>
      <c r="F33" s="68"/>
      <c r="G33" s="72"/>
      <c r="H33" s="55"/>
      <c r="I33" s="77"/>
      <c r="J33" s="53">
        <v>11</v>
      </c>
      <c r="K33" s="65">
        <f t="shared" si="0"/>
        <v>21873.440083000001</v>
      </c>
      <c r="L33" s="51">
        <f t="shared" si="1"/>
        <v>33804.407400999997</v>
      </c>
      <c r="M33" s="68">
        <f t="shared" si="2"/>
        <v>0</v>
      </c>
      <c r="N33" s="72">
        <f t="shared" si="3"/>
        <v>0</v>
      </c>
      <c r="O33" s="55">
        <f t="shared" si="4"/>
        <v>0</v>
      </c>
      <c r="P33" s="77">
        <f t="shared" si="5"/>
        <v>0</v>
      </c>
      <c r="Q33" s="53">
        <f t="shared" si="6"/>
        <v>21873.440083000001</v>
      </c>
    </row>
    <row r="34" spans="1:17" x14ac:dyDescent="0.25">
      <c r="A34" s="35" t="s">
        <v>39</v>
      </c>
      <c r="B34" s="35" t="s">
        <v>8</v>
      </c>
      <c r="C34" s="36">
        <f>IFERROR(VLOOKUP($A34,'Manhole Rate'!$A$1:$AC$4,MATCH($B34,'Manhole Rate'!$B$1:$AC$1,0)+1,0),"N/F")</f>
        <v>2207.7837450000002</v>
      </c>
      <c r="D34" s="65">
        <v>6</v>
      </c>
      <c r="E34" s="51">
        <v>14</v>
      </c>
      <c r="F34" s="68"/>
      <c r="G34" s="72"/>
      <c r="H34" s="55"/>
      <c r="I34" s="77"/>
      <c r="J34" s="53">
        <v>6</v>
      </c>
      <c r="K34" s="65">
        <f t="shared" si="0"/>
        <v>13246.70247</v>
      </c>
      <c r="L34" s="51">
        <f t="shared" si="1"/>
        <v>30908.972430000002</v>
      </c>
      <c r="M34" s="68">
        <f t="shared" si="2"/>
        <v>0</v>
      </c>
      <c r="N34" s="72">
        <f t="shared" si="3"/>
        <v>0</v>
      </c>
      <c r="O34" s="55">
        <f t="shared" si="4"/>
        <v>0</v>
      </c>
      <c r="P34" s="77">
        <f t="shared" si="5"/>
        <v>0</v>
      </c>
      <c r="Q34" s="53">
        <f t="shared" si="6"/>
        <v>13246.70247</v>
      </c>
    </row>
    <row r="35" spans="1:17" x14ac:dyDescent="0.25">
      <c r="A35" s="35" t="s">
        <v>39</v>
      </c>
      <c r="B35" s="35" t="s">
        <v>10</v>
      </c>
      <c r="C35" s="36">
        <f>IFERROR(VLOOKUP($A35,'Manhole Rate'!$A$1:$AC$4,MATCH($B35,'Manhole Rate'!$B$1:$AC$1,0)+1,0),"N/F")</f>
        <v>2992.5529999999999</v>
      </c>
      <c r="D35" s="65">
        <v>4</v>
      </c>
      <c r="E35" s="51">
        <v>13</v>
      </c>
      <c r="F35" s="68"/>
      <c r="G35" s="72"/>
      <c r="H35" s="55"/>
      <c r="I35" s="77"/>
      <c r="J35" s="53">
        <v>4</v>
      </c>
      <c r="K35" s="65">
        <f t="shared" ref="K35:K66" si="7">IFERROR(D35*$C35,0)</f>
        <v>11970.212</v>
      </c>
      <c r="L35" s="51">
        <f t="shared" ref="L35:L66" si="8">IFERROR(E35*$C35,0)</f>
        <v>38903.188999999998</v>
      </c>
      <c r="M35" s="68">
        <f t="shared" ref="M35:M66" si="9">IFERROR(F35*$C35,0)</f>
        <v>0</v>
      </c>
      <c r="N35" s="72">
        <f t="shared" ref="N35:N66" si="10">IFERROR(G35*$C35,0)</f>
        <v>0</v>
      </c>
      <c r="O35" s="55">
        <f t="shared" ref="O35:O66" si="11">IFERROR(H35*$C35,0)</f>
        <v>0</v>
      </c>
      <c r="P35" s="77">
        <f t="shared" ref="P35:P66" si="12">IFERROR(I35*$C35,0)</f>
        <v>0</v>
      </c>
      <c r="Q35" s="53">
        <f t="shared" ref="Q35:Q66" si="13">IFERROR(J35*$C35,0)</f>
        <v>11970.212</v>
      </c>
    </row>
    <row r="36" spans="1:17" x14ac:dyDescent="0.25">
      <c r="A36" s="35" t="s">
        <v>39</v>
      </c>
      <c r="B36" s="35" t="s">
        <v>12</v>
      </c>
      <c r="C36" s="36">
        <f>IFERROR(VLOOKUP($A36,'Manhole Rate'!$A$1:$AC$4,MATCH($B36,'Manhole Rate'!$B$1:$AC$1,0)+1,0),"N/F")</f>
        <v>3548.1071010000001</v>
      </c>
      <c r="D36" s="65">
        <v>2</v>
      </c>
      <c r="E36" s="51">
        <v>6</v>
      </c>
      <c r="F36" s="68"/>
      <c r="G36" s="72"/>
      <c r="H36" s="55"/>
      <c r="I36" s="77"/>
      <c r="J36" s="53">
        <v>2</v>
      </c>
      <c r="K36" s="65">
        <f t="shared" si="7"/>
        <v>7096.2142020000001</v>
      </c>
      <c r="L36" s="51">
        <f t="shared" si="8"/>
        <v>21288.642606000001</v>
      </c>
      <c r="M36" s="68">
        <f t="shared" si="9"/>
        <v>0</v>
      </c>
      <c r="N36" s="72">
        <f t="shared" si="10"/>
        <v>0</v>
      </c>
      <c r="O36" s="55">
        <f t="shared" si="11"/>
        <v>0</v>
      </c>
      <c r="P36" s="77">
        <f t="shared" si="12"/>
        <v>0</v>
      </c>
      <c r="Q36" s="53">
        <f t="shared" si="13"/>
        <v>7096.2142020000001</v>
      </c>
    </row>
    <row r="37" spans="1:17" x14ac:dyDescent="0.25">
      <c r="A37" s="35" t="s">
        <v>39</v>
      </c>
      <c r="B37" s="35" t="s">
        <v>14</v>
      </c>
      <c r="C37" s="36">
        <f>IFERROR(VLOOKUP($A37,'Manhole Rate'!$A$1:$AC$4,MATCH($B37,'Manhole Rate'!$B$1:$AC$1,0)+1,0),"N/F")</f>
        <v>4134.5475000000006</v>
      </c>
      <c r="D37" s="65">
        <v>20</v>
      </c>
      <c r="E37" s="51">
        <v>30</v>
      </c>
      <c r="F37" s="68"/>
      <c r="G37" s="72"/>
      <c r="H37" s="55"/>
      <c r="I37" s="77"/>
      <c r="J37" s="53">
        <v>20</v>
      </c>
      <c r="K37" s="65">
        <f t="shared" si="7"/>
        <v>82690.950000000012</v>
      </c>
      <c r="L37" s="51">
        <f t="shared" si="8"/>
        <v>124036.42500000002</v>
      </c>
      <c r="M37" s="68">
        <f t="shared" si="9"/>
        <v>0</v>
      </c>
      <c r="N37" s="72">
        <f t="shared" si="10"/>
        <v>0</v>
      </c>
      <c r="O37" s="55">
        <f t="shared" si="11"/>
        <v>0</v>
      </c>
      <c r="P37" s="77">
        <f t="shared" si="12"/>
        <v>0</v>
      </c>
      <c r="Q37" s="53">
        <f t="shared" si="13"/>
        <v>82690.950000000012</v>
      </c>
    </row>
    <row r="38" spans="1:17" x14ac:dyDescent="0.25">
      <c r="A38" s="35" t="s">
        <v>39</v>
      </c>
      <c r="B38" s="35" t="s">
        <v>16</v>
      </c>
      <c r="C38" s="36">
        <f>IFERROR(VLOOKUP($A38,'Manhole Rate'!$A$1:$AC$4,MATCH($B38,'Manhole Rate'!$B$1:$AC$1,0)+1,0),"N/F")</f>
        <v>4825.3220000000001</v>
      </c>
      <c r="D38" s="65">
        <v>16</v>
      </c>
      <c r="E38" s="51">
        <v>27</v>
      </c>
      <c r="F38" s="68"/>
      <c r="G38" s="72"/>
      <c r="H38" s="55"/>
      <c r="I38" s="77"/>
      <c r="J38" s="53">
        <v>16</v>
      </c>
      <c r="K38" s="65">
        <f t="shared" si="7"/>
        <v>77205.152000000002</v>
      </c>
      <c r="L38" s="51">
        <f t="shared" si="8"/>
        <v>130283.694</v>
      </c>
      <c r="M38" s="68">
        <f t="shared" si="9"/>
        <v>0</v>
      </c>
      <c r="N38" s="72">
        <f t="shared" si="10"/>
        <v>0</v>
      </c>
      <c r="O38" s="55">
        <f t="shared" si="11"/>
        <v>0</v>
      </c>
      <c r="P38" s="77">
        <f t="shared" si="12"/>
        <v>0</v>
      </c>
      <c r="Q38" s="53">
        <f t="shared" si="13"/>
        <v>77205.152000000002</v>
      </c>
    </row>
    <row r="39" spans="1:17" x14ac:dyDescent="0.25">
      <c r="A39" s="35" t="s">
        <v>39</v>
      </c>
      <c r="B39" s="35" t="s">
        <v>18</v>
      </c>
      <c r="C39" s="36">
        <f>IFERROR(VLOOKUP($A39,'Manhole Rate'!$A$1:$AC$4,MATCH($B39,'Manhole Rate'!$B$1:$AC$1,0)+1,0),"N/F")</f>
        <v>5235.6000000000004</v>
      </c>
      <c r="D39" s="65">
        <v>10</v>
      </c>
      <c r="E39" s="51">
        <v>17</v>
      </c>
      <c r="F39" s="68"/>
      <c r="G39" s="72"/>
      <c r="H39" s="55"/>
      <c r="I39" s="77"/>
      <c r="J39" s="53">
        <v>10</v>
      </c>
      <c r="K39" s="65">
        <f t="shared" si="7"/>
        <v>52356</v>
      </c>
      <c r="L39" s="51">
        <f t="shared" si="8"/>
        <v>89005.200000000012</v>
      </c>
      <c r="M39" s="68">
        <f t="shared" si="9"/>
        <v>0</v>
      </c>
      <c r="N39" s="72">
        <f t="shared" si="10"/>
        <v>0</v>
      </c>
      <c r="O39" s="55">
        <f t="shared" si="11"/>
        <v>0</v>
      </c>
      <c r="P39" s="77">
        <f t="shared" si="12"/>
        <v>0</v>
      </c>
      <c r="Q39" s="53">
        <f t="shared" si="13"/>
        <v>52356</v>
      </c>
    </row>
    <row r="40" spans="1:17" x14ac:dyDescent="0.25">
      <c r="A40" s="35" t="s">
        <v>39</v>
      </c>
      <c r="B40" s="35" t="s">
        <v>21</v>
      </c>
      <c r="C40" s="36">
        <f>IFERROR(VLOOKUP($A40,'Manhole Rate'!$A$1:$AC$4,MATCH($B40,'Manhole Rate'!$B$1:$AC$1,0)+1,0),"N/F")</f>
        <v>7069.9</v>
      </c>
      <c r="D40" s="65">
        <v>8</v>
      </c>
      <c r="E40" s="51">
        <v>11</v>
      </c>
      <c r="F40" s="68">
        <v>9</v>
      </c>
      <c r="G40" s="72">
        <v>13</v>
      </c>
      <c r="H40" s="55">
        <v>1</v>
      </c>
      <c r="I40" s="77">
        <v>1</v>
      </c>
      <c r="J40" s="53">
        <v>8</v>
      </c>
      <c r="K40" s="65">
        <f t="shared" si="7"/>
        <v>56559.199999999997</v>
      </c>
      <c r="L40" s="51">
        <f t="shared" si="8"/>
        <v>77768.899999999994</v>
      </c>
      <c r="M40" s="68">
        <f t="shared" si="9"/>
        <v>63629.1</v>
      </c>
      <c r="N40" s="72">
        <f t="shared" si="10"/>
        <v>91908.7</v>
      </c>
      <c r="O40" s="55">
        <f t="shared" si="11"/>
        <v>7069.9</v>
      </c>
      <c r="P40" s="77">
        <f t="shared" si="12"/>
        <v>7069.9</v>
      </c>
      <c r="Q40" s="53">
        <f t="shared" si="13"/>
        <v>56559.199999999997</v>
      </c>
    </row>
    <row r="41" spans="1:17" x14ac:dyDescent="0.25">
      <c r="A41" s="35" t="s">
        <v>39</v>
      </c>
      <c r="B41" s="35" t="s">
        <v>25</v>
      </c>
      <c r="C41" s="36">
        <f>IFERROR(VLOOKUP($A41,'Manhole Rate'!$A$1:$AC$4,MATCH($B41,'Manhole Rate'!$B$1:$AC$1,0)+1,0),"N/F")</f>
        <v>9655.9704750000019</v>
      </c>
      <c r="D41" s="65">
        <v>14</v>
      </c>
      <c r="E41" s="51">
        <v>14</v>
      </c>
      <c r="F41" s="68">
        <v>9</v>
      </c>
      <c r="G41" s="72">
        <v>5</v>
      </c>
      <c r="H41" s="55"/>
      <c r="I41" s="77"/>
      <c r="J41" s="53">
        <v>14</v>
      </c>
      <c r="K41" s="65">
        <f t="shared" si="7"/>
        <v>135183.58665000001</v>
      </c>
      <c r="L41" s="51">
        <f t="shared" si="8"/>
        <v>135183.58665000001</v>
      </c>
      <c r="M41" s="68">
        <f t="shared" si="9"/>
        <v>86903.734275000024</v>
      </c>
      <c r="N41" s="72">
        <f t="shared" si="10"/>
        <v>48279.852375000009</v>
      </c>
      <c r="O41" s="55">
        <f t="shared" si="11"/>
        <v>0</v>
      </c>
      <c r="P41" s="77">
        <f t="shared" si="12"/>
        <v>0</v>
      </c>
      <c r="Q41" s="53">
        <f t="shared" si="13"/>
        <v>135183.58665000001</v>
      </c>
    </row>
    <row r="42" spans="1:17" x14ac:dyDescent="0.25">
      <c r="A42" s="35" t="s">
        <v>39</v>
      </c>
      <c r="B42" s="35" t="s">
        <v>27</v>
      </c>
      <c r="C42" s="36">
        <f>IFERROR(VLOOKUP($A42,'Manhole Rate'!$A$1:$AC$4,MATCH($B42,'Manhole Rate'!$B$1:$AC$1,0)+1,0),"N/F")</f>
        <v>11897.121222247504</v>
      </c>
      <c r="D42" s="65">
        <v>5</v>
      </c>
      <c r="E42" s="51">
        <v>5</v>
      </c>
      <c r="F42" s="68">
        <v>5</v>
      </c>
      <c r="G42" s="72">
        <v>5</v>
      </c>
      <c r="H42" s="55"/>
      <c r="I42" s="77"/>
      <c r="J42" s="53">
        <v>5</v>
      </c>
      <c r="K42" s="65">
        <f t="shared" si="7"/>
        <v>59485.606111237517</v>
      </c>
      <c r="L42" s="51">
        <f t="shared" si="8"/>
        <v>59485.606111237517</v>
      </c>
      <c r="M42" s="68">
        <f t="shared" si="9"/>
        <v>59485.606111237517</v>
      </c>
      <c r="N42" s="72">
        <f t="shared" si="10"/>
        <v>59485.606111237517</v>
      </c>
      <c r="O42" s="55">
        <f t="shared" si="11"/>
        <v>0</v>
      </c>
      <c r="P42" s="77">
        <f t="shared" si="12"/>
        <v>0</v>
      </c>
      <c r="Q42" s="53">
        <f t="shared" si="13"/>
        <v>59485.606111237517</v>
      </c>
    </row>
    <row r="43" spans="1:17" x14ac:dyDescent="0.25">
      <c r="A43" s="35"/>
      <c r="B43" s="35"/>
      <c r="C43" s="36" t="str">
        <f>IFERROR(VLOOKUP($A43,'Manhole Rate'!$A$1:$AC$4,MATCH($B43,'Manhole Rate'!$B$1:$AC$1,0)+1,0),"N/F")</f>
        <v>N/F</v>
      </c>
      <c r="D43" s="65"/>
      <c r="E43" s="51"/>
      <c r="F43" s="68"/>
      <c r="G43" s="72"/>
      <c r="H43" s="55"/>
      <c r="I43" s="77"/>
      <c r="J43" s="53"/>
      <c r="K43" s="65">
        <f t="shared" si="7"/>
        <v>0</v>
      </c>
      <c r="L43" s="51">
        <f t="shared" si="8"/>
        <v>0</v>
      </c>
      <c r="M43" s="68">
        <f t="shared" si="9"/>
        <v>0</v>
      </c>
      <c r="N43" s="72">
        <f t="shared" si="10"/>
        <v>0</v>
      </c>
      <c r="O43" s="55">
        <f t="shared" si="11"/>
        <v>0</v>
      </c>
      <c r="P43" s="77">
        <f t="shared" si="12"/>
        <v>0</v>
      </c>
      <c r="Q43" s="53">
        <f t="shared" si="13"/>
        <v>0</v>
      </c>
    </row>
    <row r="44" spans="1:17" x14ac:dyDescent="0.25">
      <c r="A44" s="35"/>
      <c r="B44" s="35"/>
      <c r="C44" s="36" t="str">
        <f>IFERROR(VLOOKUP($A44,'Manhole Rate'!$A$1:$AC$4,MATCH($B44,'Manhole Rate'!$B$1:$AC$1,0)+1,0),"N/F")</f>
        <v>N/F</v>
      </c>
      <c r="D44" s="65"/>
      <c r="E44" s="51"/>
      <c r="F44" s="68"/>
      <c r="G44" s="72"/>
      <c r="H44" s="55"/>
      <c r="I44" s="77"/>
      <c r="J44" s="53"/>
      <c r="K44" s="65">
        <f t="shared" si="7"/>
        <v>0</v>
      </c>
      <c r="L44" s="51">
        <f t="shared" si="8"/>
        <v>0</v>
      </c>
      <c r="M44" s="68">
        <f t="shared" si="9"/>
        <v>0</v>
      </c>
      <c r="N44" s="72">
        <f t="shared" si="10"/>
        <v>0</v>
      </c>
      <c r="O44" s="55">
        <f t="shared" si="11"/>
        <v>0</v>
      </c>
      <c r="P44" s="77">
        <f t="shared" si="12"/>
        <v>0</v>
      </c>
      <c r="Q44" s="53">
        <f t="shared" si="13"/>
        <v>0</v>
      </c>
    </row>
    <row r="45" spans="1:17" x14ac:dyDescent="0.25">
      <c r="A45" s="35"/>
      <c r="B45" s="35"/>
      <c r="C45" s="36" t="str">
        <f>IFERROR(VLOOKUP($A45,'Manhole Rate'!$A$1:$AC$4,MATCH($B45,'Manhole Rate'!$B$1:$AC$1,0)+1,0),"N/F")</f>
        <v>N/F</v>
      </c>
      <c r="D45" s="65"/>
      <c r="E45" s="51"/>
      <c r="F45" s="68"/>
      <c r="G45" s="72"/>
      <c r="H45" s="55"/>
      <c r="I45" s="77"/>
      <c r="J45" s="53"/>
      <c r="K45" s="65">
        <f t="shared" si="7"/>
        <v>0</v>
      </c>
      <c r="L45" s="51">
        <f t="shared" si="8"/>
        <v>0</v>
      </c>
      <c r="M45" s="68">
        <f t="shared" si="9"/>
        <v>0</v>
      </c>
      <c r="N45" s="72">
        <f t="shared" si="10"/>
        <v>0</v>
      </c>
      <c r="O45" s="55">
        <f t="shared" si="11"/>
        <v>0</v>
      </c>
      <c r="P45" s="77">
        <f t="shared" si="12"/>
        <v>0</v>
      </c>
      <c r="Q45" s="53">
        <f t="shared" si="13"/>
        <v>0</v>
      </c>
    </row>
    <row r="46" spans="1:17" x14ac:dyDescent="0.25">
      <c r="A46" s="35"/>
      <c r="B46" s="35"/>
      <c r="C46" s="36" t="str">
        <f>IFERROR(VLOOKUP($A46,'Manhole Rate'!$A$1:$AC$4,MATCH($B46,'Manhole Rate'!$B$1:$AC$1,0)+1,0),"N/F")</f>
        <v>N/F</v>
      </c>
      <c r="D46" s="65"/>
      <c r="E46" s="51"/>
      <c r="F46" s="68"/>
      <c r="G46" s="72"/>
      <c r="H46" s="55"/>
      <c r="I46" s="77"/>
      <c r="J46" s="53"/>
      <c r="K46" s="65">
        <f t="shared" si="7"/>
        <v>0</v>
      </c>
      <c r="L46" s="51">
        <f t="shared" si="8"/>
        <v>0</v>
      </c>
      <c r="M46" s="68">
        <f t="shared" si="9"/>
        <v>0</v>
      </c>
      <c r="N46" s="72">
        <f t="shared" si="10"/>
        <v>0</v>
      </c>
      <c r="O46" s="55">
        <f t="shared" si="11"/>
        <v>0</v>
      </c>
      <c r="P46" s="77">
        <f t="shared" si="12"/>
        <v>0</v>
      </c>
      <c r="Q46" s="53">
        <f t="shared" si="13"/>
        <v>0</v>
      </c>
    </row>
    <row r="47" spans="1:17" x14ac:dyDescent="0.25">
      <c r="A47" s="35"/>
      <c r="B47" s="35"/>
      <c r="C47" s="36" t="str">
        <f>IFERROR(VLOOKUP($A47,'Manhole Rate'!$A$1:$AC$4,MATCH($B47,'Manhole Rate'!$B$1:$AC$1,0)+1,0),"N/F")</f>
        <v>N/F</v>
      </c>
      <c r="D47" s="65"/>
      <c r="E47" s="51"/>
      <c r="F47" s="68"/>
      <c r="G47" s="72"/>
      <c r="H47" s="55"/>
      <c r="I47" s="77"/>
      <c r="J47" s="53"/>
      <c r="K47" s="65">
        <f t="shared" si="7"/>
        <v>0</v>
      </c>
      <c r="L47" s="51">
        <f t="shared" si="8"/>
        <v>0</v>
      </c>
      <c r="M47" s="68">
        <f t="shared" si="9"/>
        <v>0</v>
      </c>
      <c r="N47" s="72">
        <f t="shared" si="10"/>
        <v>0</v>
      </c>
      <c r="O47" s="55">
        <f t="shared" si="11"/>
        <v>0</v>
      </c>
      <c r="P47" s="77">
        <f t="shared" si="12"/>
        <v>0</v>
      </c>
      <c r="Q47" s="53">
        <f t="shared" si="13"/>
        <v>0</v>
      </c>
    </row>
    <row r="48" spans="1:17" x14ac:dyDescent="0.25">
      <c r="A48" s="35"/>
      <c r="B48" s="35"/>
      <c r="C48" s="36" t="str">
        <f>IFERROR(VLOOKUP($A48,'Manhole Rate'!$A$1:$AC$4,MATCH($B48,'Manhole Rate'!$B$1:$AC$1,0)+1,0),"N/F")</f>
        <v>N/F</v>
      </c>
      <c r="D48" s="65"/>
      <c r="E48" s="51"/>
      <c r="F48" s="68"/>
      <c r="G48" s="72"/>
      <c r="H48" s="55"/>
      <c r="I48" s="77"/>
      <c r="J48" s="53"/>
      <c r="K48" s="65">
        <f t="shared" si="7"/>
        <v>0</v>
      </c>
      <c r="L48" s="51">
        <f t="shared" si="8"/>
        <v>0</v>
      </c>
      <c r="M48" s="68">
        <f t="shared" si="9"/>
        <v>0</v>
      </c>
      <c r="N48" s="72">
        <f t="shared" si="10"/>
        <v>0</v>
      </c>
      <c r="O48" s="55">
        <f t="shared" si="11"/>
        <v>0</v>
      </c>
      <c r="P48" s="77">
        <f t="shared" si="12"/>
        <v>0</v>
      </c>
      <c r="Q48" s="53">
        <f t="shared" si="13"/>
        <v>0</v>
      </c>
    </row>
    <row r="49" spans="1:17" x14ac:dyDescent="0.25">
      <c r="A49" s="35"/>
      <c r="B49" s="35"/>
      <c r="C49" s="36" t="str">
        <f>IFERROR(VLOOKUP($A49,'Manhole Rate'!$A$1:$AC$4,MATCH($B49,'Manhole Rate'!$B$1:$AC$1,0)+1,0),"N/F")</f>
        <v>N/F</v>
      </c>
      <c r="D49" s="65"/>
      <c r="E49" s="51"/>
      <c r="F49" s="68"/>
      <c r="G49" s="72"/>
      <c r="H49" s="55"/>
      <c r="I49" s="77"/>
      <c r="J49" s="53"/>
      <c r="K49" s="65">
        <f t="shared" si="7"/>
        <v>0</v>
      </c>
      <c r="L49" s="51">
        <f t="shared" si="8"/>
        <v>0</v>
      </c>
      <c r="M49" s="68">
        <f t="shared" si="9"/>
        <v>0</v>
      </c>
      <c r="N49" s="72">
        <f t="shared" si="10"/>
        <v>0</v>
      </c>
      <c r="O49" s="55">
        <f t="shared" si="11"/>
        <v>0</v>
      </c>
      <c r="P49" s="77">
        <f t="shared" si="12"/>
        <v>0</v>
      </c>
      <c r="Q49" s="53">
        <f t="shared" si="13"/>
        <v>0</v>
      </c>
    </row>
    <row r="50" spans="1:17" x14ac:dyDescent="0.25">
      <c r="A50" s="35"/>
      <c r="B50" s="35"/>
      <c r="C50" s="36" t="str">
        <f>IFERROR(VLOOKUP($A50,'Manhole Rate'!$A$1:$AC$4,MATCH($B50,'Manhole Rate'!$B$1:$AC$1,0)+1,0),"N/F")</f>
        <v>N/F</v>
      </c>
      <c r="D50" s="65"/>
      <c r="E50" s="51"/>
      <c r="F50" s="68"/>
      <c r="G50" s="72"/>
      <c r="H50" s="55"/>
      <c r="I50" s="77"/>
      <c r="J50" s="53"/>
      <c r="K50" s="65">
        <f t="shared" si="7"/>
        <v>0</v>
      </c>
      <c r="L50" s="51">
        <f t="shared" si="8"/>
        <v>0</v>
      </c>
      <c r="M50" s="68">
        <f t="shared" si="9"/>
        <v>0</v>
      </c>
      <c r="N50" s="72">
        <f t="shared" si="10"/>
        <v>0</v>
      </c>
      <c r="O50" s="55">
        <f t="shared" si="11"/>
        <v>0</v>
      </c>
      <c r="P50" s="77">
        <f t="shared" si="12"/>
        <v>0</v>
      </c>
      <c r="Q50" s="53">
        <f t="shared" si="13"/>
        <v>0</v>
      </c>
    </row>
    <row r="51" spans="1:17" x14ac:dyDescent="0.25">
      <c r="A51" s="35"/>
      <c r="B51" s="35"/>
      <c r="C51" s="36" t="str">
        <f>IFERROR(VLOOKUP($A51,'Manhole Rate'!$A$1:$AC$4,MATCH($B51,'Manhole Rate'!$B$1:$AC$1,0)+1,0),"N/F")</f>
        <v>N/F</v>
      </c>
      <c r="D51" s="65"/>
      <c r="E51" s="51"/>
      <c r="F51" s="68"/>
      <c r="G51" s="72"/>
      <c r="H51" s="55"/>
      <c r="I51" s="77"/>
      <c r="J51" s="53"/>
      <c r="K51" s="65">
        <f t="shared" si="7"/>
        <v>0</v>
      </c>
      <c r="L51" s="51">
        <f t="shared" si="8"/>
        <v>0</v>
      </c>
      <c r="M51" s="68">
        <f t="shared" si="9"/>
        <v>0</v>
      </c>
      <c r="N51" s="72">
        <f t="shared" si="10"/>
        <v>0</v>
      </c>
      <c r="O51" s="55">
        <f t="shared" si="11"/>
        <v>0</v>
      </c>
      <c r="P51" s="77">
        <f t="shared" si="12"/>
        <v>0</v>
      </c>
      <c r="Q51" s="53">
        <f t="shared" si="13"/>
        <v>0</v>
      </c>
    </row>
    <row r="52" spans="1:17" x14ac:dyDescent="0.25">
      <c r="A52" s="35"/>
      <c r="B52" s="35"/>
      <c r="C52" s="36" t="str">
        <f>IFERROR(VLOOKUP($A52,'Manhole Rate'!$A$1:$AC$4,MATCH($B52,'Manhole Rate'!$B$1:$AC$1,0)+1,0),"N/F")</f>
        <v>N/F</v>
      </c>
      <c r="D52" s="65"/>
      <c r="E52" s="51"/>
      <c r="F52" s="68"/>
      <c r="G52" s="72"/>
      <c r="H52" s="55"/>
      <c r="I52" s="77"/>
      <c r="J52" s="53"/>
      <c r="K52" s="65">
        <f t="shared" si="7"/>
        <v>0</v>
      </c>
      <c r="L52" s="51">
        <f t="shared" si="8"/>
        <v>0</v>
      </c>
      <c r="M52" s="68">
        <f t="shared" si="9"/>
        <v>0</v>
      </c>
      <c r="N52" s="72">
        <f t="shared" si="10"/>
        <v>0</v>
      </c>
      <c r="O52" s="55">
        <f t="shared" si="11"/>
        <v>0</v>
      </c>
      <c r="P52" s="77">
        <f t="shared" si="12"/>
        <v>0</v>
      </c>
      <c r="Q52" s="53">
        <f t="shared" si="13"/>
        <v>0</v>
      </c>
    </row>
    <row r="53" spans="1:17" x14ac:dyDescent="0.25">
      <c r="A53" s="35"/>
      <c r="B53" s="35"/>
      <c r="C53" s="36" t="str">
        <f>IFERROR(VLOOKUP($A53,'Manhole Rate'!$A$1:$AC$4,MATCH($B53,'Manhole Rate'!$B$1:$AC$1,0)+1,0),"N/F")</f>
        <v>N/F</v>
      </c>
      <c r="D53" s="65"/>
      <c r="E53" s="51"/>
      <c r="F53" s="68"/>
      <c r="G53" s="72"/>
      <c r="H53" s="55"/>
      <c r="I53" s="77"/>
      <c r="J53" s="53"/>
      <c r="K53" s="65">
        <f t="shared" si="7"/>
        <v>0</v>
      </c>
      <c r="L53" s="51">
        <f t="shared" si="8"/>
        <v>0</v>
      </c>
      <c r="M53" s="68">
        <f t="shared" si="9"/>
        <v>0</v>
      </c>
      <c r="N53" s="72">
        <f t="shared" si="10"/>
        <v>0</v>
      </c>
      <c r="O53" s="55">
        <f t="shared" si="11"/>
        <v>0</v>
      </c>
      <c r="P53" s="77">
        <f t="shared" si="12"/>
        <v>0</v>
      </c>
      <c r="Q53" s="53">
        <f t="shared" si="13"/>
        <v>0</v>
      </c>
    </row>
    <row r="54" spans="1:17" x14ac:dyDescent="0.25">
      <c r="A54" s="35"/>
      <c r="B54" s="35"/>
      <c r="C54" s="36" t="str">
        <f>IFERROR(VLOOKUP($A54,'Manhole Rate'!$A$1:$AC$4,MATCH($B54,'Manhole Rate'!$B$1:$AC$1,0)+1,0),"N/F")</f>
        <v>N/F</v>
      </c>
      <c r="D54" s="65"/>
      <c r="E54" s="51"/>
      <c r="F54" s="68"/>
      <c r="G54" s="72"/>
      <c r="H54" s="55"/>
      <c r="I54" s="77"/>
      <c r="J54" s="53"/>
      <c r="K54" s="65">
        <f t="shared" si="7"/>
        <v>0</v>
      </c>
      <c r="L54" s="51">
        <f t="shared" si="8"/>
        <v>0</v>
      </c>
      <c r="M54" s="68">
        <f t="shared" si="9"/>
        <v>0</v>
      </c>
      <c r="N54" s="72">
        <f t="shared" si="10"/>
        <v>0</v>
      </c>
      <c r="O54" s="55">
        <f t="shared" si="11"/>
        <v>0</v>
      </c>
      <c r="P54" s="77">
        <f t="shared" si="12"/>
        <v>0</v>
      </c>
      <c r="Q54" s="53">
        <f t="shared" si="13"/>
        <v>0</v>
      </c>
    </row>
    <row r="55" spans="1:17" x14ac:dyDescent="0.25">
      <c r="A55" s="35"/>
      <c r="B55" s="35"/>
      <c r="C55" s="36" t="str">
        <f>IFERROR(VLOOKUP($A55,'Manhole Rate'!$A$1:$AC$4,MATCH($B55,'Manhole Rate'!$B$1:$AC$1,0)+1,0),"N/F")</f>
        <v>N/F</v>
      </c>
      <c r="D55" s="65"/>
      <c r="E55" s="51"/>
      <c r="F55" s="68"/>
      <c r="G55" s="72"/>
      <c r="H55" s="55"/>
      <c r="I55" s="77"/>
      <c r="J55" s="53"/>
      <c r="K55" s="65">
        <f t="shared" si="7"/>
        <v>0</v>
      </c>
      <c r="L55" s="51">
        <f t="shared" si="8"/>
        <v>0</v>
      </c>
      <c r="M55" s="68">
        <f t="shared" si="9"/>
        <v>0</v>
      </c>
      <c r="N55" s="72">
        <f t="shared" si="10"/>
        <v>0</v>
      </c>
      <c r="O55" s="55">
        <f t="shared" si="11"/>
        <v>0</v>
      </c>
      <c r="P55" s="77">
        <f t="shared" si="12"/>
        <v>0</v>
      </c>
      <c r="Q55" s="53">
        <f t="shared" si="13"/>
        <v>0</v>
      </c>
    </row>
    <row r="56" spans="1:17" x14ac:dyDescent="0.25">
      <c r="A56" s="35"/>
      <c r="B56" s="35"/>
      <c r="C56" s="36" t="str">
        <f>IFERROR(VLOOKUP($A56,'Manhole Rate'!$A$1:$AC$4,MATCH($B56,'Manhole Rate'!$B$1:$AC$1,0)+1,0),"N/F")</f>
        <v>N/F</v>
      </c>
      <c r="D56" s="65"/>
      <c r="E56" s="51"/>
      <c r="F56" s="68"/>
      <c r="G56" s="72"/>
      <c r="H56" s="55"/>
      <c r="I56" s="77"/>
      <c r="J56" s="53"/>
      <c r="K56" s="65">
        <f t="shared" si="7"/>
        <v>0</v>
      </c>
      <c r="L56" s="51">
        <f t="shared" si="8"/>
        <v>0</v>
      </c>
      <c r="M56" s="68">
        <f t="shared" si="9"/>
        <v>0</v>
      </c>
      <c r="N56" s="72">
        <f t="shared" si="10"/>
        <v>0</v>
      </c>
      <c r="O56" s="55">
        <f t="shared" si="11"/>
        <v>0</v>
      </c>
      <c r="P56" s="77">
        <f t="shared" si="12"/>
        <v>0</v>
      </c>
      <c r="Q56" s="53">
        <f t="shared" si="13"/>
        <v>0</v>
      </c>
    </row>
    <row r="57" spans="1:17" x14ac:dyDescent="0.25">
      <c r="A57" s="35"/>
      <c r="B57" s="35"/>
      <c r="C57" s="36" t="str">
        <f>IFERROR(VLOOKUP($A57,'Manhole Rate'!$A$1:$AC$4,MATCH($B57,'Manhole Rate'!$B$1:$AC$1,0)+1,0),"N/F")</f>
        <v>N/F</v>
      </c>
      <c r="D57" s="65"/>
      <c r="E57" s="51"/>
      <c r="F57" s="68"/>
      <c r="G57" s="72"/>
      <c r="H57" s="55"/>
      <c r="I57" s="77"/>
      <c r="J57" s="53"/>
      <c r="K57" s="65">
        <f t="shared" si="7"/>
        <v>0</v>
      </c>
      <c r="L57" s="51">
        <f t="shared" si="8"/>
        <v>0</v>
      </c>
      <c r="M57" s="68">
        <f t="shared" si="9"/>
        <v>0</v>
      </c>
      <c r="N57" s="72">
        <f t="shared" si="10"/>
        <v>0</v>
      </c>
      <c r="O57" s="55">
        <f t="shared" si="11"/>
        <v>0</v>
      </c>
      <c r="P57" s="77">
        <f t="shared" si="12"/>
        <v>0</v>
      </c>
      <c r="Q57" s="53">
        <f t="shared" si="13"/>
        <v>0</v>
      </c>
    </row>
    <row r="58" spans="1:17" x14ac:dyDescent="0.25">
      <c r="A58" s="35"/>
      <c r="B58" s="35"/>
      <c r="C58" s="36" t="str">
        <f>IFERROR(VLOOKUP($A58,'Manhole Rate'!$A$1:$AC$4,MATCH($B58,'Manhole Rate'!$B$1:$AC$1,0)+1,0),"N/F")</f>
        <v>N/F</v>
      </c>
      <c r="D58" s="65"/>
      <c r="E58" s="51"/>
      <c r="F58" s="68"/>
      <c r="G58" s="72"/>
      <c r="H58" s="55"/>
      <c r="I58" s="77"/>
      <c r="J58" s="53"/>
      <c r="K58" s="65">
        <f t="shared" si="7"/>
        <v>0</v>
      </c>
      <c r="L58" s="51">
        <f t="shared" si="8"/>
        <v>0</v>
      </c>
      <c r="M58" s="68">
        <f t="shared" si="9"/>
        <v>0</v>
      </c>
      <c r="N58" s="72">
        <f t="shared" si="10"/>
        <v>0</v>
      </c>
      <c r="O58" s="55">
        <f t="shared" si="11"/>
        <v>0</v>
      </c>
      <c r="P58" s="77">
        <f t="shared" si="12"/>
        <v>0</v>
      </c>
      <c r="Q58" s="53">
        <f t="shared" si="13"/>
        <v>0</v>
      </c>
    </row>
    <row r="59" spans="1:17" x14ac:dyDescent="0.25">
      <c r="A59" s="35"/>
      <c r="B59" s="35"/>
      <c r="C59" s="36" t="str">
        <f>IFERROR(VLOOKUP($A59,'Manhole Rate'!$A$1:$AC$4,MATCH($B59,'Manhole Rate'!$B$1:$AC$1,0)+1,0),"N/F")</f>
        <v>N/F</v>
      </c>
      <c r="D59" s="65"/>
      <c r="E59" s="51"/>
      <c r="F59" s="68"/>
      <c r="G59" s="72"/>
      <c r="H59" s="55"/>
      <c r="I59" s="77"/>
      <c r="J59" s="53"/>
      <c r="K59" s="65">
        <f t="shared" si="7"/>
        <v>0</v>
      </c>
      <c r="L59" s="51">
        <f t="shared" si="8"/>
        <v>0</v>
      </c>
      <c r="M59" s="68">
        <f t="shared" si="9"/>
        <v>0</v>
      </c>
      <c r="N59" s="72">
        <f t="shared" si="10"/>
        <v>0</v>
      </c>
      <c r="O59" s="55">
        <f t="shared" si="11"/>
        <v>0</v>
      </c>
      <c r="P59" s="77">
        <f t="shared" si="12"/>
        <v>0</v>
      </c>
      <c r="Q59" s="53">
        <f t="shared" si="13"/>
        <v>0</v>
      </c>
    </row>
    <row r="60" spans="1:17" x14ac:dyDescent="0.25">
      <c r="A60" s="35"/>
      <c r="B60" s="35"/>
      <c r="C60" s="36" t="str">
        <f>IFERROR(VLOOKUP($A60,'Manhole Rate'!$A$1:$AC$4,MATCH($B60,'Manhole Rate'!$B$1:$AC$1,0)+1,0),"N/F")</f>
        <v>N/F</v>
      </c>
      <c r="D60" s="65"/>
      <c r="E60" s="51"/>
      <c r="F60" s="68"/>
      <c r="G60" s="72"/>
      <c r="H60" s="55"/>
      <c r="I60" s="77"/>
      <c r="J60" s="53"/>
      <c r="K60" s="65">
        <f t="shared" si="7"/>
        <v>0</v>
      </c>
      <c r="L60" s="51">
        <f t="shared" si="8"/>
        <v>0</v>
      </c>
      <c r="M60" s="68">
        <f t="shared" si="9"/>
        <v>0</v>
      </c>
      <c r="N60" s="72">
        <f t="shared" si="10"/>
        <v>0</v>
      </c>
      <c r="O60" s="55">
        <f t="shared" si="11"/>
        <v>0</v>
      </c>
      <c r="P60" s="77">
        <f t="shared" si="12"/>
        <v>0</v>
      </c>
      <c r="Q60" s="53">
        <f t="shared" si="13"/>
        <v>0</v>
      </c>
    </row>
    <row r="61" spans="1:17" x14ac:dyDescent="0.25">
      <c r="A61" s="35"/>
      <c r="B61" s="35"/>
      <c r="C61" s="36" t="str">
        <f>IFERROR(VLOOKUP($A61,'Manhole Rate'!$A$1:$AC$4,MATCH($B61,'Manhole Rate'!$B$1:$AC$1,0)+1,0),"N/F")</f>
        <v>N/F</v>
      </c>
      <c r="D61" s="65"/>
      <c r="E61" s="51"/>
      <c r="F61" s="68"/>
      <c r="G61" s="72"/>
      <c r="H61" s="55"/>
      <c r="I61" s="77"/>
      <c r="J61" s="53"/>
      <c r="K61" s="65">
        <f t="shared" si="7"/>
        <v>0</v>
      </c>
      <c r="L61" s="51">
        <f t="shared" si="8"/>
        <v>0</v>
      </c>
      <c r="M61" s="68">
        <f t="shared" si="9"/>
        <v>0</v>
      </c>
      <c r="N61" s="72">
        <f t="shared" si="10"/>
        <v>0</v>
      </c>
      <c r="O61" s="55">
        <f t="shared" si="11"/>
        <v>0</v>
      </c>
      <c r="P61" s="77">
        <f t="shared" si="12"/>
        <v>0</v>
      </c>
      <c r="Q61" s="53">
        <f t="shared" si="13"/>
        <v>0</v>
      </c>
    </row>
    <row r="62" spans="1:17" x14ac:dyDescent="0.25">
      <c r="A62" s="35"/>
      <c r="B62" s="35"/>
      <c r="C62" s="36" t="str">
        <f>IFERROR(VLOOKUP($A62,'Manhole Rate'!$A$1:$AC$4,MATCH($B62,'Manhole Rate'!$B$1:$AC$1,0)+1,0),"N/F")</f>
        <v>N/F</v>
      </c>
      <c r="D62" s="65"/>
      <c r="E62" s="51"/>
      <c r="F62" s="68"/>
      <c r="G62" s="72"/>
      <c r="H62" s="55"/>
      <c r="I62" s="77"/>
      <c r="J62" s="53"/>
      <c r="K62" s="65">
        <f t="shared" si="7"/>
        <v>0</v>
      </c>
      <c r="L62" s="51">
        <f t="shared" si="8"/>
        <v>0</v>
      </c>
      <c r="M62" s="68">
        <f t="shared" si="9"/>
        <v>0</v>
      </c>
      <c r="N62" s="72">
        <f t="shared" si="10"/>
        <v>0</v>
      </c>
      <c r="O62" s="55">
        <f t="shared" si="11"/>
        <v>0</v>
      </c>
      <c r="P62" s="77">
        <f t="shared" si="12"/>
        <v>0</v>
      </c>
      <c r="Q62" s="53">
        <f t="shared" si="13"/>
        <v>0</v>
      </c>
    </row>
    <row r="63" spans="1:17" x14ac:dyDescent="0.25">
      <c r="A63" s="35"/>
      <c r="B63" s="35"/>
      <c r="C63" s="36" t="str">
        <f>IFERROR(VLOOKUP($A63,'Manhole Rate'!$A$1:$AC$4,MATCH($B63,'Manhole Rate'!$B$1:$AC$1,0)+1,0),"N/F")</f>
        <v>N/F</v>
      </c>
      <c r="D63" s="65"/>
      <c r="E63" s="51"/>
      <c r="F63" s="68"/>
      <c r="G63" s="72"/>
      <c r="H63" s="55"/>
      <c r="I63" s="77"/>
      <c r="J63" s="53"/>
      <c r="K63" s="65">
        <f t="shared" si="7"/>
        <v>0</v>
      </c>
      <c r="L63" s="51">
        <f t="shared" si="8"/>
        <v>0</v>
      </c>
      <c r="M63" s="68">
        <f t="shared" si="9"/>
        <v>0</v>
      </c>
      <c r="N63" s="72">
        <f t="shared" si="10"/>
        <v>0</v>
      </c>
      <c r="O63" s="55">
        <f t="shared" si="11"/>
        <v>0</v>
      </c>
      <c r="P63" s="77">
        <f t="shared" si="12"/>
        <v>0</v>
      </c>
      <c r="Q63" s="53">
        <f t="shared" si="13"/>
        <v>0</v>
      </c>
    </row>
    <row r="64" spans="1:17" x14ac:dyDescent="0.25">
      <c r="A64" s="35"/>
      <c r="B64" s="35"/>
      <c r="C64" s="36" t="str">
        <f>IFERROR(VLOOKUP($A64,'Manhole Rate'!$A$1:$AC$4,MATCH($B64,'Manhole Rate'!$B$1:$AC$1,0)+1,0),"N/F")</f>
        <v>N/F</v>
      </c>
      <c r="D64" s="65"/>
      <c r="E64" s="51"/>
      <c r="F64" s="68"/>
      <c r="G64" s="72"/>
      <c r="H64" s="55"/>
      <c r="I64" s="77"/>
      <c r="J64" s="53"/>
      <c r="K64" s="65">
        <f t="shared" si="7"/>
        <v>0</v>
      </c>
      <c r="L64" s="51">
        <f t="shared" si="8"/>
        <v>0</v>
      </c>
      <c r="M64" s="68">
        <f t="shared" si="9"/>
        <v>0</v>
      </c>
      <c r="N64" s="72">
        <f t="shared" si="10"/>
        <v>0</v>
      </c>
      <c r="O64" s="55">
        <f t="shared" si="11"/>
        <v>0</v>
      </c>
      <c r="P64" s="77">
        <f t="shared" si="12"/>
        <v>0</v>
      </c>
      <c r="Q64" s="53">
        <f t="shared" si="13"/>
        <v>0</v>
      </c>
    </row>
    <row r="65" spans="1:17" x14ac:dyDescent="0.25">
      <c r="A65" s="35"/>
      <c r="B65" s="35"/>
      <c r="C65" s="36" t="str">
        <f>IFERROR(VLOOKUP($A65,'Manhole Rate'!$A$1:$AC$4,MATCH($B65,'Manhole Rate'!$B$1:$AC$1,0)+1,0),"N/F")</f>
        <v>N/F</v>
      </c>
      <c r="D65" s="65"/>
      <c r="E65" s="51"/>
      <c r="F65" s="68"/>
      <c r="G65" s="72"/>
      <c r="H65" s="55"/>
      <c r="I65" s="77"/>
      <c r="J65" s="53"/>
      <c r="K65" s="65">
        <f t="shared" si="7"/>
        <v>0</v>
      </c>
      <c r="L65" s="51">
        <f t="shared" si="8"/>
        <v>0</v>
      </c>
      <c r="M65" s="68">
        <f t="shared" si="9"/>
        <v>0</v>
      </c>
      <c r="N65" s="72">
        <f t="shared" si="10"/>
        <v>0</v>
      </c>
      <c r="O65" s="55">
        <f t="shared" si="11"/>
        <v>0</v>
      </c>
      <c r="P65" s="77">
        <f t="shared" si="12"/>
        <v>0</v>
      </c>
      <c r="Q65" s="53">
        <f t="shared" si="13"/>
        <v>0</v>
      </c>
    </row>
    <row r="66" spans="1:17" x14ac:dyDescent="0.25">
      <c r="A66" s="35"/>
      <c r="B66" s="35"/>
      <c r="C66" s="36" t="str">
        <f>IFERROR(VLOOKUP($A66,'Manhole Rate'!$A$1:$AC$4,MATCH($B66,'Manhole Rate'!$B$1:$AC$1,0)+1,0),"N/F")</f>
        <v>N/F</v>
      </c>
      <c r="D66" s="65"/>
      <c r="E66" s="51"/>
      <c r="F66" s="68"/>
      <c r="G66" s="72"/>
      <c r="H66" s="55"/>
      <c r="I66" s="77"/>
      <c r="J66" s="53"/>
      <c r="K66" s="65">
        <f t="shared" si="7"/>
        <v>0</v>
      </c>
      <c r="L66" s="51">
        <f t="shared" si="8"/>
        <v>0</v>
      </c>
      <c r="M66" s="68">
        <f t="shared" si="9"/>
        <v>0</v>
      </c>
      <c r="N66" s="72">
        <f t="shared" si="10"/>
        <v>0</v>
      </c>
      <c r="O66" s="55">
        <f t="shared" si="11"/>
        <v>0</v>
      </c>
      <c r="P66" s="77">
        <f t="shared" si="12"/>
        <v>0</v>
      </c>
      <c r="Q66" s="53">
        <f t="shared" si="13"/>
        <v>0</v>
      </c>
    </row>
    <row r="67" spans="1:17" x14ac:dyDescent="0.25">
      <c r="A67" s="35"/>
      <c r="B67" s="35"/>
      <c r="C67" s="36" t="str">
        <f>IFERROR(VLOOKUP($A67,'Manhole Rate'!$A$1:$AC$4,MATCH($B67,'Manhole Rate'!$B$1:$AC$1,0)+1,0),"N/F")</f>
        <v>N/F</v>
      </c>
      <c r="D67" s="65"/>
      <c r="E67" s="51"/>
      <c r="F67" s="68"/>
      <c r="G67" s="72"/>
      <c r="H67" s="55"/>
      <c r="I67" s="77"/>
      <c r="J67" s="53"/>
      <c r="K67" s="65">
        <f t="shared" ref="K67:K98" si="14">IFERROR(D67*$C67,0)</f>
        <v>0</v>
      </c>
      <c r="L67" s="51">
        <f t="shared" ref="L67:L98" si="15">IFERROR(E67*$C67,0)</f>
        <v>0</v>
      </c>
      <c r="M67" s="68">
        <f t="shared" ref="M67:M98" si="16">IFERROR(F67*$C67,0)</f>
        <v>0</v>
      </c>
      <c r="N67" s="72">
        <f t="shared" ref="N67:N98" si="17">IFERROR(G67*$C67,0)</f>
        <v>0</v>
      </c>
      <c r="O67" s="55">
        <f t="shared" ref="O67:O98" si="18">IFERROR(H67*$C67,0)</f>
        <v>0</v>
      </c>
      <c r="P67" s="77">
        <f t="shared" ref="P67:P98" si="19">IFERROR(I67*$C67,0)</f>
        <v>0</v>
      </c>
      <c r="Q67" s="53">
        <f t="shared" ref="Q67:Q98" si="20">IFERROR(J67*$C67,0)</f>
        <v>0</v>
      </c>
    </row>
    <row r="68" spans="1:17" x14ac:dyDescent="0.25">
      <c r="A68" s="35"/>
      <c r="B68" s="35"/>
      <c r="C68" s="36" t="str">
        <f>IFERROR(VLOOKUP($A68,'Manhole Rate'!$A$1:$AC$4,MATCH($B68,'Manhole Rate'!$B$1:$AC$1,0)+1,0),"N/F")</f>
        <v>N/F</v>
      </c>
      <c r="D68" s="65"/>
      <c r="E68" s="51"/>
      <c r="F68" s="68"/>
      <c r="G68" s="72"/>
      <c r="H68" s="55"/>
      <c r="I68" s="77"/>
      <c r="J68" s="53"/>
      <c r="K68" s="65">
        <f t="shared" si="14"/>
        <v>0</v>
      </c>
      <c r="L68" s="51">
        <f t="shared" si="15"/>
        <v>0</v>
      </c>
      <c r="M68" s="68">
        <f t="shared" si="16"/>
        <v>0</v>
      </c>
      <c r="N68" s="72">
        <f t="shared" si="17"/>
        <v>0</v>
      </c>
      <c r="O68" s="55">
        <f t="shared" si="18"/>
        <v>0</v>
      </c>
      <c r="P68" s="77">
        <f t="shared" si="19"/>
        <v>0</v>
      </c>
      <c r="Q68" s="53">
        <f t="shared" si="20"/>
        <v>0</v>
      </c>
    </row>
    <row r="69" spans="1:17" x14ac:dyDescent="0.25">
      <c r="A69" s="35"/>
      <c r="B69" s="35"/>
      <c r="C69" s="36" t="str">
        <f>IFERROR(VLOOKUP($A69,'Manhole Rate'!$A$1:$AC$4,MATCH($B69,'Manhole Rate'!$B$1:$AC$1,0)+1,0),"N/F")</f>
        <v>N/F</v>
      </c>
      <c r="D69" s="65"/>
      <c r="E69" s="51"/>
      <c r="F69" s="68"/>
      <c r="G69" s="72"/>
      <c r="H69" s="55"/>
      <c r="I69" s="77"/>
      <c r="J69" s="53"/>
      <c r="K69" s="65">
        <f t="shared" si="14"/>
        <v>0</v>
      </c>
      <c r="L69" s="51">
        <f t="shared" si="15"/>
        <v>0</v>
      </c>
      <c r="M69" s="68">
        <f t="shared" si="16"/>
        <v>0</v>
      </c>
      <c r="N69" s="72">
        <f t="shared" si="17"/>
        <v>0</v>
      </c>
      <c r="O69" s="55">
        <f t="shared" si="18"/>
        <v>0</v>
      </c>
      <c r="P69" s="77">
        <f t="shared" si="19"/>
        <v>0</v>
      </c>
      <c r="Q69" s="53">
        <f t="shared" si="20"/>
        <v>0</v>
      </c>
    </row>
    <row r="70" spans="1:17" x14ac:dyDescent="0.25">
      <c r="A70" s="35"/>
      <c r="B70" s="35"/>
      <c r="C70" s="36" t="str">
        <f>IFERROR(VLOOKUP($A70,'Manhole Rate'!$A$1:$AC$4,MATCH($B70,'Manhole Rate'!$B$1:$AC$1,0)+1,0),"N/F")</f>
        <v>N/F</v>
      </c>
      <c r="D70" s="65"/>
      <c r="E70" s="51"/>
      <c r="F70" s="68"/>
      <c r="G70" s="72"/>
      <c r="H70" s="55"/>
      <c r="I70" s="77"/>
      <c r="J70" s="53"/>
      <c r="K70" s="65">
        <f t="shared" si="14"/>
        <v>0</v>
      </c>
      <c r="L70" s="51">
        <f t="shared" si="15"/>
        <v>0</v>
      </c>
      <c r="M70" s="68">
        <f t="shared" si="16"/>
        <v>0</v>
      </c>
      <c r="N70" s="72">
        <f t="shared" si="17"/>
        <v>0</v>
      </c>
      <c r="O70" s="55">
        <f t="shared" si="18"/>
        <v>0</v>
      </c>
      <c r="P70" s="77">
        <f t="shared" si="19"/>
        <v>0</v>
      </c>
      <c r="Q70" s="53">
        <f t="shared" si="20"/>
        <v>0</v>
      </c>
    </row>
    <row r="71" spans="1:17" x14ac:dyDescent="0.25">
      <c r="A71" s="35"/>
      <c r="B71" s="35"/>
      <c r="C71" s="36" t="str">
        <f>IFERROR(VLOOKUP($A71,'Manhole Rate'!$A$1:$AC$4,MATCH($B71,'Manhole Rate'!$B$1:$AC$1,0)+1,0),"N/F")</f>
        <v>N/F</v>
      </c>
      <c r="D71" s="65"/>
      <c r="E71" s="51"/>
      <c r="F71" s="68"/>
      <c r="G71" s="72"/>
      <c r="H71" s="55"/>
      <c r="I71" s="77"/>
      <c r="J71" s="53"/>
      <c r="K71" s="65">
        <f t="shared" si="14"/>
        <v>0</v>
      </c>
      <c r="L71" s="51">
        <f t="shared" si="15"/>
        <v>0</v>
      </c>
      <c r="M71" s="68">
        <f t="shared" si="16"/>
        <v>0</v>
      </c>
      <c r="N71" s="72">
        <f t="shared" si="17"/>
        <v>0</v>
      </c>
      <c r="O71" s="55">
        <f t="shared" si="18"/>
        <v>0</v>
      </c>
      <c r="P71" s="77">
        <f t="shared" si="19"/>
        <v>0</v>
      </c>
      <c r="Q71" s="53">
        <f t="shared" si="20"/>
        <v>0</v>
      </c>
    </row>
    <row r="72" spans="1:17" x14ac:dyDescent="0.25">
      <c r="A72" s="35"/>
      <c r="B72" s="35"/>
      <c r="C72" s="36" t="str">
        <f>IFERROR(VLOOKUP($A72,'Manhole Rate'!$A$1:$AC$4,MATCH($B72,'Manhole Rate'!$B$1:$AC$1,0)+1,0),"N/F")</f>
        <v>N/F</v>
      </c>
      <c r="D72" s="65"/>
      <c r="E72" s="51"/>
      <c r="F72" s="68"/>
      <c r="G72" s="72"/>
      <c r="H72" s="55"/>
      <c r="I72" s="77"/>
      <c r="J72" s="53"/>
      <c r="K72" s="65">
        <f t="shared" si="14"/>
        <v>0</v>
      </c>
      <c r="L72" s="51">
        <f t="shared" si="15"/>
        <v>0</v>
      </c>
      <c r="M72" s="68">
        <f t="shared" si="16"/>
        <v>0</v>
      </c>
      <c r="N72" s="72">
        <f t="shared" si="17"/>
        <v>0</v>
      </c>
      <c r="O72" s="55">
        <f t="shared" si="18"/>
        <v>0</v>
      </c>
      <c r="P72" s="77">
        <f t="shared" si="19"/>
        <v>0</v>
      </c>
      <c r="Q72" s="53">
        <f t="shared" si="20"/>
        <v>0</v>
      </c>
    </row>
    <row r="73" spans="1:17" x14ac:dyDescent="0.25">
      <c r="A73" s="35"/>
      <c r="B73" s="35"/>
      <c r="C73" s="36" t="str">
        <f>IFERROR(VLOOKUP($A73,'Manhole Rate'!$A$1:$AC$4,MATCH($B73,'Manhole Rate'!$B$1:$AC$1,0)+1,0),"N/F")</f>
        <v>N/F</v>
      </c>
      <c r="D73" s="65"/>
      <c r="E73" s="51"/>
      <c r="F73" s="68"/>
      <c r="G73" s="72"/>
      <c r="H73" s="55"/>
      <c r="I73" s="77"/>
      <c r="J73" s="53"/>
      <c r="K73" s="65">
        <f t="shared" si="14"/>
        <v>0</v>
      </c>
      <c r="L73" s="51">
        <f t="shared" si="15"/>
        <v>0</v>
      </c>
      <c r="M73" s="68">
        <f t="shared" si="16"/>
        <v>0</v>
      </c>
      <c r="N73" s="72">
        <f t="shared" si="17"/>
        <v>0</v>
      </c>
      <c r="O73" s="55">
        <f t="shared" si="18"/>
        <v>0</v>
      </c>
      <c r="P73" s="77">
        <f t="shared" si="19"/>
        <v>0</v>
      </c>
      <c r="Q73" s="53">
        <f t="shared" si="20"/>
        <v>0</v>
      </c>
    </row>
    <row r="74" spans="1:17" x14ac:dyDescent="0.25">
      <c r="A74" s="35"/>
      <c r="B74" s="35"/>
      <c r="C74" s="36" t="str">
        <f>IFERROR(VLOOKUP($A74,'Manhole Rate'!$A$1:$AC$4,MATCH($B74,'Manhole Rate'!$B$1:$AC$1,0)+1,0),"N/F")</f>
        <v>N/F</v>
      </c>
      <c r="D74" s="65"/>
      <c r="E74" s="51"/>
      <c r="F74" s="68"/>
      <c r="G74" s="72"/>
      <c r="H74" s="55"/>
      <c r="I74" s="77"/>
      <c r="J74" s="53"/>
      <c r="K74" s="65">
        <f t="shared" si="14"/>
        <v>0</v>
      </c>
      <c r="L74" s="51">
        <f t="shared" si="15"/>
        <v>0</v>
      </c>
      <c r="M74" s="68">
        <f t="shared" si="16"/>
        <v>0</v>
      </c>
      <c r="N74" s="72">
        <f t="shared" si="17"/>
        <v>0</v>
      </c>
      <c r="O74" s="55">
        <f t="shared" si="18"/>
        <v>0</v>
      </c>
      <c r="P74" s="77">
        <f t="shared" si="19"/>
        <v>0</v>
      </c>
      <c r="Q74" s="53">
        <f t="shared" si="20"/>
        <v>0</v>
      </c>
    </row>
    <row r="75" spans="1:17" x14ac:dyDescent="0.25">
      <c r="A75" s="35"/>
      <c r="B75" s="35"/>
      <c r="C75" s="36" t="str">
        <f>IFERROR(VLOOKUP($A75,'Manhole Rate'!$A$1:$AC$4,MATCH($B75,'Manhole Rate'!$B$1:$AC$1,0)+1,0),"N/F")</f>
        <v>N/F</v>
      </c>
      <c r="D75" s="65"/>
      <c r="E75" s="51"/>
      <c r="F75" s="68"/>
      <c r="G75" s="72"/>
      <c r="H75" s="55"/>
      <c r="I75" s="77"/>
      <c r="J75" s="53"/>
      <c r="K75" s="65">
        <f t="shared" si="14"/>
        <v>0</v>
      </c>
      <c r="L75" s="51">
        <f t="shared" si="15"/>
        <v>0</v>
      </c>
      <c r="M75" s="68">
        <f t="shared" si="16"/>
        <v>0</v>
      </c>
      <c r="N75" s="72">
        <f t="shared" si="17"/>
        <v>0</v>
      </c>
      <c r="O75" s="55">
        <f t="shared" si="18"/>
        <v>0</v>
      </c>
      <c r="P75" s="77">
        <f t="shared" si="19"/>
        <v>0</v>
      </c>
      <c r="Q75" s="53">
        <f t="shared" si="20"/>
        <v>0</v>
      </c>
    </row>
    <row r="76" spans="1:17" x14ac:dyDescent="0.25">
      <c r="A76" s="35"/>
      <c r="B76" s="35"/>
      <c r="C76" s="36" t="str">
        <f>IFERROR(VLOOKUP($A76,'Manhole Rate'!$A$1:$AC$4,MATCH($B76,'Manhole Rate'!$B$1:$AC$1,0)+1,0),"N/F")</f>
        <v>N/F</v>
      </c>
      <c r="D76" s="65"/>
      <c r="E76" s="51"/>
      <c r="F76" s="68"/>
      <c r="G76" s="72"/>
      <c r="H76" s="55"/>
      <c r="I76" s="77"/>
      <c r="J76" s="53"/>
      <c r="K76" s="65">
        <f t="shared" si="14"/>
        <v>0</v>
      </c>
      <c r="L76" s="51">
        <f t="shared" si="15"/>
        <v>0</v>
      </c>
      <c r="M76" s="68">
        <f t="shared" si="16"/>
        <v>0</v>
      </c>
      <c r="N76" s="72">
        <f t="shared" si="17"/>
        <v>0</v>
      </c>
      <c r="O76" s="55">
        <f t="shared" si="18"/>
        <v>0</v>
      </c>
      <c r="P76" s="77">
        <f t="shared" si="19"/>
        <v>0</v>
      </c>
      <c r="Q76" s="53">
        <f t="shared" si="20"/>
        <v>0</v>
      </c>
    </row>
    <row r="77" spans="1:17" x14ac:dyDescent="0.25">
      <c r="A77" s="35"/>
      <c r="B77" s="35"/>
      <c r="C77" s="36" t="str">
        <f>IFERROR(VLOOKUP($A77,'Manhole Rate'!$A$1:$AC$4,MATCH($B77,'Manhole Rate'!$B$1:$AC$1,0)+1,0),"N/F")</f>
        <v>N/F</v>
      </c>
      <c r="D77" s="65"/>
      <c r="E77" s="51"/>
      <c r="F77" s="68"/>
      <c r="G77" s="72"/>
      <c r="H77" s="55"/>
      <c r="I77" s="77"/>
      <c r="J77" s="53"/>
      <c r="K77" s="65">
        <f t="shared" si="14"/>
        <v>0</v>
      </c>
      <c r="L77" s="51">
        <f t="shared" si="15"/>
        <v>0</v>
      </c>
      <c r="M77" s="68">
        <f t="shared" si="16"/>
        <v>0</v>
      </c>
      <c r="N77" s="72">
        <f t="shared" si="17"/>
        <v>0</v>
      </c>
      <c r="O77" s="55">
        <f t="shared" si="18"/>
        <v>0</v>
      </c>
      <c r="P77" s="77">
        <f t="shared" si="19"/>
        <v>0</v>
      </c>
      <c r="Q77" s="53">
        <f t="shared" si="20"/>
        <v>0</v>
      </c>
    </row>
    <row r="78" spans="1:17" x14ac:dyDescent="0.25">
      <c r="A78" s="35"/>
      <c r="B78" s="35"/>
      <c r="C78" s="36" t="str">
        <f>IFERROR(VLOOKUP($A78,'Manhole Rate'!$A$1:$AC$4,MATCH($B78,'Manhole Rate'!$B$1:$AC$1,0)+1,0),"N/F")</f>
        <v>N/F</v>
      </c>
      <c r="D78" s="65"/>
      <c r="E78" s="51"/>
      <c r="F78" s="68"/>
      <c r="G78" s="72"/>
      <c r="H78" s="55"/>
      <c r="I78" s="77"/>
      <c r="J78" s="53"/>
      <c r="K78" s="65">
        <f t="shared" si="14"/>
        <v>0</v>
      </c>
      <c r="L78" s="51">
        <f t="shared" si="15"/>
        <v>0</v>
      </c>
      <c r="M78" s="68">
        <f t="shared" si="16"/>
        <v>0</v>
      </c>
      <c r="N78" s="72">
        <f t="shared" si="17"/>
        <v>0</v>
      </c>
      <c r="O78" s="55">
        <f t="shared" si="18"/>
        <v>0</v>
      </c>
      <c r="P78" s="77">
        <f t="shared" si="19"/>
        <v>0</v>
      </c>
      <c r="Q78" s="53">
        <f t="shared" si="20"/>
        <v>0</v>
      </c>
    </row>
    <row r="79" spans="1:17" x14ac:dyDescent="0.25">
      <c r="A79" s="35"/>
      <c r="B79" s="35"/>
      <c r="C79" s="36" t="str">
        <f>IFERROR(VLOOKUP($A79,'Manhole Rate'!$A$1:$AC$4,MATCH($B79,'Manhole Rate'!$B$1:$AC$1,0)+1,0),"N/F")</f>
        <v>N/F</v>
      </c>
      <c r="D79" s="65"/>
      <c r="E79" s="51"/>
      <c r="F79" s="68"/>
      <c r="G79" s="72"/>
      <c r="H79" s="55"/>
      <c r="I79" s="77"/>
      <c r="J79" s="53"/>
      <c r="K79" s="65">
        <f t="shared" si="14"/>
        <v>0</v>
      </c>
      <c r="L79" s="51">
        <f t="shared" si="15"/>
        <v>0</v>
      </c>
      <c r="M79" s="68">
        <f t="shared" si="16"/>
        <v>0</v>
      </c>
      <c r="N79" s="72">
        <f t="shared" si="17"/>
        <v>0</v>
      </c>
      <c r="O79" s="55">
        <f t="shared" si="18"/>
        <v>0</v>
      </c>
      <c r="P79" s="77">
        <f t="shared" si="19"/>
        <v>0</v>
      </c>
      <c r="Q79" s="53">
        <f t="shared" si="20"/>
        <v>0</v>
      </c>
    </row>
    <row r="80" spans="1:17" x14ac:dyDescent="0.25">
      <c r="A80" s="35"/>
      <c r="B80" s="35"/>
      <c r="C80" s="36" t="str">
        <f>IFERROR(VLOOKUP($A80,'Manhole Rate'!$A$1:$AC$4,MATCH($B80,'Manhole Rate'!$B$1:$AC$1,0)+1,0),"N/F")</f>
        <v>N/F</v>
      </c>
      <c r="D80" s="65"/>
      <c r="E80" s="51"/>
      <c r="F80" s="68"/>
      <c r="G80" s="72"/>
      <c r="H80" s="55"/>
      <c r="I80" s="77"/>
      <c r="J80" s="53"/>
      <c r="K80" s="65">
        <f t="shared" si="14"/>
        <v>0</v>
      </c>
      <c r="L80" s="51">
        <f t="shared" si="15"/>
        <v>0</v>
      </c>
      <c r="M80" s="68">
        <f t="shared" si="16"/>
        <v>0</v>
      </c>
      <c r="N80" s="72">
        <f t="shared" si="17"/>
        <v>0</v>
      </c>
      <c r="O80" s="55">
        <f t="shared" si="18"/>
        <v>0</v>
      </c>
      <c r="P80" s="77">
        <f t="shared" si="19"/>
        <v>0</v>
      </c>
      <c r="Q80" s="53">
        <f t="shared" si="20"/>
        <v>0</v>
      </c>
    </row>
    <row r="81" spans="1:17" x14ac:dyDescent="0.25">
      <c r="A81" s="35"/>
      <c r="B81" s="35"/>
      <c r="C81" s="36" t="str">
        <f>IFERROR(VLOOKUP($A81,'Manhole Rate'!$A$1:$AC$4,MATCH($B81,'Manhole Rate'!$B$1:$AC$1,0)+1,0),"N/F")</f>
        <v>N/F</v>
      </c>
      <c r="D81" s="65"/>
      <c r="E81" s="51"/>
      <c r="F81" s="68"/>
      <c r="G81" s="72"/>
      <c r="H81" s="55"/>
      <c r="I81" s="77"/>
      <c r="J81" s="53"/>
      <c r="K81" s="65">
        <f t="shared" si="14"/>
        <v>0</v>
      </c>
      <c r="L81" s="51">
        <f t="shared" si="15"/>
        <v>0</v>
      </c>
      <c r="M81" s="68">
        <f t="shared" si="16"/>
        <v>0</v>
      </c>
      <c r="N81" s="72">
        <f t="shared" si="17"/>
        <v>0</v>
      </c>
      <c r="O81" s="55">
        <f t="shared" si="18"/>
        <v>0</v>
      </c>
      <c r="P81" s="77">
        <f t="shared" si="19"/>
        <v>0</v>
      </c>
      <c r="Q81" s="53">
        <f t="shared" si="20"/>
        <v>0</v>
      </c>
    </row>
    <row r="82" spans="1:17" x14ac:dyDescent="0.25">
      <c r="A82" s="35"/>
      <c r="B82" s="35"/>
      <c r="C82" s="36" t="str">
        <f>IFERROR(VLOOKUP($A82,'Manhole Rate'!$A$1:$AC$4,MATCH($B82,'Manhole Rate'!$B$1:$AC$1,0)+1,0),"N/F")</f>
        <v>N/F</v>
      </c>
      <c r="D82" s="65"/>
      <c r="E82" s="51"/>
      <c r="F82" s="68"/>
      <c r="G82" s="72"/>
      <c r="H82" s="55"/>
      <c r="I82" s="77"/>
      <c r="J82" s="53"/>
      <c r="K82" s="65">
        <f t="shared" si="14"/>
        <v>0</v>
      </c>
      <c r="L82" s="51">
        <f t="shared" si="15"/>
        <v>0</v>
      </c>
      <c r="M82" s="68">
        <f t="shared" si="16"/>
        <v>0</v>
      </c>
      <c r="N82" s="72">
        <f t="shared" si="17"/>
        <v>0</v>
      </c>
      <c r="O82" s="55">
        <f t="shared" si="18"/>
        <v>0</v>
      </c>
      <c r="P82" s="77">
        <f t="shared" si="19"/>
        <v>0</v>
      </c>
      <c r="Q82" s="53">
        <f t="shared" si="20"/>
        <v>0</v>
      </c>
    </row>
    <row r="83" spans="1:17" x14ac:dyDescent="0.25">
      <c r="A83" s="35"/>
      <c r="B83" s="35"/>
      <c r="C83" s="36" t="str">
        <f>IFERROR(VLOOKUP($A83,'Manhole Rate'!$A$1:$AC$4,MATCH($B83,'Manhole Rate'!$B$1:$AC$1,0)+1,0),"N/F")</f>
        <v>N/F</v>
      </c>
      <c r="D83" s="65"/>
      <c r="E83" s="51"/>
      <c r="F83" s="68"/>
      <c r="G83" s="72"/>
      <c r="H83" s="55"/>
      <c r="I83" s="77"/>
      <c r="J83" s="53"/>
      <c r="K83" s="65">
        <f t="shared" si="14"/>
        <v>0</v>
      </c>
      <c r="L83" s="51">
        <f t="shared" si="15"/>
        <v>0</v>
      </c>
      <c r="M83" s="68">
        <f t="shared" si="16"/>
        <v>0</v>
      </c>
      <c r="N83" s="72">
        <f t="shared" si="17"/>
        <v>0</v>
      </c>
      <c r="O83" s="55">
        <f t="shared" si="18"/>
        <v>0</v>
      </c>
      <c r="P83" s="77">
        <f t="shared" si="19"/>
        <v>0</v>
      </c>
      <c r="Q83" s="53">
        <f t="shared" si="20"/>
        <v>0</v>
      </c>
    </row>
    <row r="84" spans="1:17" x14ac:dyDescent="0.25">
      <c r="A84" s="35"/>
      <c r="B84" s="35"/>
      <c r="C84" s="36" t="str">
        <f>IFERROR(VLOOKUP($A84,'Manhole Rate'!$A$1:$AC$4,MATCH($B84,'Manhole Rate'!$B$1:$AC$1,0)+1,0),"N/F")</f>
        <v>N/F</v>
      </c>
      <c r="D84" s="65"/>
      <c r="E84" s="51"/>
      <c r="F84" s="68"/>
      <c r="G84" s="72"/>
      <c r="H84" s="55"/>
      <c r="I84" s="77"/>
      <c r="J84" s="53"/>
      <c r="K84" s="65">
        <f t="shared" si="14"/>
        <v>0</v>
      </c>
      <c r="L84" s="51">
        <f t="shared" si="15"/>
        <v>0</v>
      </c>
      <c r="M84" s="68">
        <f t="shared" si="16"/>
        <v>0</v>
      </c>
      <c r="N84" s="72">
        <f t="shared" si="17"/>
        <v>0</v>
      </c>
      <c r="O84" s="55">
        <f t="shared" si="18"/>
        <v>0</v>
      </c>
      <c r="P84" s="77">
        <f t="shared" si="19"/>
        <v>0</v>
      </c>
      <c r="Q84" s="53">
        <f t="shared" si="20"/>
        <v>0</v>
      </c>
    </row>
    <row r="85" spans="1:17" x14ac:dyDescent="0.25">
      <c r="A85" s="35"/>
      <c r="B85" s="35"/>
      <c r="C85" s="36" t="str">
        <f>IFERROR(VLOOKUP($A85,'Manhole Rate'!$A$1:$AC$4,MATCH($B85,'Manhole Rate'!$B$1:$AC$1,0)+1,0),"N/F")</f>
        <v>N/F</v>
      </c>
      <c r="D85" s="65"/>
      <c r="E85" s="51"/>
      <c r="F85" s="68"/>
      <c r="G85" s="72"/>
      <c r="H85" s="55"/>
      <c r="I85" s="77"/>
      <c r="J85" s="53"/>
      <c r="K85" s="65">
        <f t="shared" si="14"/>
        <v>0</v>
      </c>
      <c r="L85" s="51">
        <f t="shared" si="15"/>
        <v>0</v>
      </c>
      <c r="M85" s="68">
        <f t="shared" si="16"/>
        <v>0</v>
      </c>
      <c r="N85" s="72">
        <f t="shared" si="17"/>
        <v>0</v>
      </c>
      <c r="O85" s="55">
        <f t="shared" si="18"/>
        <v>0</v>
      </c>
      <c r="P85" s="77">
        <f t="shared" si="19"/>
        <v>0</v>
      </c>
      <c r="Q85" s="53">
        <f t="shared" si="20"/>
        <v>0</v>
      </c>
    </row>
    <row r="86" spans="1:17" x14ac:dyDescent="0.25">
      <c r="A86" s="35"/>
      <c r="B86" s="35"/>
      <c r="C86" s="36" t="str">
        <f>IFERROR(VLOOKUP($A86,'Manhole Rate'!$A$1:$AC$4,MATCH($B86,'Manhole Rate'!$B$1:$AC$1,0)+1,0),"N/F")</f>
        <v>N/F</v>
      </c>
      <c r="D86" s="65"/>
      <c r="E86" s="51"/>
      <c r="F86" s="68"/>
      <c r="G86" s="72"/>
      <c r="H86" s="55"/>
      <c r="I86" s="77"/>
      <c r="J86" s="53"/>
      <c r="K86" s="65">
        <f t="shared" si="14"/>
        <v>0</v>
      </c>
      <c r="L86" s="51">
        <f t="shared" si="15"/>
        <v>0</v>
      </c>
      <c r="M86" s="68">
        <f t="shared" si="16"/>
        <v>0</v>
      </c>
      <c r="N86" s="72">
        <f t="shared" si="17"/>
        <v>0</v>
      </c>
      <c r="O86" s="55">
        <f t="shared" si="18"/>
        <v>0</v>
      </c>
      <c r="P86" s="77">
        <f t="shared" si="19"/>
        <v>0</v>
      </c>
      <c r="Q86" s="53">
        <f t="shared" si="20"/>
        <v>0</v>
      </c>
    </row>
    <row r="87" spans="1:17" x14ac:dyDescent="0.25">
      <c r="A87" s="35"/>
      <c r="B87" s="35"/>
      <c r="C87" s="36" t="str">
        <f>IFERROR(VLOOKUP($A87,'Manhole Rate'!$A$1:$AC$4,MATCH($B87,'Manhole Rate'!$B$1:$AC$1,0)+1,0),"N/F")</f>
        <v>N/F</v>
      </c>
      <c r="D87" s="65"/>
      <c r="E87" s="51"/>
      <c r="F87" s="68"/>
      <c r="G87" s="72"/>
      <c r="H87" s="55"/>
      <c r="I87" s="77"/>
      <c r="J87" s="53"/>
      <c r="K87" s="65">
        <f t="shared" si="14"/>
        <v>0</v>
      </c>
      <c r="L87" s="51">
        <f t="shared" si="15"/>
        <v>0</v>
      </c>
      <c r="M87" s="68">
        <f t="shared" si="16"/>
        <v>0</v>
      </c>
      <c r="N87" s="72">
        <f t="shared" si="17"/>
        <v>0</v>
      </c>
      <c r="O87" s="55">
        <f t="shared" si="18"/>
        <v>0</v>
      </c>
      <c r="P87" s="77">
        <f t="shared" si="19"/>
        <v>0</v>
      </c>
      <c r="Q87" s="53">
        <f t="shared" si="20"/>
        <v>0</v>
      </c>
    </row>
    <row r="88" spans="1:17" x14ac:dyDescent="0.25">
      <c r="A88" s="35"/>
      <c r="B88" s="35"/>
      <c r="C88" s="36" t="str">
        <f>IFERROR(VLOOKUP($A88,'Manhole Rate'!$A$1:$AC$4,MATCH($B88,'Manhole Rate'!$B$1:$AC$1,0)+1,0),"N/F")</f>
        <v>N/F</v>
      </c>
      <c r="D88" s="65"/>
      <c r="E88" s="51"/>
      <c r="F88" s="68"/>
      <c r="G88" s="72"/>
      <c r="H88" s="55"/>
      <c r="I88" s="77"/>
      <c r="J88" s="53"/>
      <c r="K88" s="65">
        <f t="shared" si="14"/>
        <v>0</v>
      </c>
      <c r="L88" s="51">
        <f t="shared" si="15"/>
        <v>0</v>
      </c>
      <c r="M88" s="68">
        <f t="shared" si="16"/>
        <v>0</v>
      </c>
      <c r="N88" s="72">
        <f t="shared" si="17"/>
        <v>0</v>
      </c>
      <c r="O88" s="55">
        <f t="shared" si="18"/>
        <v>0</v>
      </c>
      <c r="P88" s="77">
        <f t="shared" si="19"/>
        <v>0</v>
      </c>
      <c r="Q88" s="53">
        <f t="shared" si="20"/>
        <v>0</v>
      </c>
    </row>
    <row r="89" spans="1:17" x14ac:dyDescent="0.25">
      <c r="A89" s="35"/>
      <c r="B89" s="35"/>
      <c r="C89" s="36" t="str">
        <f>IFERROR(VLOOKUP($A89,'Manhole Rate'!$A$1:$AC$4,MATCH($B89,'Manhole Rate'!$B$1:$AC$1,0)+1,0),"N/F")</f>
        <v>N/F</v>
      </c>
      <c r="D89" s="65"/>
      <c r="E89" s="51"/>
      <c r="F89" s="68"/>
      <c r="G89" s="72"/>
      <c r="H89" s="55"/>
      <c r="I89" s="77"/>
      <c r="J89" s="53"/>
      <c r="K89" s="65">
        <f t="shared" si="14"/>
        <v>0</v>
      </c>
      <c r="L89" s="51">
        <f t="shared" si="15"/>
        <v>0</v>
      </c>
      <c r="M89" s="68">
        <f t="shared" si="16"/>
        <v>0</v>
      </c>
      <c r="N89" s="72">
        <f t="shared" si="17"/>
        <v>0</v>
      </c>
      <c r="O89" s="55">
        <f t="shared" si="18"/>
        <v>0</v>
      </c>
      <c r="P89" s="77">
        <f t="shared" si="19"/>
        <v>0</v>
      </c>
      <c r="Q89" s="53">
        <f t="shared" si="20"/>
        <v>0</v>
      </c>
    </row>
    <row r="90" spans="1:17" x14ac:dyDescent="0.25">
      <c r="A90" s="35"/>
      <c r="B90" s="35"/>
      <c r="C90" s="36" t="str">
        <f>IFERROR(VLOOKUP($A90,'Manhole Rate'!$A$1:$AC$4,MATCH($B90,'Manhole Rate'!$B$1:$AC$1,0)+1,0),"N/F")</f>
        <v>N/F</v>
      </c>
      <c r="D90" s="65"/>
      <c r="E90" s="51"/>
      <c r="F90" s="68"/>
      <c r="G90" s="72"/>
      <c r="H90" s="55"/>
      <c r="I90" s="77"/>
      <c r="J90" s="53"/>
      <c r="K90" s="65">
        <f t="shared" si="14"/>
        <v>0</v>
      </c>
      <c r="L90" s="51">
        <f t="shared" si="15"/>
        <v>0</v>
      </c>
      <c r="M90" s="68">
        <f t="shared" si="16"/>
        <v>0</v>
      </c>
      <c r="N90" s="72">
        <f t="shared" si="17"/>
        <v>0</v>
      </c>
      <c r="O90" s="55">
        <f t="shared" si="18"/>
        <v>0</v>
      </c>
      <c r="P90" s="77">
        <f t="shared" si="19"/>
        <v>0</v>
      </c>
      <c r="Q90" s="53">
        <f t="shared" si="20"/>
        <v>0</v>
      </c>
    </row>
    <row r="91" spans="1:17" x14ac:dyDescent="0.25">
      <c r="A91" s="35"/>
      <c r="B91" s="35"/>
      <c r="C91" s="36" t="str">
        <f>IFERROR(VLOOKUP($A91,'Manhole Rate'!$A$1:$AC$4,MATCH($B91,'Manhole Rate'!$B$1:$AC$1,0)+1,0),"N/F")</f>
        <v>N/F</v>
      </c>
      <c r="D91" s="65"/>
      <c r="E91" s="51"/>
      <c r="F91" s="68"/>
      <c r="G91" s="72"/>
      <c r="H91" s="55"/>
      <c r="I91" s="77"/>
      <c r="J91" s="53"/>
      <c r="K91" s="65">
        <f t="shared" si="14"/>
        <v>0</v>
      </c>
      <c r="L91" s="51">
        <f t="shared" si="15"/>
        <v>0</v>
      </c>
      <c r="M91" s="68">
        <f t="shared" si="16"/>
        <v>0</v>
      </c>
      <c r="N91" s="72">
        <f t="shared" si="17"/>
        <v>0</v>
      </c>
      <c r="O91" s="55">
        <f t="shared" si="18"/>
        <v>0</v>
      </c>
      <c r="P91" s="77">
        <f t="shared" si="19"/>
        <v>0</v>
      </c>
      <c r="Q91" s="53">
        <f t="shared" si="20"/>
        <v>0</v>
      </c>
    </row>
    <row r="92" spans="1:17" x14ac:dyDescent="0.25">
      <c r="A92" s="35"/>
      <c r="B92" s="35"/>
      <c r="C92" s="36" t="str">
        <f>IFERROR(VLOOKUP($A92,'Manhole Rate'!$A$1:$AC$4,MATCH($B92,'Manhole Rate'!$B$1:$AC$1,0)+1,0),"N/F")</f>
        <v>N/F</v>
      </c>
      <c r="D92" s="65"/>
      <c r="E92" s="51"/>
      <c r="F92" s="68"/>
      <c r="G92" s="72"/>
      <c r="H92" s="55"/>
      <c r="I92" s="77"/>
      <c r="J92" s="53"/>
      <c r="K92" s="65">
        <f t="shared" si="14"/>
        <v>0</v>
      </c>
      <c r="L92" s="51">
        <f t="shared" si="15"/>
        <v>0</v>
      </c>
      <c r="M92" s="68">
        <f t="shared" si="16"/>
        <v>0</v>
      </c>
      <c r="N92" s="72">
        <f t="shared" si="17"/>
        <v>0</v>
      </c>
      <c r="O92" s="55">
        <f t="shared" si="18"/>
        <v>0</v>
      </c>
      <c r="P92" s="77">
        <f t="shared" si="19"/>
        <v>0</v>
      </c>
      <c r="Q92" s="53">
        <f t="shared" si="20"/>
        <v>0</v>
      </c>
    </row>
    <row r="93" spans="1:17" x14ac:dyDescent="0.25">
      <c r="A93" s="35"/>
      <c r="B93" s="35"/>
      <c r="C93" s="36" t="str">
        <f>IFERROR(VLOOKUP($A93,'Manhole Rate'!$A$1:$AC$4,MATCH($B93,'Manhole Rate'!$B$1:$AC$1,0)+1,0),"N/F")</f>
        <v>N/F</v>
      </c>
      <c r="D93" s="65"/>
      <c r="E93" s="51"/>
      <c r="F93" s="68"/>
      <c r="G93" s="72"/>
      <c r="H93" s="55"/>
      <c r="I93" s="77"/>
      <c r="J93" s="53"/>
      <c r="K93" s="65">
        <f t="shared" si="14"/>
        <v>0</v>
      </c>
      <c r="L93" s="51">
        <f t="shared" si="15"/>
        <v>0</v>
      </c>
      <c r="M93" s="68">
        <f t="shared" si="16"/>
        <v>0</v>
      </c>
      <c r="N93" s="72">
        <f t="shared" si="17"/>
        <v>0</v>
      </c>
      <c r="O93" s="55">
        <f t="shared" si="18"/>
        <v>0</v>
      </c>
      <c r="P93" s="77">
        <f t="shared" si="19"/>
        <v>0</v>
      </c>
      <c r="Q93" s="53">
        <f t="shared" si="20"/>
        <v>0</v>
      </c>
    </row>
    <row r="94" spans="1:17" x14ac:dyDescent="0.25">
      <c r="A94" s="35"/>
      <c r="B94" s="35"/>
      <c r="C94" s="36" t="str">
        <f>IFERROR(VLOOKUP($A94,'Manhole Rate'!$A$1:$AC$4,MATCH($B94,'Manhole Rate'!$B$1:$AC$1,0)+1,0),"N/F")</f>
        <v>N/F</v>
      </c>
      <c r="D94" s="65"/>
      <c r="E94" s="51"/>
      <c r="F94" s="68"/>
      <c r="G94" s="72"/>
      <c r="H94" s="55"/>
      <c r="I94" s="77"/>
      <c r="J94" s="53"/>
      <c r="K94" s="65">
        <f t="shared" si="14"/>
        <v>0</v>
      </c>
      <c r="L94" s="51">
        <f t="shared" si="15"/>
        <v>0</v>
      </c>
      <c r="M94" s="68">
        <f t="shared" si="16"/>
        <v>0</v>
      </c>
      <c r="N94" s="72">
        <f t="shared" si="17"/>
        <v>0</v>
      </c>
      <c r="O94" s="55">
        <f t="shared" si="18"/>
        <v>0</v>
      </c>
      <c r="P94" s="77">
        <f t="shared" si="19"/>
        <v>0</v>
      </c>
      <c r="Q94" s="53">
        <f t="shared" si="20"/>
        <v>0</v>
      </c>
    </row>
    <row r="95" spans="1:17" x14ac:dyDescent="0.25">
      <c r="A95" s="35"/>
      <c r="B95" s="35"/>
      <c r="C95" s="36" t="str">
        <f>IFERROR(VLOOKUP($A95,'Manhole Rate'!$A$1:$AC$4,MATCH($B95,'Manhole Rate'!$B$1:$AC$1,0)+1,0),"N/F")</f>
        <v>N/F</v>
      </c>
      <c r="D95" s="65"/>
      <c r="E95" s="51"/>
      <c r="F95" s="68"/>
      <c r="G95" s="72"/>
      <c r="H95" s="55"/>
      <c r="I95" s="77"/>
      <c r="J95" s="53"/>
      <c r="K95" s="65">
        <f t="shared" si="14"/>
        <v>0</v>
      </c>
      <c r="L95" s="51">
        <f t="shared" si="15"/>
        <v>0</v>
      </c>
      <c r="M95" s="68">
        <f t="shared" si="16"/>
        <v>0</v>
      </c>
      <c r="N95" s="72">
        <f t="shared" si="17"/>
        <v>0</v>
      </c>
      <c r="O95" s="55">
        <f t="shared" si="18"/>
        <v>0</v>
      </c>
      <c r="P95" s="77">
        <f t="shared" si="19"/>
        <v>0</v>
      </c>
      <c r="Q95" s="53">
        <f t="shared" si="20"/>
        <v>0</v>
      </c>
    </row>
    <row r="96" spans="1:17" x14ac:dyDescent="0.25">
      <c r="A96" s="35"/>
      <c r="B96" s="35"/>
      <c r="C96" s="36" t="str">
        <f>IFERROR(VLOOKUP($A96,'Manhole Rate'!$A$1:$AC$4,MATCH($B96,'Manhole Rate'!$B$1:$AC$1,0)+1,0),"N/F")</f>
        <v>N/F</v>
      </c>
      <c r="D96" s="65"/>
      <c r="E96" s="51"/>
      <c r="F96" s="68"/>
      <c r="G96" s="72"/>
      <c r="H96" s="55"/>
      <c r="I96" s="77"/>
      <c r="J96" s="53"/>
      <c r="K96" s="65">
        <f t="shared" si="14"/>
        <v>0</v>
      </c>
      <c r="L96" s="51">
        <f t="shared" si="15"/>
        <v>0</v>
      </c>
      <c r="M96" s="68">
        <f t="shared" si="16"/>
        <v>0</v>
      </c>
      <c r="N96" s="72">
        <f t="shared" si="17"/>
        <v>0</v>
      </c>
      <c r="O96" s="55">
        <f t="shared" si="18"/>
        <v>0</v>
      </c>
      <c r="P96" s="77">
        <f t="shared" si="19"/>
        <v>0</v>
      </c>
      <c r="Q96" s="53">
        <f t="shared" si="20"/>
        <v>0</v>
      </c>
    </row>
    <row r="97" spans="1:17" x14ac:dyDescent="0.25">
      <c r="A97" s="35"/>
      <c r="B97" s="35"/>
      <c r="C97" s="36" t="str">
        <f>IFERROR(VLOOKUP($A97,'Manhole Rate'!$A$1:$AC$4,MATCH($B97,'Manhole Rate'!$B$1:$AC$1,0)+1,0),"N/F")</f>
        <v>N/F</v>
      </c>
      <c r="D97" s="65"/>
      <c r="E97" s="51"/>
      <c r="F97" s="68"/>
      <c r="G97" s="72"/>
      <c r="H97" s="55"/>
      <c r="I97" s="77"/>
      <c r="J97" s="53"/>
      <c r="K97" s="65">
        <f t="shared" si="14"/>
        <v>0</v>
      </c>
      <c r="L97" s="51">
        <f t="shared" si="15"/>
        <v>0</v>
      </c>
      <c r="M97" s="68">
        <f t="shared" si="16"/>
        <v>0</v>
      </c>
      <c r="N97" s="72">
        <f t="shared" si="17"/>
        <v>0</v>
      </c>
      <c r="O97" s="55">
        <f t="shared" si="18"/>
        <v>0</v>
      </c>
      <c r="P97" s="77">
        <f t="shared" si="19"/>
        <v>0</v>
      </c>
      <c r="Q97" s="53">
        <f t="shared" si="20"/>
        <v>0</v>
      </c>
    </row>
    <row r="98" spans="1:17" x14ac:dyDescent="0.25">
      <c r="A98" s="35"/>
      <c r="B98" s="35"/>
      <c r="C98" s="36" t="str">
        <f>IFERROR(VLOOKUP($A98,'Manhole Rate'!$A$1:$AC$4,MATCH($B98,'Manhole Rate'!$B$1:$AC$1,0)+1,0),"N/F")</f>
        <v>N/F</v>
      </c>
      <c r="D98" s="65"/>
      <c r="E98" s="51"/>
      <c r="F98" s="68"/>
      <c r="G98" s="72"/>
      <c r="H98" s="55"/>
      <c r="I98" s="77"/>
      <c r="J98" s="53"/>
      <c r="K98" s="65">
        <f t="shared" si="14"/>
        <v>0</v>
      </c>
      <c r="L98" s="51">
        <f t="shared" si="15"/>
        <v>0</v>
      </c>
      <c r="M98" s="68">
        <f t="shared" si="16"/>
        <v>0</v>
      </c>
      <c r="N98" s="72">
        <f t="shared" si="17"/>
        <v>0</v>
      </c>
      <c r="O98" s="55">
        <f t="shared" si="18"/>
        <v>0</v>
      </c>
      <c r="P98" s="77">
        <f t="shared" si="19"/>
        <v>0</v>
      </c>
      <c r="Q98" s="53">
        <f t="shared" si="20"/>
        <v>0</v>
      </c>
    </row>
    <row r="99" spans="1:17" x14ac:dyDescent="0.25">
      <c r="A99" s="35"/>
      <c r="B99" s="35"/>
      <c r="C99" s="36" t="str">
        <f>IFERROR(VLOOKUP($A99,'Manhole Rate'!$A$1:$AC$4,MATCH($B99,'Manhole Rate'!$B$1:$AC$1,0)+1,0),"N/F")</f>
        <v>N/F</v>
      </c>
      <c r="D99" s="65"/>
      <c r="E99" s="51"/>
      <c r="F99" s="68"/>
      <c r="G99" s="72"/>
      <c r="H99" s="55"/>
      <c r="I99" s="77"/>
      <c r="J99" s="53"/>
      <c r="K99" s="65">
        <f t="shared" ref="K99:K130" si="21">IFERROR(D99*$C99,0)</f>
        <v>0</v>
      </c>
      <c r="L99" s="51">
        <f t="shared" ref="L99:L130" si="22">IFERROR(E99*$C99,0)</f>
        <v>0</v>
      </c>
      <c r="M99" s="68">
        <f t="shared" ref="M99:M130" si="23">IFERROR(F99*$C99,0)</f>
        <v>0</v>
      </c>
      <c r="N99" s="72">
        <f t="shared" ref="N99:N130" si="24">IFERROR(G99*$C99,0)</f>
        <v>0</v>
      </c>
      <c r="O99" s="55">
        <f t="shared" ref="O99:O130" si="25">IFERROR(H99*$C99,0)</f>
        <v>0</v>
      </c>
      <c r="P99" s="77">
        <f t="shared" ref="P99:P130" si="26">IFERROR(I99*$C99,0)</f>
        <v>0</v>
      </c>
      <c r="Q99" s="53">
        <f t="shared" ref="Q99:Q130" si="27">IFERROR(J99*$C99,0)</f>
        <v>0</v>
      </c>
    </row>
    <row r="100" spans="1:17" x14ac:dyDescent="0.25">
      <c r="A100" s="35"/>
      <c r="B100" s="35"/>
      <c r="C100" s="36" t="str">
        <f>IFERROR(VLOOKUP($A100,'Manhole Rate'!$A$1:$AC$4,MATCH($B100,'Manhole Rate'!$B$1:$AC$1,0)+1,0),"N/F")</f>
        <v>N/F</v>
      </c>
      <c r="D100" s="65"/>
      <c r="E100" s="51"/>
      <c r="F100" s="68"/>
      <c r="G100" s="72"/>
      <c r="H100" s="55"/>
      <c r="I100" s="77"/>
      <c r="J100" s="53"/>
      <c r="K100" s="65">
        <f t="shared" si="21"/>
        <v>0</v>
      </c>
      <c r="L100" s="51">
        <f t="shared" si="22"/>
        <v>0</v>
      </c>
      <c r="M100" s="68">
        <f t="shared" si="23"/>
        <v>0</v>
      </c>
      <c r="N100" s="72">
        <f t="shared" si="24"/>
        <v>0</v>
      </c>
      <c r="O100" s="55">
        <f t="shared" si="25"/>
        <v>0</v>
      </c>
      <c r="P100" s="77">
        <f t="shared" si="26"/>
        <v>0</v>
      </c>
      <c r="Q100" s="53">
        <f t="shared" si="27"/>
        <v>0</v>
      </c>
    </row>
    <row r="101" spans="1:17" x14ac:dyDescent="0.25">
      <c r="A101" s="35"/>
      <c r="B101" s="35"/>
      <c r="C101" s="36" t="str">
        <f>IFERROR(VLOOKUP($A101,'Manhole Rate'!$A$1:$AC$4,MATCH($B101,'Manhole Rate'!$B$1:$AC$1,0)+1,0),"N/F")</f>
        <v>N/F</v>
      </c>
      <c r="D101" s="65"/>
      <c r="E101" s="51"/>
      <c r="F101" s="68"/>
      <c r="G101" s="72"/>
      <c r="H101" s="55"/>
      <c r="I101" s="77"/>
      <c r="J101" s="53"/>
      <c r="K101" s="65">
        <f t="shared" si="21"/>
        <v>0</v>
      </c>
      <c r="L101" s="51">
        <f t="shared" si="22"/>
        <v>0</v>
      </c>
      <c r="M101" s="68">
        <f t="shared" si="23"/>
        <v>0</v>
      </c>
      <c r="N101" s="72">
        <f t="shared" si="24"/>
        <v>0</v>
      </c>
      <c r="O101" s="55">
        <f t="shared" si="25"/>
        <v>0</v>
      </c>
      <c r="P101" s="77">
        <f t="shared" si="26"/>
        <v>0</v>
      </c>
      <c r="Q101" s="53">
        <f t="shared" si="27"/>
        <v>0</v>
      </c>
    </row>
    <row r="102" spans="1:17" x14ac:dyDescent="0.25">
      <c r="A102" s="35"/>
      <c r="B102" s="35"/>
      <c r="C102" s="36" t="str">
        <f>IFERROR(VLOOKUP($A102,'Manhole Rate'!$A$1:$AC$4,MATCH($B102,'Manhole Rate'!$B$1:$AC$1,0)+1,0),"N/F")</f>
        <v>N/F</v>
      </c>
      <c r="D102" s="65"/>
      <c r="E102" s="51"/>
      <c r="F102" s="68"/>
      <c r="G102" s="72"/>
      <c r="H102" s="55"/>
      <c r="I102" s="77"/>
      <c r="J102" s="53"/>
      <c r="K102" s="65">
        <f t="shared" si="21"/>
        <v>0</v>
      </c>
      <c r="L102" s="51">
        <f t="shared" si="22"/>
        <v>0</v>
      </c>
      <c r="M102" s="68">
        <f t="shared" si="23"/>
        <v>0</v>
      </c>
      <c r="N102" s="72">
        <f t="shared" si="24"/>
        <v>0</v>
      </c>
      <c r="O102" s="55">
        <f t="shared" si="25"/>
        <v>0</v>
      </c>
      <c r="P102" s="77">
        <f t="shared" si="26"/>
        <v>0</v>
      </c>
      <c r="Q102" s="53">
        <f t="shared" si="27"/>
        <v>0</v>
      </c>
    </row>
    <row r="103" spans="1:17" x14ac:dyDescent="0.25">
      <c r="A103" s="35"/>
      <c r="B103" s="35"/>
      <c r="C103" s="36" t="str">
        <f>IFERROR(VLOOKUP($A103,'Manhole Rate'!$A$1:$AC$4,MATCH($B103,'Manhole Rate'!$B$1:$AC$1,0)+1,0),"N/F")</f>
        <v>N/F</v>
      </c>
      <c r="D103" s="65"/>
      <c r="E103" s="51"/>
      <c r="F103" s="68"/>
      <c r="G103" s="72"/>
      <c r="H103" s="55"/>
      <c r="I103" s="77"/>
      <c r="J103" s="53"/>
      <c r="K103" s="65">
        <f t="shared" si="21"/>
        <v>0</v>
      </c>
      <c r="L103" s="51">
        <f t="shared" si="22"/>
        <v>0</v>
      </c>
      <c r="M103" s="68">
        <f t="shared" si="23"/>
        <v>0</v>
      </c>
      <c r="N103" s="72">
        <f t="shared" si="24"/>
        <v>0</v>
      </c>
      <c r="O103" s="55">
        <f t="shared" si="25"/>
        <v>0</v>
      </c>
      <c r="P103" s="77">
        <f t="shared" si="26"/>
        <v>0</v>
      </c>
      <c r="Q103" s="53">
        <f t="shared" si="27"/>
        <v>0</v>
      </c>
    </row>
    <row r="104" spans="1:17" x14ac:dyDescent="0.25">
      <c r="A104" s="35"/>
      <c r="B104" s="35"/>
      <c r="C104" s="36" t="str">
        <f>IFERROR(VLOOKUP($A104,'Manhole Rate'!$A$1:$AC$4,MATCH($B104,'Manhole Rate'!$B$1:$AC$1,0)+1,0),"N/F")</f>
        <v>N/F</v>
      </c>
      <c r="D104" s="65"/>
      <c r="E104" s="51"/>
      <c r="F104" s="68"/>
      <c r="G104" s="72"/>
      <c r="H104" s="55"/>
      <c r="I104" s="77"/>
      <c r="J104" s="53"/>
      <c r="K104" s="65">
        <f t="shared" si="21"/>
        <v>0</v>
      </c>
      <c r="L104" s="51">
        <f t="shared" si="22"/>
        <v>0</v>
      </c>
      <c r="M104" s="68">
        <f t="shared" si="23"/>
        <v>0</v>
      </c>
      <c r="N104" s="72">
        <f t="shared" si="24"/>
        <v>0</v>
      </c>
      <c r="O104" s="55">
        <f t="shared" si="25"/>
        <v>0</v>
      </c>
      <c r="P104" s="77">
        <f t="shared" si="26"/>
        <v>0</v>
      </c>
      <c r="Q104" s="53">
        <f t="shared" si="27"/>
        <v>0</v>
      </c>
    </row>
    <row r="105" spans="1:17" x14ac:dyDescent="0.25">
      <c r="A105" s="35"/>
      <c r="B105" s="35"/>
      <c r="C105" s="36" t="str">
        <f>IFERROR(VLOOKUP($A105,'Manhole Rate'!$A$1:$AC$4,MATCH($B105,'Manhole Rate'!$B$1:$AC$1,0)+1,0),"N/F")</f>
        <v>N/F</v>
      </c>
      <c r="D105" s="65"/>
      <c r="E105" s="51"/>
      <c r="F105" s="68"/>
      <c r="G105" s="72"/>
      <c r="H105" s="55"/>
      <c r="I105" s="77"/>
      <c r="J105" s="53"/>
      <c r="K105" s="65">
        <f t="shared" si="21"/>
        <v>0</v>
      </c>
      <c r="L105" s="51">
        <f t="shared" si="22"/>
        <v>0</v>
      </c>
      <c r="M105" s="68">
        <f t="shared" si="23"/>
        <v>0</v>
      </c>
      <c r="N105" s="72">
        <f t="shared" si="24"/>
        <v>0</v>
      </c>
      <c r="O105" s="55">
        <f t="shared" si="25"/>
        <v>0</v>
      </c>
      <c r="P105" s="77">
        <f t="shared" si="26"/>
        <v>0</v>
      </c>
      <c r="Q105" s="53">
        <f t="shared" si="27"/>
        <v>0</v>
      </c>
    </row>
    <row r="106" spans="1:17" x14ac:dyDescent="0.25">
      <c r="A106" s="35"/>
      <c r="B106" s="35"/>
      <c r="C106" s="36" t="str">
        <f>IFERROR(VLOOKUP($A106,'Manhole Rate'!$A$1:$AC$4,MATCH($B106,'Manhole Rate'!$B$1:$AC$1,0)+1,0),"N/F")</f>
        <v>N/F</v>
      </c>
      <c r="D106" s="65"/>
      <c r="E106" s="51"/>
      <c r="F106" s="68"/>
      <c r="G106" s="72"/>
      <c r="H106" s="55"/>
      <c r="I106" s="77"/>
      <c r="J106" s="53"/>
      <c r="K106" s="65">
        <f t="shared" si="21"/>
        <v>0</v>
      </c>
      <c r="L106" s="51">
        <f t="shared" si="22"/>
        <v>0</v>
      </c>
      <c r="M106" s="68">
        <f t="shared" si="23"/>
        <v>0</v>
      </c>
      <c r="N106" s="72">
        <f t="shared" si="24"/>
        <v>0</v>
      </c>
      <c r="O106" s="55">
        <f t="shared" si="25"/>
        <v>0</v>
      </c>
      <c r="P106" s="77">
        <f t="shared" si="26"/>
        <v>0</v>
      </c>
      <c r="Q106" s="53">
        <f t="shared" si="27"/>
        <v>0</v>
      </c>
    </row>
    <row r="107" spans="1:17" x14ac:dyDescent="0.25">
      <c r="A107" s="35"/>
      <c r="B107" s="35"/>
      <c r="C107" s="36" t="str">
        <f>IFERROR(VLOOKUP($A107,'Manhole Rate'!$A$1:$AC$4,MATCH($B107,'Manhole Rate'!$B$1:$AC$1,0)+1,0),"N/F")</f>
        <v>N/F</v>
      </c>
      <c r="D107" s="65"/>
      <c r="E107" s="51"/>
      <c r="F107" s="68"/>
      <c r="G107" s="72"/>
      <c r="H107" s="55"/>
      <c r="I107" s="77"/>
      <c r="J107" s="53"/>
      <c r="K107" s="65">
        <f t="shared" si="21"/>
        <v>0</v>
      </c>
      <c r="L107" s="51">
        <f t="shared" si="22"/>
        <v>0</v>
      </c>
      <c r="M107" s="68">
        <f t="shared" si="23"/>
        <v>0</v>
      </c>
      <c r="N107" s="72">
        <f t="shared" si="24"/>
        <v>0</v>
      </c>
      <c r="O107" s="55">
        <f t="shared" si="25"/>
        <v>0</v>
      </c>
      <c r="P107" s="77">
        <f t="shared" si="26"/>
        <v>0</v>
      </c>
      <c r="Q107" s="53">
        <f t="shared" si="27"/>
        <v>0</v>
      </c>
    </row>
    <row r="108" spans="1:17" x14ac:dyDescent="0.25">
      <c r="A108" s="35"/>
      <c r="B108" s="35"/>
      <c r="C108" s="36" t="str">
        <f>IFERROR(VLOOKUP($A108,'Manhole Rate'!$A$1:$AC$4,MATCH($B108,'Manhole Rate'!$B$1:$AC$1,0)+1,0),"N/F")</f>
        <v>N/F</v>
      </c>
      <c r="D108" s="65"/>
      <c r="E108" s="51"/>
      <c r="F108" s="68"/>
      <c r="G108" s="72"/>
      <c r="H108" s="55"/>
      <c r="I108" s="77"/>
      <c r="J108" s="53"/>
      <c r="K108" s="65">
        <f t="shared" si="21"/>
        <v>0</v>
      </c>
      <c r="L108" s="51">
        <f t="shared" si="22"/>
        <v>0</v>
      </c>
      <c r="M108" s="68">
        <f t="shared" si="23"/>
        <v>0</v>
      </c>
      <c r="N108" s="72">
        <f t="shared" si="24"/>
        <v>0</v>
      </c>
      <c r="O108" s="55">
        <f t="shared" si="25"/>
        <v>0</v>
      </c>
      <c r="P108" s="77">
        <f t="shared" si="26"/>
        <v>0</v>
      </c>
      <c r="Q108" s="53">
        <f t="shared" si="27"/>
        <v>0</v>
      </c>
    </row>
    <row r="109" spans="1:17" x14ac:dyDescent="0.25">
      <c r="A109" s="35"/>
      <c r="B109" s="35"/>
      <c r="C109" s="36" t="str">
        <f>IFERROR(VLOOKUP($A109,'Manhole Rate'!$A$1:$AC$4,MATCH($B109,'Manhole Rate'!$B$1:$AC$1,0)+1,0),"N/F")</f>
        <v>N/F</v>
      </c>
      <c r="D109" s="65"/>
      <c r="E109" s="51"/>
      <c r="F109" s="68"/>
      <c r="G109" s="72"/>
      <c r="H109" s="55"/>
      <c r="I109" s="77"/>
      <c r="J109" s="53"/>
      <c r="K109" s="65">
        <f t="shared" si="21"/>
        <v>0</v>
      </c>
      <c r="L109" s="51">
        <f t="shared" si="22"/>
        <v>0</v>
      </c>
      <c r="M109" s="68">
        <f t="shared" si="23"/>
        <v>0</v>
      </c>
      <c r="N109" s="72">
        <f t="shared" si="24"/>
        <v>0</v>
      </c>
      <c r="O109" s="55">
        <f t="shared" si="25"/>
        <v>0</v>
      </c>
      <c r="P109" s="77">
        <f t="shared" si="26"/>
        <v>0</v>
      </c>
      <c r="Q109" s="53">
        <f t="shared" si="27"/>
        <v>0</v>
      </c>
    </row>
    <row r="110" spans="1:17" x14ac:dyDescent="0.25">
      <c r="A110" s="35"/>
      <c r="B110" s="35"/>
      <c r="C110" s="36" t="str">
        <f>IFERROR(VLOOKUP($A110,'Manhole Rate'!$A$1:$AC$4,MATCH($B110,'Manhole Rate'!$B$1:$AC$1,0)+1,0),"N/F")</f>
        <v>N/F</v>
      </c>
      <c r="D110" s="65"/>
      <c r="E110" s="51"/>
      <c r="F110" s="68"/>
      <c r="G110" s="72"/>
      <c r="H110" s="55"/>
      <c r="I110" s="77"/>
      <c r="J110" s="53"/>
      <c r="K110" s="65">
        <f t="shared" si="21"/>
        <v>0</v>
      </c>
      <c r="L110" s="51">
        <f t="shared" si="22"/>
        <v>0</v>
      </c>
      <c r="M110" s="68">
        <f t="shared" si="23"/>
        <v>0</v>
      </c>
      <c r="N110" s="72">
        <f t="shared" si="24"/>
        <v>0</v>
      </c>
      <c r="O110" s="55">
        <f t="shared" si="25"/>
        <v>0</v>
      </c>
      <c r="P110" s="77">
        <f t="shared" si="26"/>
        <v>0</v>
      </c>
      <c r="Q110" s="53">
        <f t="shared" si="27"/>
        <v>0</v>
      </c>
    </row>
    <row r="111" spans="1:17" x14ac:dyDescent="0.25">
      <c r="A111" s="35"/>
      <c r="B111" s="35"/>
      <c r="C111" s="36" t="str">
        <f>IFERROR(VLOOKUP($A111,'Manhole Rate'!$A$1:$AC$4,MATCH($B111,'Manhole Rate'!$B$1:$AC$1,0)+1,0),"N/F")</f>
        <v>N/F</v>
      </c>
      <c r="D111" s="65"/>
      <c r="E111" s="51"/>
      <c r="F111" s="68"/>
      <c r="G111" s="72"/>
      <c r="H111" s="55"/>
      <c r="I111" s="77"/>
      <c r="J111" s="53"/>
      <c r="K111" s="65">
        <f t="shared" si="21"/>
        <v>0</v>
      </c>
      <c r="L111" s="51">
        <f t="shared" si="22"/>
        <v>0</v>
      </c>
      <c r="M111" s="68">
        <f t="shared" si="23"/>
        <v>0</v>
      </c>
      <c r="N111" s="72">
        <f t="shared" si="24"/>
        <v>0</v>
      </c>
      <c r="O111" s="55">
        <f t="shared" si="25"/>
        <v>0</v>
      </c>
      <c r="P111" s="77">
        <f t="shared" si="26"/>
        <v>0</v>
      </c>
      <c r="Q111" s="53">
        <f t="shared" si="27"/>
        <v>0</v>
      </c>
    </row>
    <row r="112" spans="1:17" x14ac:dyDescent="0.25">
      <c r="A112" s="35"/>
      <c r="B112" s="35"/>
      <c r="C112" s="36" t="str">
        <f>IFERROR(VLOOKUP($A112,'Manhole Rate'!$A$1:$AC$4,MATCH($B112,'Manhole Rate'!$B$1:$AC$1,0)+1,0),"N/F")</f>
        <v>N/F</v>
      </c>
      <c r="D112" s="65"/>
      <c r="E112" s="51"/>
      <c r="F112" s="68"/>
      <c r="G112" s="72"/>
      <c r="H112" s="55"/>
      <c r="I112" s="77"/>
      <c r="J112" s="53"/>
      <c r="K112" s="65">
        <f t="shared" si="21"/>
        <v>0</v>
      </c>
      <c r="L112" s="51">
        <f t="shared" si="22"/>
        <v>0</v>
      </c>
      <c r="M112" s="68">
        <f t="shared" si="23"/>
        <v>0</v>
      </c>
      <c r="N112" s="72">
        <f t="shared" si="24"/>
        <v>0</v>
      </c>
      <c r="O112" s="55">
        <f t="shared" si="25"/>
        <v>0</v>
      </c>
      <c r="P112" s="77">
        <f t="shared" si="26"/>
        <v>0</v>
      </c>
      <c r="Q112" s="53">
        <f t="shared" si="27"/>
        <v>0</v>
      </c>
    </row>
    <row r="113" spans="1:17" x14ac:dyDescent="0.25">
      <c r="A113" s="35"/>
      <c r="B113" s="35"/>
      <c r="C113" s="36" t="str">
        <f>IFERROR(VLOOKUP($A113,'Manhole Rate'!$A$1:$AC$4,MATCH($B113,'Manhole Rate'!$B$1:$AC$1,0)+1,0),"N/F")</f>
        <v>N/F</v>
      </c>
      <c r="D113" s="65"/>
      <c r="E113" s="51"/>
      <c r="F113" s="68"/>
      <c r="G113" s="72"/>
      <c r="H113" s="55"/>
      <c r="I113" s="77"/>
      <c r="J113" s="53"/>
      <c r="K113" s="65">
        <f t="shared" si="21"/>
        <v>0</v>
      </c>
      <c r="L113" s="51">
        <f t="shared" si="22"/>
        <v>0</v>
      </c>
      <c r="M113" s="68">
        <f t="shared" si="23"/>
        <v>0</v>
      </c>
      <c r="N113" s="72">
        <f t="shared" si="24"/>
        <v>0</v>
      </c>
      <c r="O113" s="55">
        <f t="shared" si="25"/>
        <v>0</v>
      </c>
      <c r="P113" s="77">
        <f t="shared" si="26"/>
        <v>0</v>
      </c>
      <c r="Q113" s="53">
        <f t="shared" si="27"/>
        <v>0</v>
      </c>
    </row>
    <row r="114" spans="1:17" x14ac:dyDescent="0.25">
      <c r="A114" s="35"/>
      <c r="B114" s="35"/>
      <c r="C114" s="36" t="str">
        <f>IFERROR(VLOOKUP($A114,'Manhole Rate'!$A$1:$AC$4,MATCH($B114,'Manhole Rate'!$B$1:$AC$1,0)+1,0),"N/F")</f>
        <v>N/F</v>
      </c>
      <c r="D114" s="65"/>
      <c r="E114" s="51"/>
      <c r="F114" s="68"/>
      <c r="G114" s="72"/>
      <c r="H114" s="55"/>
      <c r="I114" s="77"/>
      <c r="J114" s="53"/>
      <c r="K114" s="65">
        <f t="shared" si="21"/>
        <v>0</v>
      </c>
      <c r="L114" s="51">
        <f t="shared" si="22"/>
        <v>0</v>
      </c>
      <c r="M114" s="68">
        <f t="shared" si="23"/>
        <v>0</v>
      </c>
      <c r="N114" s="72">
        <f t="shared" si="24"/>
        <v>0</v>
      </c>
      <c r="O114" s="55">
        <f t="shared" si="25"/>
        <v>0</v>
      </c>
      <c r="P114" s="77">
        <f t="shared" si="26"/>
        <v>0</v>
      </c>
      <c r="Q114" s="53">
        <f t="shared" si="27"/>
        <v>0</v>
      </c>
    </row>
    <row r="115" spans="1:17" x14ac:dyDescent="0.25">
      <c r="A115" s="35"/>
      <c r="B115" s="35"/>
      <c r="C115" s="36" t="str">
        <f>IFERROR(VLOOKUP($A115,'Manhole Rate'!$A$1:$AC$4,MATCH($B115,'Manhole Rate'!$B$1:$AC$1,0)+1,0),"N/F")</f>
        <v>N/F</v>
      </c>
      <c r="D115" s="65"/>
      <c r="E115" s="51"/>
      <c r="F115" s="68"/>
      <c r="G115" s="72"/>
      <c r="H115" s="55"/>
      <c r="I115" s="77"/>
      <c r="J115" s="53"/>
      <c r="K115" s="65">
        <f t="shared" si="21"/>
        <v>0</v>
      </c>
      <c r="L115" s="51">
        <f t="shared" si="22"/>
        <v>0</v>
      </c>
      <c r="M115" s="68">
        <f t="shared" si="23"/>
        <v>0</v>
      </c>
      <c r="N115" s="72">
        <f t="shared" si="24"/>
        <v>0</v>
      </c>
      <c r="O115" s="55">
        <f t="shared" si="25"/>
        <v>0</v>
      </c>
      <c r="P115" s="77">
        <f t="shared" si="26"/>
        <v>0</v>
      </c>
      <c r="Q115" s="53">
        <f t="shared" si="27"/>
        <v>0</v>
      </c>
    </row>
    <row r="116" spans="1:17" x14ac:dyDescent="0.25">
      <c r="A116" s="35"/>
      <c r="B116" s="35"/>
      <c r="C116" s="36" t="str">
        <f>IFERROR(VLOOKUP($A116,'Manhole Rate'!$A$1:$AC$4,MATCH($B116,'Manhole Rate'!$B$1:$AC$1,0)+1,0),"N/F")</f>
        <v>N/F</v>
      </c>
      <c r="D116" s="65"/>
      <c r="E116" s="51"/>
      <c r="F116" s="68"/>
      <c r="G116" s="72"/>
      <c r="H116" s="55"/>
      <c r="I116" s="77"/>
      <c r="J116" s="53"/>
      <c r="K116" s="65">
        <f t="shared" si="21"/>
        <v>0</v>
      </c>
      <c r="L116" s="51">
        <f t="shared" si="22"/>
        <v>0</v>
      </c>
      <c r="M116" s="68">
        <f t="shared" si="23"/>
        <v>0</v>
      </c>
      <c r="N116" s="72">
        <f t="shared" si="24"/>
        <v>0</v>
      </c>
      <c r="O116" s="55">
        <f t="shared" si="25"/>
        <v>0</v>
      </c>
      <c r="P116" s="77">
        <f t="shared" si="26"/>
        <v>0</v>
      </c>
      <c r="Q116" s="53">
        <f t="shared" si="27"/>
        <v>0</v>
      </c>
    </row>
    <row r="117" spans="1:17" x14ac:dyDescent="0.25">
      <c r="A117" s="35"/>
      <c r="B117" s="35"/>
      <c r="C117" s="36" t="str">
        <f>IFERROR(VLOOKUP($A117,'Manhole Rate'!$A$1:$AC$4,MATCH($B117,'Manhole Rate'!$B$1:$AC$1,0)+1,0),"N/F")</f>
        <v>N/F</v>
      </c>
      <c r="D117" s="65"/>
      <c r="E117" s="51"/>
      <c r="F117" s="68"/>
      <c r="G117" s="72"/>
      <c r="H117" s="55"/>
      <c r="I117" s="77"/>
      <c r="J117" s="53"/>
      <c r="K117" s="65">
        <f t="shared" si="21"/>
        <v>0</v>
      </c>
      <c r="L117" s="51">
        <f t="shared" si="22"/>
        <v>0</v>
      </c>
      <c r="M117" s="68">
        <f t="shared" si="23"/>
        <v>0</v>
      </c>
      <c r="N117" s="72">
        <f t="shared" si="24"/>
        <v>0</v>
      </c>
      <c r="O117" s="55">
        <f t="shared" si="25"/>
        <v>0</v>
      </c>
      <c r="P117" s="77">
        <f t="shared" si="26"/>
        <v>0</v>
      </c>
      <c r="Q117" s="53">
        <f t="shared" si="27"/>
        <v>0</v>
      </c>
    </row>
    <row r="118" spans="1:17" x14ac:dyDescent="0.25">
      <c r="A118" s="35"/>
      <c r="B118" s="35"/>
      <c r="C118" s="36" t="str">
        <f>IFERROR(VLOOKUP($A118,'Manhole Rate'!$A$1:$AC$4,MATCH($B118,'Manhole Rate'!$B$1:$AC$1,0)+1,0),"N/F")</f>
        <v>N/F</v>
      </c>
      <c r="D118" s="65"/>
      <c r="E118" s="51"/>
      <c r="F118" s="68"/>
      <c r="G118" s="72"/>
      <c r="H118" s="55"/>
      <c r="I118" s="77"/>
      <c r="J118" s="53"/>
      <c r="K118" s="65">
        <f t="shared" si="21"/>
        <v>0</v>
      </c>
      <c r="L118" s="51">
        <f t="shared" si="22"/>
        <v>0</v>
      </c>
      <c r="M118" s="68">
        <f t="shared" si="23"/>
        <v>0</v>
      </c>
      <c r="N118" s="72">
        <f t="shared" si="24"/>
        <v>0</v>
      </c>
      <c r="O118" s="55">
        <f t="shared" si="25"/>
        <v>0</v>
      </c>
      <c r="P118" s="77">
        <f t="shared" si="26"/>
        <v>0</v>
      </c>
      <c r="Q118" s="53">
        <f t="shared" si="27"/>
        <v>0</v>
      </c>
    </row>
    <row r="119" spans="1:17" x14ac:dyDescent="0.25">
      <c r="A119" s="35"/>
      <c r="B119" s="35"/>
      <c r="C119" s="36" t="str">
        <f>IFERROR(VLOOKUP($A119,'Manhole Rate'!$A$1:$AC$4,MATCH($B119,'Manhole Rate'!$B$1:$AC$1,0)+1,0),"N/F")</f>
        <v>N/F</v>
      </c>
      <c r="D119" s="65"/>
      <c r="E119" s="51"/>
      <c r="F119" s="68"/>
      <c r="G119" s="72"/>
      <c r="H119" s="55"/>
      <c r="I119" s="77"/>
      <c r="J119" s="53"/>
      <c r="K119" s="65">
        <f t="shared" si="21"/>
        <v>0</v>
      </c>
      <c r="L119" s="51">
        <f t="shared" si="22"/>
        <v>0</v>
      </c>
      <c r="M119" s="68">
        <f t="shared" si="23"/>
        <v>0</v>
      </c>
      <c r="N119" s="72">
        <f t="shared" si="24"/>
        <v>0</v>
      </c>
      <c r="O119" s="55">
        <f t="shared" si="25"/>
        <v>0</v>
      </c>
      <c r="P119" s="77">
        <f t="shared" si="26"/>
        <v>0</v>
      </c>
      <c r="Q119" s="53">
        <f t="shared" si="27"/>
        <v>0</v>
      </c>
    </row>
    <row r="120" spans="1:17" x14ac:dyDescent="0.25">
      <c r="A120" s="35"/>
      <c r="B120" s="35"/>
      <c r="C120" s="36" t="str">
        <f>IFERROR(VLOOKUP($A120,'Manhole Rate'!$A$1:$AC$4,MATCH($B120,'Manhole Rate'!$B$1:$AC$1,0)+1,0),"N/F")</f>
        <v>N/F</v>
      </c>
      <c r="D120" s="65"/>
      <c r="E120" s="51"/>
      <c r="F120" s="68"/>
      <c r="G120" s="72"/>
      <c r="H120" s="55"/>
      <c r="I120" s="77"/>
      <c r="J120" s="53"/>
      <c r="K120" s="65">
        <f t="shared" si="21"/>
        <v>0</v>
      </c>
      <c r="L120" s="51">
        <f t="shared" si="22"/>
        <v>0</v>
      </c>
      <c r="M120" s="68">
        <f t="shared" si="23"/>
        <v>0</v>
      </c>
      <c r="N120" s="72">
        <f t="shared" si="24"/>
        <v>0</v>
      </c>
      <c r="O120" s="55">
        <f t="shared" si="25"/>
        <v>0</v>
      </c>
      <c r="P120" s="77">
        <f t="shared" si="26"/>
        <v>0</v>
      </c>
      <c r="Q120" s="53">
        <f t="shared" si="27"/>
        <v>0</v>
      </c>
    </row>
    <row r="121" spans="1:17" x14ac:dyDescent="0.25">
      <c r="A121" s="35"/>
      <c r="B121" s="35"/>
      <c r="C121" s="36" t="str">
        <f>IFERROR(VLOOKUP($A121,'Manhole Rate'!$A$1:$AC$4,MATCH($B121,'Manhole Rate'!$B$1:$AC$1,0)+1,0),"N/F")</f>
        <v>N/F</v>
      </c>
      <c r="D121" s="65"/>
      <c r="E121" s="51"/>
      <c r="F121" s="68"/>
      <c r="G121" s="72"/>
      <c r="H121" s="55"/>
      <c r="I121" s="77"/>
      <c r="J121" s="53"/>
      <c r="K121" s="65">
        <f t="shared" si="21"/>
        <v>0</v>
      </c>
      <c r="L121" s="51">
        <f t="shared" si="22"/>
        <v>0</v>
      </c>
      <c r="M121" s="68">
        <f t="shared" si="23"/>
        <v>0</v>
      </c>
      <c r="N121" s="72">
        <f t="shared" si="24"/>
        <v>0</v>
      </c>
      <c r="O121" s="55">
        <f t="shared" si="25"/>
        <v>0</v>
      </c>
      <c r="P121" s="77">
        <f t="shared" si="26"/>
        <v>0</v>
      </c>
      <c r="Q121" s="53">
        <f t="shared" si="27"/>
        <v>0</v>
      </c>
    </row>
    <row r="122" spans="1:17" x14ac:dyDescent="0.25">
      <c r="A122" s="35"/>
      <c r="B122" s="35"/>
      <c r="C122" s="36" t="str">
        <f>IFERROR(VLOOKUP($A122,'Manhole Rate'!$A$1:$AC$4,MATCH($B122,'Manhole Rate'!$B$1:$AC$1,0)+1,0),"N/F")</f>
        <v>N/F</v>
      </c>
      <c r="D122" s="65"/>
      <c r="E122" s="51"/>
      <c r="F122" s="68"/>
      <c r="G122" s="72"/>
      <c r="H122" s="55"/>
      <c r="I122" s="77"/>
      <c r="J122" s="53"/>
      <c r="K122" s="65">
        <f t="shared" si="21"/>
        <v>0</v>
      </c>
      <c r="L122" s="51">
        <f t="shared" si="22"/>
        <v>0</v>
      </c>
      <c r="M122" s="68">
        <f t="shared" si="23"/>
        <v>0</v>
      </c>
      <c r="N122" s="72">
        <f t="shared" si="24"/>
        <v>0</v>
      </c>
      <c r="O122" s="55">
        <f t="shared" si="25"/>
        <v>0</v>
      </c>
      <c r="P122" s="77">
        <f t="shared" si="26"/>
        <v>0</v>
      </c>
      <c r="Q122" s="53">
        <f t="shared" si="27"/>
        <v>0</v>
      </c>
    </row>
    <row r="123" spans="1:17" x14ac:dyDescent="0.25">
      <c r="A123" s="35"/>
      <c r="B123" s="35"/>
      <c r="C123" s="36" t="str">
        <f>IFERROR(VLOOKUP($A123,'Manhole Rate'!$A$1:$AC$4,MATCH($B123,'Manhole Rate'!$B$1:$AC$1,0)+1,0),"N/F")</f>
        <v>N/F</v>
      </c>
      <c r="D123" s="65"/>
      <c r="E123" s="51"/>
      <c r="F123" s="68"/>
      <c r="G123" s="72"/>
      <c r="H123" s="55"/>
      <c r="I123" s="77"/>
      <c r="J123" s="53"/>
      <c r="K123" s="65">
        <f t="shared" si="21"/>
        <v>0</v>
      </c>
      <c r="L123" s="51">
        <f t="shared" si="22"/>
        <v>0</v>
      </c>
      <c r="M123" s="68">
        <f t="shared" si="23"/>
        <v>0</v>
      </c>
      <c r="N123" s="72">
        <f t="shared" si="24"/>
        <v>0</v>
      </c>
      <c r="O123" s="55">
        <f t="shared" si="25"/>
        <v>0</v>
      </c>
      <c r="P123" s="77">
        <f t="shared" si="26"/>
        <v>0</v>
      </c>
      <c r="Q123" s="53">
        <f t="shared" si="27"/>
        <v>0</v>
      </c>
    </row>
    <row r="124" spans="1:17" x14ac:dyDescent="0.25">
      <c r="A124" s="35"/>
      <c r="B124" s="35"/>
      <c r="C124" s="36" t="str">
        <f>IFERROR(VLOOKUP($A124,'Manhole Rate'!$A$1:$AC$4,MATCH($B124,'Manhole Rate'!$B$1:$AC$1,0)+1,0),"N/F")</f>
        <v>N/F</v>
      </c>
      <c r="D124" s="65"/>
      <c r="E124" s="51"/>
      <c r="F124" s="68"/>
      <c r="G124" s="72"/>
      <c r="H124" s="55"/>
      <c r="I124" s="77"/>
      <c r="J124" s="53"/>
      <c r="K124" s="65">
        <f t="shared" si="21"/>
        <v>0</v>
      </c>
      <c r="L124" s="51">
        <f t="shared" si="22"/>
        <v>0</v>
      </c>
      <c r="M124" s="68">
        <f t="shared" si="23"/>
        <v>0</v>
      </c>
      <c r="N124" s="72">
        <f t="shared" si="24"/>
        <v>0</v>
      </c>
      <c r="O124" s="55">
        <f t="shared" si="25"/>
        <v>0</v>
      </c>
      <c r="P124" s="77">
        <f t="shared" si="26"/>
        <v>0</v>
      </c>
      <c r="Q124" s="53">
        <f t="shared" si="27"/>
        <v>0</v>
      </c>
    </row>
    <row r="125" spans="1:17" x14ac:dyDescent="0.25">
      <c r="A125" s="35"/>
      <c r="B125" s="35"/>
      <c r="C125" s="36" t="str">
        <f>IFERROR(VLOOKUP($A125,'Manhole Rate'!$A$1:$AC$4,MATCH($B125,'Manhole Rate'!$B$1:$AC$1,0)+1,0),"N/F")</f>
        <v>N/F</v>
      </c>
      <c r="D125" s="65"/>
      <c r="E125" s="51"/>
      <c r="F125" s="68"/>
      <c r="G125" s="72"/>
      <c r="H125" s="55"/>
      <c r="I125" s="77"/>
      <c r="J125" s="53"/>
      <c r="K125" s="65">
        <f t="shared" si="21"/>
        <v>0</v>
      </c>
      <c r="L125" s="51">
        <f t="shared" si="22"/>
        <v>0</v>
      </c>
      <c r="M125" s="68">
        <f t="shared" si="23"/>
        <v>0</v>
      </c>
      <c r="N125" s="72">
        <f t="shared" si="24"/>
        <v>0</v>
      </c>
      <c r="O125" s="55">
        <f t="shared" si="25"/>
        <v>0</v>
      </c>
      <c r="P125" s="77">
        <f t="shared" si="26"/>
        <v>0</v>
      </c>
      <c r="Q125" s="53">
        <f t="shared" si="27"/>
        <v>0</v>
      </c>
    </row>
    <row r="126" spans="1:17" x14ac:dyDescent="0.25">
      <c r="A126" s="35"/>
      <c r="B126" s="35"/>
      <c r="C126" s="36" t="str">
        <f>IFERROR(VLOOKUP($A126,'Manhole Rate'!$A$1:$AC$4,MATCH($B126,'Manhole Rate'!$B$1:$AC$1,0)+1,0),"N/F")</f>
        <v>N/F</v>
      </c>
      <c r="D126" s="65"/>
      <c r="E126" s="51"/>
      <c r="F126" s="68"/>
      <c r="G126" s="72"/>
      <c r="H126" s="55"/>
      <c r="I126" s="77"/>
      <c r="J126" s="53"/>
      <c r="K126" s="65">
        <f t="shared" si="21"/>
        <v>0</v>
      </c>
      <c r="L126" s="51">
        <f t="shared" si="22"/>
        <v>0</v>
      </c>
      <c r="M126" s="68">
        <f t="shared" si="23"/>
        <v>0</v>
      </c>
      <c r="N126" s="72">
        <f t="shared" si="24"/>
        <v>0</v>
      </c>
      <c r="O126" s="55">
        <f t="shared" si="25"/>
        <v>0</v>
      </c>
      <c r="P126" s="77">
        <f t="shared" si="26"/>
        <v>0</v>
      </c>
      <c r="Q126" s="53">
        <f t="shared" si="27"/>
        <v>0</v>
      </c>
    </row>
    <row r="127" spans="1:17" x14ac:dyDescent="0.25">
      <c r="A127" s="35"/>
      <c r="B127" s="35"/>
      <c r="C127" s="36" t="str">
        <f>IFERROR(VLOOKUP($A127,'Manhole Rate'!$A$1:$AC$4,MATCH($B127,'Manhole Rate'!$B$1:$AC$1,0)+1,0),"N/F")</f>
        <v>N/F</v>
      </c>
      <c r="D127" s="65"/>
      <c r="E127" s="51"/>
      <c r="F127" s="68"/>
      <c r="G127" s="72"/>
      <c r="H127" s="55"/>
      <c r="I127" s="77"/>
      <c r="J127" s="53"/>
      <c r="K127" s="65">
        <f t="shared" si="21"/>
        <v>0</v>
      </c>
      <c r="L127" s="51">
        <f t="shared" si="22"/>
        <v>0</v>
      </c>
      <c r="M127" s="68">
        <f t="shared" si="23"/>
        <v>0</v>
      </c>
      <c r="N127" s="72">
        <f t="shared" si="24"/>
        <v>0</v>
      </c>
      <c r="O127" s="55">
        <f t="shared" si="25"/>
        <v>0</v>
      </c>
      <c r="P127" s="77">
        <f t="shared" si="26"/>
        <v>0</v>
      </c>
      <c r="Q127" s="53">
        <f t="shared" si="27"/>
        <v>0</v>
      </c>
    </row>
    <row r="128" spans="1:17" x14ac:dyDescent="0.25">
      <c r="A128" s="35"/>
      <c r="B128" s="35"/>
      <c r="C128" s="36" t="str">
        <f>IFERROR(VLOOKUP($A128,'Manhole Rate'!$A$1:$AC$4,MATCH($B128,'Manhole Rate'!$B$1:$AC$1,0)+1,0),"N/F")</f>
        <v>N/F</v>
      </c>
      <c r="D128" s="65"/>
      <c r="E128" s="51"/>
      <c r="F128" s="68"/>
      <c r="G128" s="72"/>
      <c r="H128" s="55"/>
      <c r="I128" s="77"/>
      <c r="J128" s="53"/>
      <c r="K128" s="65">
        <f t="shared" si="21"/>
        <v>0</v>
      </c>
      <c r="L128" s="51">
        <f t="shared" si="22"/>
        <v>0</v>
      </c>
      <c r="M128" s="68">
        <f t="shared" si="23"/>
        <v>0</v>
      </c>
      <c r="N128" s="72">
        <f t="shared" si="24"/>
        <v>0</v>
      </c>
      <c r="O128" s="55">
        <f t="shared" si="25"/>
        <v>0</v>
      </c>
      <c r="P128" s="77">
        <f t="shared" si="26"/>
        <v>0</v>
      </c>
      <c r="Q128" s="53">
        <f t="shared" si="27"/>
        <v>0</v>
      </c>
    </row>
    <row r="129" spans="1:17" x14ac:dyDescent="0.25">
      <c r="A129" s="35"/>
      <c r="B129" s="35"/>
      <c r="C129" s="36" t="str">
        <f>IFERROR(VLOOKUP($A129,'Manhole Rate'!$A$1:$AC$4,MATCH($B129,'Manhole Rate'!$B$1:$AC$1,0)+1,0),"N/F")</f>
        <v>N/F</v>
      </c>
      <c r="D129" s="65"/>
      <c r="E129" s="51"/>
      <c r="F129" s="68"/>
      <c r="G129" s="72"/>
      <c r="H129" s="55"/>
      <c r="I129" s="77"/>
      <c r="J129" s="53"/>
      <c r="K129" s="65">
        <f t="shared" si="21"/>
        <v>0</v>
      </c>
      <c r="L129" s="51">
        <f t="shared" si="22"/>
        <v>0</v>
      </c>
      <c r="M129" s="68">
        <f t="shared" si="23"/>
        <v>0</v>
      </c>
      <c r="N129" s="72">
        <f t="shared" si="24"/>
        <v>0</v>
      </c>
      <c r="O129" s="55">
        <f t="shared" si="25"/>
        <v>0</v>
      </c>
      <c r="P129" s="77">
        <f t="shared" si="26"/>
        <v>0</v>
      </c>
      <c r="Q129" s="53">
        <f t="shared" si="27"/>
        <v>0</v>
      </c>
    </row>
    <row r="130" spans="1:17" x14ac:dyDescent="0.25">
      <c r="A130" s="35"/>
      <c r="B130" s="35"/>
      <c r="C130" s="36" t="str">
        <f>IFERROR(VLOOKUP($A130,'Manhole Rate'!$A$1:$AC$4,MATCH($B130,'Manhole Rate'!$B$1:$AC$1,0)+1,0),"N/F")</f>
        <v>N/F</v>
      </c>
      <c r="D130" s="65"/>
      <c r="E130" s="51"/>
      <c r="F130" s="68"/>
      <c r="G130" s="72"/>
      <c r="H130" s="55"/>
      <c r="I130" s="77"/>
      <c r="J130" s="53"/>
      <c r="K130" s="65">
        <f t="shared" si="21"/>
        <v>0</v>
      </c>
      <c r="L130" s="51">
        <f t="shared" si="22"/>
        <v>0</v>
      </c>
      <c r="M130" s="68">
        <f t="shared" si="23"/>
        <v>0</v>
      </c>
      <c r="N130" s="72">
        <f t="shared" si="24"/>
        <v>0</v>
      </c>
      <c r="O130" s="55">
        <f t="shared" si="25"/>
        <v>0</v>
      </c>
      <c r="P130" s="77">
        <f t="shared" si="26"/>
        <v>0</v>
      </c>
      <c r="Q130" s="53">
        <f t="shared" si="27"/>
        <v>0</v>
      </c>
    </row>
    <row r="131" spans="1:17" x14ac:dyDescent="0.25">
      <c r="A131" s="35"/>
      <c r="B131" s="35"/>
      <c r="C131" s="36" t="str">
        <f>IFERROR(VLOOKUP($A131,'Manhole Rate'!$A$1:$AC$4,MATCH($B131,'Manhole Rate'!$B$1:$AC$1,0)+1,0),"N/F")</f>
        <v>N/F</v>
      </c>
      <c r="D131" s="65"/>
      <c r="E131" s="51"/>
      <c r="F131" s="68"/>
      <c r="G131" s="72"/>
      <c r="H131" s="55"/>
      <c r="I131" s="77"/>
      <c r="J131" s="53"/>
      <c r="K131" s="65">
        <f t="shared" ref="K131:K157" si="28">IFERROR(D131*$C131,0)</f>
        <v>0</v>
      </c>
      <c r="L131" s="51">
        <f t="shared" ref="L131:L157" si="29">IFERROR(E131*$C131,0)</f>
        <v>0</v>
      </c>
      <c r="M131" s="68">
        <f t="shared" ref="M131:M157" si="30">IFERROR(F131*$C131,0)</f>
        <v>0</v>
      </c>
      <c r="N131" s="72">
        <f t="shared" ref="N131:N157" si="31">IFERROR(G131*$C131,0)</f>
        <v>0</v>
      </c>
      <c r="O131" s="55">
        <f t="shared" ref="O131:O157" si="32">IFERROR(H131*$C131,0)</f>
        <v>0</v>
      </c>
      <c r="P131" s="77">
        <f t="shared" ref="P131:P157" si="33">IFERROR(I131*$C131,0)</f>
        <v>0</v>
      </c>
      <c r="Q131" s="53">
        <f t="shared" ref="Q131:Q157" si="34">IFERROR(J131*$C131,0)</f>
        <v>0</v>
      </c>
    </row>
    <row r="132" spans="1:17" x14ac:dyDescent="0.25">
      <c r="A132" s="35"/>
      <c r="B132" s="35"/>
      <c r="C132" s="36" t="str">
        <f>IFERROR(VLOOKUP($A132,'Manhole Rate'!$A$1:$AC$4,MATCH($B132,'Manhole Rate'!$B$1:$AC$1,0)+1,0),"N/F")</f>
        <v>N/F</v>
      </c>
      <c r="D132" s="65"/>
      <c r="E132" s="51"/>
      <c r="F132" s="68"/>
      <c r="G132" s="72"/>
      <c r="H132" s="55"/>
      <c r="I132" s="77"/>
      <c r="J132" s="53"/>
      <c r="K132" s="65">
        <f t="shared" si="28"/>
        <v>0</v>
      </c>
      <c r="L132" s="51">
        <f t="shared" si="29"/>
        <v>0</v>
      </c>
      <c r="M132" s="68">
        <f t="shared" si="30"/>
        <v>0</v>
      </c>
      <c r="N132" s="72">
        <f t="shared" si="31"/>
        <v>0</v>
      </c>
      <c r="O132" s="55">
        <f t="shared" si="32"/>
        <v>0</v>
      </c>
      <c r="P132" s="77">
        <f t="shared" si="33"/>
        <v>0</v>
      </c>
      <c r="Q132" s="53">
        <f t="shared" si="34"/>
        <v>0</v>
      </c>
    </row>
    <row r="133" spans="1:17" x14ac:dyDescent="0.25">
      <c r="A133" s="35"/>
      <c r="B133" s="35"/>
      <c r="C133" s="36" t="str">
        <f>IFERROR(VLOOKUP($A133,'Manhole Rate'!$A$1:$AC$4,MATCH($B133,'Manhole Rate'!$B$1:$AC$1,0)+1,0),"N/F")</f>
        <v>N/F</v>
      </c>
      <c r="D133" s="65"/>
      <c r="E133" s="51"/>
      <c r="F133" s="68"/>
      <c r="G133" s="72"/>
      <c r="H133" s="55"/>
      <c r="I133" s="77"/>
      <c r="J133" s="53"/>
      <c r="K133" s="65">
        <f t="shared" si="28"/>
        <v>0</v>
      </c>
      <c r="L133" s="51">
        <f t="shared" si="29"/>
        <v>0</v>
      </c>
      <c r="M133" s="68">
        <f t="shared" si="30"/>
        <v>0</v>
      </c>
      <c r="N133" s="72">
        <f t="shared" si="31"/>
        <v>0</v>
      </c>
      <c r="O133" s="55">
        <f t="shared" si="32"/>
        <v>0</v>
      </c>
      <c r="P133" s="77">
        <f t="shared" si="33"/>
        <v>0</v>
      </c>
      <c r="Q133" s="53">
        <f t="shared" si="34"/>
        <v>0</v>
      </c>
    </row>
    <row r="134" spans="1:17" x14ac:dyDescent="0.25">
      <c r="A134" s="35"/>
      <c r="B134" s="35"/>
      <c r="C134" s="36" t="str">
        <f>IFERROR(VLOOKUP($A134,'Manhole Rate'!$A$1:$AC$4,MATCH($B134,'Manhole Rate'!$B$1:$AC$1,0)+1,0),"N/F")</f>
        <v>N/F</v>
      </c>
      <c r="D134" s="65"/>
      <c r="E134" s="51"/>
      <c r="F134" s="68"/>
      <c r="G134" s="72"/>
      <c r="H134" s="55"/>
      <c r="I134" s="77"/>
      <c r="J134" s="53"/>
      <c r="K134" s="65">
        <f t="shared" si="28"/>
        <v>0</v>
      </c>
      <c r="L134" s="51">
        <f t="shared" si="29"/>
        <v>0</v>
      </c>
      <c r="M134" s="68">
        <f t="shared" si="30"/>
        <v>0</v>
      </c>
      <c r="N134" s="72">
        <f t="shared" si="31"/>
        <v>0</v>
      </c>
      <c r="O134" s="55">
        <f t="shared" si="32"/>
        <v>0</v>
      </c>
      <c r="P134" s="77">
        <f t="shared" si="33"/>
        <v>0</v>
      </c>
      <c r="Q134" s="53">
        <f t="shared" si="34"/>
        <v>0</v>
      </c>
    </row>
    <row r="135" spans="1:17" x14ac:dyDescent="0.25">
      <c r="A135" s="35"/>
      <c r="B135" s="35"/>
      <c r="C135" s="36" t="str">
        <f>IFERROR(VLOOKUP($A135,'Manhole Rate'!$A$1:$AC$4,MATCH($B135,'Manhole Rate'!$B$1:$AC$1,0)+1,0),"N/F")</f>
        <v>N/F</v>
      </c>
      <c r="D135" s="65"/>
      <c r="E135" s="51"/>
      <c r="F135" s="68"/>
      <c r="G135" s="72"/>
      <c r="H135" s="55"/>
      <c r="I135" s="77"/>
      <c r="J135" s="53"/>
      <c r="K135" s="65">
        <f t="shared" si="28"/>
        <v>0</v>
      </c>
      <c r="L135" s="51">
        <f t="shared" si="29"/>
        <v>0</v>
      </c>
      <c r="M135" s="68">
        <f t="shared" si="30"/>
        <v>0</v>
      </c>
      <c r="N135" s="72">
        <f t="shared" si="31"/>
        <v>0</v>
      </c>
      <c r="O135" s="55">
        <f t="shared" si="32"/>
        <v>0</v>
      </c>
      <c r="P135" s="77">
        <f t="shared" si="33"/>
        <v>0</v>
      </c>
      <c r="Q135" s="53">
        <f t="shared" si="34"/>
        <v>0</v>
      </c>
    </row>
    <row r="136" spans="1:17" x14ac:dyDescent="0.25">
      <c r="A136" s="35"/>
      <c r="B136" s="35"/>
      <c r="C136" s="36" t="str">
        <f>IFERROR(VLOOKUP($A136,'Manhole Rate'!$A$1:$AC$4,MATCH($B136,'Manhole Rate'!$B$1:$AC$1,0)+1,0),"N/F")</f>
        <v>N/F</v>
      </c>
      <c r="D136" s="65"/>
      <c r="E136" s="51"/>
      <c r="F136" s="68"/>
      <c r="G136" s="72"/>
      <c r="H136" s="55"/>
      <c r="I136" s="77"/>
      <c r="J136" s="53"/>
      <c r="K136" s="65">
        <f t="shared" si="28"/>
        <v>0</v>
      </c>
      <c r="L136" s="51">
        <f t="shared" si="29"/>
        <v>0</v>
      </c>
      <c r="M136" s="68">
        <f t="shared" si="30"/>
        <v>0</v>
      </c>
      <c r="N136" s="72">
        <f t="shared" si="31"/>
        <v>0</v>
      </c>
      <c r="O136" s="55">
        <f t="shared" si="32"/>
        <v>0</v>
      </c>
      <c r="P136" s="77">
        <f t="shared" si="33"/>
        <v>0</v>
      </c>
      <c r="Q136" s="53">
        <f t="shared" si="34"/>
        <v>0</v>
      </c>
    </row>
    <row r="137" spans="1:17" x14ac:dyDescent="0.25">
      <c r="A137" s="35"/>
      <c r="B137" s="35"/>
      <c r="C137" s="36" t="str">
        <f>IFERROR(VLOOKUP($A137,'Manhole Rate'!$A$1:$AC$4,MATCH($B137,'Manhole Rate'!$B$1:$AC$1,0)+1,0),"N/F")</f>
        <v>N/F</v>
      </c>
      <c r="D137" s="65"/>
      <c r="E137" s="51"/>
      <c r="F137" s="68"/>
      <c r="G137" s="72"/>
      <c r="H137" s="55"/>
      <c r="I137" s="77"/>
      <c r="J137" s="53"/>
      <c r="K137" s="65">
        <f t="shared" si="28"/>
        <v>0</v>
      </c>
      <c r="L137" s="51">
        <f t="shared" si="29"/>
        <v>0</v>
      </c>
      <c r="M137" s="68">
        <f t="shared" si="30"/>
        <v>0</v>
      </c>
      <c r="N137" s="72">
        <f t="shared" si="31"/>
        <v>0</v>
      </c>
      <c r="O137" s="55">
        <f t="shared" si="32"/>
        <v>0</v>
      </c>
      <c r="P137" s="77">
        <f t="shared" si="33"/>
        <v>0</v>
      </c>
      <c r="Q137" s="53">
        <f t="shared" si="34"/>
        <v>0</v>
      </c>
    </row>
    <row r="138" spans="1:17" x14ac:dyDescent="0.25">
      <c r="A138" s="35"/>
      <c r="B138" s="35"/>
      <c r="C138" s="36" t="str">
        <f>IFERROR(VLOOKUP($A138,'Manhole Rate'!$A$1:$AC$4,MATCH($B138,'Manhole Rate'!$B$1:$AC$1,0)+1,0),"N/F")</f>
        <v>N/F</v>
      </c>
      <c r="D138" s="65"/>
      <c r="E138" s="51"/>
      <c r="F138" s="68"/>
      <c r="G138" s="72"/>
      <c r="H138" s="55"/>
      <c r="I138" s="77"/>
      <c r="J138" s="53"/>
      <c r="K138" s="65">
        <f t="shared" si="28"/>
        <v>0</v>
      </c>
      <c r="L138" s="51">
        <f t="shared" si="29"/>
        <v>0</v>
      </c>
      <c r="M138" s="68">
        <f t="shared" si="30"/>
        <v>0</v>
      </c>
      <c r="N138" s="72">
        <f t="shared" si="31"/>
        <v>0</v>
      </c>
      <c r="O138" s="55">
        <f t="shared" si="32"/>
        <v>0</v>
      </c>
      <c r="P138" s="77">
        <f t="shared" si="33"/>
        <v>0</v>
      </c>
      <c r="Q138" s="53">
        <f t="shared" si="34"/>
        <v>0</v>
      </c>
    </row>
    <row r="139" spans="1:17" x14ac:dyDescent="0.25">
      <c r="A139" s="35"/>
      <c r="B139" s="35"/>
      <c r="C139" s="36" t="str">
        <f>IFERROR(VLOOKUP($A139,'Manhole Rate'!$A$1:$AC$4,MATCH($B139,'Manhole Rate'!$B$1:$AC$1,0)+1,0),"N/F")</f>
        <v>N/F</v>
      </c>
      <c r="D139" s="65"/>
      <c r="E139" s="51"/>
      <c r="F139" s="68"/>
      <c r="G139" s="72"/>
      <c r="H139" s="55"/>
      <c r="I139" s="77"/>
      <c r="J139" s="53"/>
      <c r="K139" s="65">
        <f t="shared" si="28"/>
        <v>0</v>
      </c>
      <c r="L139" s="51">
        <f t="shared" si="29"/>
        <v>0</v>
      </c>
      <c r="M139" s="68">
        <f t="shared" si="30"/>
        <v>0</v>
      </c>
      <c r="N139" s="72">
        <f t="shared" si="31"/>
        <v>0</v>
      </c>
      <c r="O139" s="55">
        <f t="shared" si="32"/>
        <v>0</v>
      </c>
      <c r="P139" s="77">
        <f t="shared" si="33"/>
        <v>0</v>
      </c>
      <c r="Q139" s="53">
        <f t="shared" si="34"/>
        <v>0</v>
      </c>
    </row>
    <row r="140" spans="1:17" x14ac:dyDescent="0.25">
      <c r="A140" s="35"/>
      <c r="B140" s="35"/>
      <c r="C140" s="36" t="str">
        <f>IFERROR(VLOOKUP($A140,'Manhole Rate'!$A$1:$AC$4,MATCH($B140,'Manhole Rate'!$B$1:$AC$1,0)+1,0),"N/F")</f>
        <v>N/F</v>
      </c>
      <c r="D140" s="65"/>
      <c r="E140" s="51"/>
      <c r="F140" s="68"/>
      <c r="G140" s="72"/>
      <c r="H140" s="55"/>
      <c r="I140" s="77"/>
      <c r="J140" s="53"/>
      <c r="K140" s="65">
        <f t="shared" si="28"/>
        <v>0</v>
      </c>
      <c r="L140" s="51">
        <f t="shared" si="29"/>
        <v>0</v>
      </c>
      <c r="M140" s="68">
        <f t="shared" si="30"/>
        <v>0</v>
      </c>
      <c r="N140" s="72">
        <f t="shared" si="31"/>
        <v>0</v>
      </c>
      <c r="O140" s="55">
        <f t="shared" si="32"/>
        <v>0</v>
      </c>
      <c r="P140" s="77">
        <f t="shared" si="33"/>
        <v>0</v>
      </c>
      <c r="Q140" s="53">
        <f t="shared" si="34"/>
        <v>0</v>
      </c>
    </row>
    <row r="141" spans="1:17" x14ac:dyDescent="0.25">
      <c r="A141" s="35"/>
      <c r="B141" s="35"/>
      <c r="C141" s="36" t="str">
        <f>IFERROR(VLOOKUP($A141,'Manhole Rate'!$A$1:$AC$4,MATCH($B141,'Manhole Rate'!$B$1:$AC$1,0)+1,0),"N/F")</f>
        <v>N/F</v>
      </c>
      <c r="D141" s="65"/>
      <c r="E141" s="51"/>
      <c r="F141" s="68"/>
      <c r="G141" s="72"/>
      <c r="H141" s="55"/>
      <c r="I141" s="77"/>
      <c r="J141" s="53"/>
      <c r="K141" s="65">
        <f t="shared" si="28"/>
        <v>0</v>
      </c>
      <c r="L141" s="51">
        <f t="shared" si="29"/>
        <v>0</v>
      </c>
      <c r="M141" s="68">
        <f t="shared" si="30"/>
        <v>0</v>
      </c>
      <c r="N141" s="72">
        <f t="shared" si="31"/>
        <v>0</v>
      </c>
      <c r="O141" s="55">
        <f t="shared" si="32"/>
        <v>0</v>
      </c>
      <c r="P141" s="77">
        <f t="shared" si="33"/>
        <v>0</v>
      </c>
      <c r="Q141" s="53">
        <f t="shared" si="34"/>
        <v>0</v>
      </c>
    </row>
    <row r="142" spans="1:17" x14ac:dyDescent="0.25">
      <c r="A142" s="35"/>
      <c r="B142" s="35"/>
      <c r="C142" s="36" t="str">
        <f>IFERROR(VLOOKUP($A142,'Manhole Rate'!$A$1:$AC$4,MATCH($B142,'Manhole Rate'!$B$1:$AC$1,0)+1,0),"N/F")</f>
        <v>N/F</v>
      </c>
      <c r="D142" s="65"/>
      <c r="E142" s="51"/>
      <c r="F142" s="68"/>
      <c r="G142" s="72"/>
      <c r="H142" s="55"/>
      <c r="I142" s="77"/>
      <c r="J142" s="53"/>
      <c r="K142" s="65">
        <f t="shared" si="28"/>
        <v>0</v>
      </c>
      <c r="L142" s="51">
        <f t="shared" si="29"/>
        <v>0</v>
      </c>
      <c r="M142" s="68">
        <f t="shared" si="30"/>
        <v>0</v>
      </c>
      <c r="N142" s="72">
        <f t="shared" si="31"/>
        <v>0</v>
      </c>
      <c r="O142" s="55">
        <f t="shared" si="32"/>
        <v>0</v>
      </c>
      <c r="P142" s="77">
        <f t="shared" si="33"/>
        <v>0</v>
      </c>
      <c r="Q142" s="53">
        <f t="shared" si="34"/>
        <v>0</v>
      </c>
    </row>
    <row r="143" spans="1:17" x14ac:dyDescent="0.25">
      <c r="A143" s="35"/>
      <c r="B143" s="35"/>
      <c r="C143" s="36" t="str">
        <f>IFERROR(VLOOKUP($A143,'Manhole Rate'!$A$1:$AC$4,MATCH($B143,'Manhole Rate'!$B$1:$AC$1,0)+1,0),"N/F")</f>
        <v>N/F</v>
      </c>
      <c r="D143" s="65"/>
      <c r="E143" s="51"/>
      <c r="F143" s="68"/>
      <c r="G143" s="72"/>
      <c r="H143" s="55"/>
      <c r="I143" s="77"/>
      <c r="J143" s="53"/>
      <c r="K143" s="65">
        <f t="shared" si="28"/>
        <v>0</v>
      </c>
      <c r="L143" s="51">
        <f t="shared" si="29"/>
        <v>0</v>
      </c>
      <c r="M143" s="68">
        <f t="shared" si="30"/>
        <v>0</v>
      </c>
      <c r="N143" s="72">
        <f t="shared" si="31"/>
        <v>0</v>
      </c>
      <c r="O143" s="55">
        <f t="shared" si="32"/>
        <v>0</v>
      </c>
      <c r="P143" s="77">
        <f t="shared" si="33"/>
        <v>0</v>
      </c>
      <c r="Q143" s="53">
        <f t="shared" si="34"/>
        <v>0</v>
      </c>
    </row>
    <row r="144" spans="1:17" x14ac:dyDescent="0.25">
      <c r="A144" s="35"/>
      <c r="B144" s="35"/>
      <c r="C144" s="36" t="str">
        <f>IFERROR(VLOOKUP($A144,'Manhole Rate'!$A$1:$AC$4,MATCH($B144,'Manhole Rate'!$B$1:$AC$1,0)+1,0),"N/F")</f>
        <v>N/F</v>
      </c>
      <c r="D144" s="65"/>
      <c r="E144" s="51"/>
      <c r="F144" s="68"/>
      <c r="G144" s="72"/>
      <c r="H144" s="55"/>
      <c r="I144" s="77"/>
      <c r="J144" s="53"/>
      <c r="K144" s="65">
        <f t="shared" si="28"/>
        <v>0</v>
      </c>
      <c r="L144" s="51">
        <f t="shared" si="29"/>
        <v>0</v>
      </c>
      <c r="M144" s="68">
        <f t="shared" si="30"/>
        <v>0</v>
      </c>
      <c r="N144" s="72">
        <f t="shared" si="31"/>
        <v>0</v>
      </c>
      <c r="O144" s="55">
        <f t="shared" si="32"/>
        <v>0</v>
      </c>
      <c r="P144" s="77">
        <f t="shared" si="33"/>
        <v>0</v>
      </c>
      <c r="Q144" s="53">
        <f t="shared" si="34"/>
        <v>0</v>
      </c>
    </row>
    <row r="145" spans="1:17" x14ac:dyDescent="0.25">
      <c r="A145" s="35"/>
      <c r="B145" s="35"/>
      <c r="C145" s="36" t="str">
        <f>IFERROR(VLOOKUP($A145,'Manhole Rate'!$A$1:$AC$4,MATCH($B145,'Manhole Rate'!$B$1:$AC$1,0)+1,0),"N/F")</f>
        <v>N/F</v>
      </c>
      <c r="D145" s="65"/>
      <c r="E145" s="51"/>
      <c r="F145" s="68"/>
      <c r="G145" s="72"/>
      <c r="H145" s="55"/>
      <c r="I145" s="77"/>
      <c r="J145" s="53"/>
      <c r="K145" s="65">
        <f t="shared" si="28"/>
        <v>0</v>
      </c>
      <c r="L145" s="51">
        <f t="shared" si="29"/>
        <v>0</v>
      </c>
      <c r="M145" s="68">
        <f t="shared" si="30"/>
        <v>0</v>
      </c>
      <c r="N145" s="72">
        <f t="shared" si="31"/>
        <v>0</v>
      </c>
      <c r="O145" s="55">
        <f t="shared" si="32"/>
        <v>0</v>
      </c>
      <c r="P145" s="77">
        <f t="shared" si="33"/>
        <v>0</v>
      </c>
      <c r="Q145" s="53">
        <f t="shared" si="34"/>
        <v>0</v>
      </c>
    </row>
    <row r="146" spans="1:17" x14ac:dyDescent="0.25">
      <c r="A146" s="35"/>
      <c r="B146" s="35"/>
      <c r="C146" s="36" t="str">
        <f>IFERROR(VLOOKUP($A146,'Manhole Rate'!$A$1:$AC$4,MATCH($B146,'Manhole Rate'!$B$1:$AC$1,0)+1,0),"N/F")</f>
        <v>N/F</v>
      </c>
      <c r="D146" s="65"/>
      <c r="E146" s="51"/>
      <c r="F146" s="68"/>
      <c r="G146" s="72"/>
      <c r="H146" s="55"/>
      <c r="I146" s="77"/>
      <c r="J146" s="53"/>
      <c r="K146" s="65">
        <f t="shared" si="28"/>
        <v>0</v>
      </c>
      <c r="L146" s="51">
        <f t="shared" si="29"/>
        <v>0</v>
      </c>
      <c r="M146" s="68">
        <f t="shared" si="30"/>
        <v>0</v>
      </c>
      <c r="N146" s="72">
        <f t="shared" si="31"/>
        <v>0</v>
      </c>
      <c r="O146" s="55">
        <f t="shared" si="32"/>
        <v>0</v>
      </c>
      <c r="P146" s="77">
        <f t="shared" si="33"/>
        <v>0</v>
      </c>
      <c r="Q146" s="53">
        <f t="shared" si="34"/>
        <v>0</v>
      </c>
    </row>
    <row r="147" spans="1:17" x14ac:dyDescent="0.25">
      <c r="A147" s="35"/>
      <c r="B147" s="35"/>
      <c r="C147" s="36" t="str">
        <f>IFERROR(VLOOKUP($A147,'Manhole Rate'!$A$1:$AC$4,MATCH($B147,'Manhole Rate'!$B$1:$AC$1,0)+1,0),"N/F")</f>
        <v>N/F</v>
      </c>
      <c r="D147" s="65"/>
      <c r="E147" s="51"/>
      <c r="F147" s="68"/>
      <c r="G147" s="72"/>
      <c r="H147" s="55"/>
      <c r="I147" s="77"/>
      <c r="J147" s="53"/>
      <c r="K147" s="65">
        <f t="shared" si="28"/>
        <v>0</v>
      </c>
      <c r="L147" s="51">
        <f t="shared" si="29"/>
        <v>0</v>
      </c>
      <c r="M147" s="68">
        <f t="shared" si="30"/>
        <v>0</v>
      </c>
      <c r="N147" s="72">
        <f t="shared" si="31"/>
        <v>0</v>
      </c>
      <c r="O147" s="55">
        <f t="shared" si="32"/>
        <v>0</v>
      </c>
      <c r="P147" s="77">
        <f t="shared" si="33"/>
        <v>0</v>
      </c>
      <c r="Q147" s="53">
        <f t="shared" si="34"/>
        <v>0</v>
      </c>
    </row>
    <row r="148" spans="1:17" x14ac:dyDescent="0.25">
      <c r="A148" s="35"/>
      <c r="B148" s="35"/>
      <c r="C148" s="36" t="str">
        <f>IFERROR(VLOOKUP($A148,'Manhole Rate'!$A$1:$AC$4,MATCH($B148,'Manhole Rate'!$B$1:$AC$1,0)+1,0),"N/F")</f>
        <v>N/F</v>
      </c>
      <c r="D148" s="65"/>
      <c r="E148" s="51"/>
      <c r="F148" s="68"/>
      <c r="G148" s="72"/>
      <c r="H148" s="55"/>
      <c r="I148" s="77"/>
      <c r="J148" s="53"/>
      <c r="K148" s="65">
        <f t="shared" si="28"/>
        <v>0</v>
      </c>
      <c r="L148" s="51">
        <f t="shared" si="29"/>
        <v>0</v>
      </c>
      <c r="M148" s="68">
        <f t="shared" si="30"/>
        <v>0</v>
      </c>
      <c r="N148" s="72">
        <f t="shared" si="31"/>
        <v>0</v>
      </c>
      <c r="O148" s="55">
        <f t="shared" si="32"/>
        <v>0</v>
      </c>
      <c r="P148" s="77">
        <f t="shared" si="33"/>
        <v>0</v>
      </c>
      <c r="Q148" s="53">
        <f t="shared" si="34"/>
        <v>0</v>
      </c>
    </row>
    <row r="149" spans="1:17" x14ac:dyDescent="0.25">
      <c r="A149" s="35"/>
      <c r="B149" s="35"/>
      <c r="C149" s="36" t="str">
        <f>IFERROR(VLOOKUP($A149,'Manhole Rate'!$A$1:$AC$4,MATCH($B149,'Manhole Rate'!$B$1:$AC$1,0)+1,0),"N/F")</f>
        <v>N/F</v>
      </c>
      <c r="D149" s="65"/>
      <c r="E149" s="51"/>
      <c r="F149" s="68"/>
      <c r="G149" s="72"/>
      <c r="H149" s="55"/>
      <c r="I149" s="77"/>
      <c r="J149" s="53"/>
      <c r="K149" s="65">
        <f t="shared" si="28"/>
        <v>0</v>
      </c>
      <c r="L149" s="51">
        <f t="shared" si="29"/>
        <v>0</v>
      </c>
      <c r="M149" s="68">
        <f t="shared" si="30"/>
        <v>0</v>
      </c>
      <c r="N149" s="72">
        <f t="shared" si="31"/>
        <v>0</v>
      </c>
      <c r="O149" s="55">
        <f t="shared" si="32"/>
        <v>0</v>
      </c>
      <c r="P149" s="77">
        <f t="shared" si="33"/>
        <v>0</v>
      </c>
      <c r="Q149" s="53">
        <f t="shared" si="34"/>
        <v>0</v>
      </c>
    </row>
    <row r="150" spans="1:17" x14ac:dyDescent="0.25">
      <c r="A150" s="35"/>
      <c r="B150" s="35"/>
      <c r="C150" s="36" t="str">
        <f>IFERROR(VLOOKUP($A150,'Manhole Rate'!$A$1:$AC$4,MATCH($B150,'Manhole Rate'!$B$1:$AC$1,0)+1,0),"N/F")</f>
        <v>N/F</v>
      </c>
      <c r="D150" s="65"/>
      <c r="E150" s="51"/>
      <c r="F150" s="68"/>
      <c r="G150" s="72"/>
      <c r="H150" s="55"/>
      <c r="I150" s="77"/>
      <c r="J150" s="53"/>
      <c r="K150" s="65">
        <f t="shared" si="28"/>
        <v>0</v>
      </c>
      <c r="L150" s="51">
        <f t="shared" si="29"/>
        <v>0</v>
      </c>
      <c r="M150" s="68">
        <f t="shared" si="30"/>
        <v>0</v>
      </c>
      <c r="N150" s="72">
        <f t="shared" si="31"/>
        <v>0</v>
      </c>
      <c r="O150" s="55">
        <f t="shared" si="32"/>
        <v>0</v>
      </c>
      <c r="P150" s="77">
        <f t="shared" si="33"/>
        <v>0</v>
      </c>
      <c r="Q150" s="53">
        <f t="shared" si="34"/>
        <v>0</v>
      </c>
    </row>
    <row r="151" spans="1:17" x14ac:dyDescent="0.25">
      <c r="A151" s="35"/>
      <c r="B151" s="35"/>
      <c r="C151" s="36" t="str">
        <f>IFERROR(VLOOKUP($A151,'Manhole Rate'!$A$1:$AC$4,MATCH($B151,'Manhole Rate'!$B$1:$AC$1,0)+1,0),"N/F")</f>
        <v>N/F</v>
      </c>
      <c r="D151" s="65"/>
      <c r="E151" s="51"/>
      <c r="F151" s="68"/>
      <c r="G151" s="72"/>
      <c r="H151" s="55"/>
      <c r="I151" s="77"/>
      <c r="J151" s="53"/>
      <c r="K151" s="65">
        <f t="shared" si="28"/>
        <v>0</v>
      </c>
      <c r="L151" s="51">
        <f t="shared" si="29"/>
        <v>0</v>
      </c>
      <c r="M151" s="68">
        <f t="shared" si="30"/>
        <v>0</v>
      </c>
      <c r="N151" s="72">
        <f t="shared" si="31"/>
        <v>0</v>
      </c>
      <c r="O151" s="55">
        <f t="shared" si="32"/>
        <v>0</v>
      </c>
      <c r="P151" s="77">
        <f t="shared" si="33"/>
        <v>0</v>
      </c>
      <c r="Q151" s="53">
        <f t="shared" si="34"/>
        <v>0</v>
      </c>
    </row>
    <row r="152" spans="1:17" x14ac:dyDescent="0.25">
      <c r="A152" s="35"/>
      <c r="B152" s="35"/>
      <c r="C152" s="36" t="str">
        <f>IFERROR(VLOOKUP($A152,'Manhole Rate'!$A$1:$AC$4,MATCH($B152,'Manhole Rate'!$B$1:$AC$1,0)+1,0),"N/F")</f>
        <v>N/F</v>
      </c>
      <c r="D152" s="65"/>
      <c r="E152" s="51"/>
      <c r="F152" s="68"/>
      <c r="G152" s="72"/>
      <c r="H152" s="55"/>
      <c r="I152" s="77"/>
      <c r="J152" s="53"/>
      <c r="K152" s="65">
        <f t="shared" si="28"/>
        <v>0</v>
      </c>
      <c r="L152" s="51">
        <f t="shared" si="29"/>
        <v>0</v>
      </c>
      <c r="M152" s="68">
        <f t="shared" si="30"/>
        <v>0</v>
      </c>
      <c r="N152" s="72">
        <f t="shared" si="31"/>
        <v>0</v>
      </c>
      <c r="O152" s="55">
        <f t="shared" si="32"/>
        <v>0</v>
      </c>
      <c r="P152" s="77">
        <f t="shared" si="33"/>
        <v>0</v>
      </c>
      <c r="Q152" s="53">
        <f t="shared" si="34"/>
        <v>0</v>
      </c>
    </row>
    <row r="153" spans="1:17" x14ac:dyDescent="0.25">
      <c r="A153" s="35"/>
      <c r="B153" s="35"/>
      <c r="C153" s="36" t="str">
        <f>IFERROR(VLOOKUP($A153,'Manhole Rate'!$A$1:$AC$4,MATCH($B153,'Manhole Rate'!$B$1:$AC$1,0)+1,0),"N/F")</f>
        <v>N/F</v>
      </c>
      <c r="D153" s="65"/>
      <c r="E153" s="51"/>
      <c r="F153" s="68"/>
      <c r="G153" s="72"/>
      <c r="H153" s="55"/>
      <c r="I153" s="77"/>
      <c r="J153" s="53"/>
      <c r="K153" s="65">
        <f t="shared" si="28"/>
        <v>0</v>
      </c>
      <c r="L153" s="51">
        <f t="shared" si="29"/>
        <v>0</v>
      </c>
      <c r="M153" s="68">
        <f t="shared" si="30"/>
        <v>0</v>
      </c>
      <c r="N153" s="72">
        <f t="shared" si="31"/>
        <v>0</v>
      </c>
      <c r="O153" s="55">
        <f t="shared" si="32"/>
        <v>0</v>
      </c>
      <c r="P153" s="77">
        <f t="shared" si="33"/>
        <v>0</v>
      </c>
      <c r="Q153" s="53">
        <f t="shared" si="34"/>
        <v>0</v>
      </c>
    </row>
    <row r="154" spans="1:17" x14ac:dyDescent="0.25">
      <c r="A154" s="35"/>
      <c r="B154" s="35"/>
      <c r="C154" s="36" t="str">
        <f>IFERROR(VLOOKUP($A154,'Manhole Rate'!$A$1:$AC$4,MATCH($B154,'Manhole Rate'!$B$1:$AC$1,0)+1,0),"N/F")</f>
        <v>N/F</v>
      </c>
      <c r="D154" s="65"/>
      <c r="E154" s="51"/>
      <c r="F154" s="68"/>
      <c r="G154" s="72"/>
      <c r="H154" s="55"/>
      <c r="I154" s="77"/>
      <c r="J154" s="53"/>
      <c r="K154" s="65">
        <f t="shared" si="28"/>
        <v>0</v>
      </c>
      <c r="L154" s="51">
        <f t="shared" si="29"/>
        <v>0</v>
      </c>
      <c r="M154" s="68">
        <f t="shared" si="30"/>
        <v>0</v>
      </c>
      <c r="N154" s="72">
        <f t="shared" si="31"/>
        <v>0</v>
      </c>
      <c r="O154" s="55">
        <f t="shared" si="32"/>
        <v>0</v>
      </c>
      <c r="P154" s="77">
        <f t="shared" si="33"/>
        <v>0</v>
      </c>
      <c r="Q154" s="53">
        <f t="shared" si="34"/>
        <v>0</v>
      </c>
    </row>
    <row r="155" spans="1:17" x14ac:dyDescent="0.25">
      <c r="A155" s="35"/>
      <c r="B155" s="35"/>
      <c r="C155" s="36" t="str">
        <f>IFERROR(VLOOKUP($A155,'Manhole Rate'!$A$1:$AC$4,MATCH($B155,'Manhole Rate'!$B$1:$AC$1,0)+1,0),"N/F")</f>
        <v>N/F</v>
      </c>
      <c r="D155" s="65"/>
      <c r="E155" s="51"/>
      <c r="F155" s="68"/>
      <c r="G155" s="72"/>
      <c r="H155" s="55"/>
      <c r="I155" s="77"/>
      <c r="J155" s="53"/>
      <c r="K155" s="65">
        <f t="shared" si="28"/>
        <v>0</v>
      </c>
      <c r="L155" s="51">
        <f t="shared" si="29"/>
        <v>0</v>
      </c>
      <c r="M155" s="68">
        <f t="shared" si="30"/>
        <v>0</v>
      </c>
      <c r="N155" s="72">
        <f t="shared" si="31"/>
        <v>0</v>
      </c>
      <c r="O155" s="55">
        <f t="shared" si="32"/>
        <v>0</v>
      </c>
      <c r="P155" s="77">
        <f t="shared" si="33"/>
        <v>0</v>
      </c>
      <c r="Q155" s="53">
        <f t="shared" si="34"/>
        <v>0</v>
      </c>
    </row>
    <row r="156" spans="1:17" x14ac:dyDescent="0.25">
      <c r="A156" s="35"/>
      <c r="B156" s="35"/>
      <c r="C156" s="36" t="str">
        <f>IFERROR(VLOOKUP($A156,'Manhole Rate'!$A$1:$AC$4,MATCH($B156,'Manhole Rate'!$B$1:$AC$1,0)+1,0),"N/F")</f>
        <v>N/F</v>
      </c>
      <c r="D156" s="65"/>
      <c r="E156" s="51"/>
      <c r="F156" s="68"/>
      <c r="G156" s="72"/>
      <c r="H156" s="55"/>
      <c r="I156" s="77"/>
      <c r="J156" s="53"/>
      <c r="K156" s="65">
        <f t="shared" si="28"/>
        <v>0</v>
      </c>
      <c r="L156" s="51">
        <f t="shared" si="29"/>
        <v>0</v>
      </c>
      <c r="M156" s="68">
        <f t="shared" si="30"/>
        <v>0</v>
      </c>
      <c r="N156" s="72">
        <f t="shared" si="31"/>
        <v>0</v>
      </c>
      <c r="O156" s="55">
        <f t="shared" si="32"/>
        <v>0</v>
      </c>
      <c r="P156" s="77">
        <f t="shared" si="33"/>
        <v>0</v>
      </c>
      <c r="Q156" s="53">
        <f t="shared" si="34"/>
        <v>0</v>
      </c>
    </row>
    <row r="157" spans="1:17" x14ac:dyDescent="0.25">
      <c r="A157" s="35"/>
      <c r="B157" s="35"/>
      <c r="C157" s="36" t="str">
        <f>IFERROR(VLOOKUP($A157,'Manhole Rate'!$A$1:$AC$4,MATCH($B157,'Manhole Rate'!$B$1:$AC$1,0)+1,0),"N/F")</f>
        <v>N/F</v>
      </c>
      <c r="D157" s="65"/>
      <c r="E157" s="51"/>
      <c r="F157" s="68"/>
      <c r="G157" s="72"/>
      <c r="H157" s="55"/>
      <c r="I157" s="77"/>
      <c r="J157" s="53"/>
      <c r="K157" s="65">
        <f t="shared" si="28"/>
        <v>0</v>
      </c>
      <c r="L157" s="51">
        <f t="shared" si="29"/>
        <v>0</v>
      </c>
      <c r="M157" s="68">
        <f t="shared" si="30"/>
        <v>0</v>
      </c>
      <c r="N157" s="72">
        <f t="shared" si="31"/>
        <v>0</v>
      </c>
      <c r="O157" s="55">
        <f t="shared" si="32"/>
        <v>0</v>
      </c>
      <c r="P157" s="77">
        <f t="shared" si="33"/>
        <v>0</v>
      </c>
      <c r="Q157" s="53">
        <f t="shared" si="34"/>
        <v>0</v>
      </c>
    </row>
    <row r="158" spans="1:17" ht="28.5" customHeight="1" x14ac:dyDescent="0.25">
      <c r="A158" s="256" t="s">
        <v>32</v>
      </c>
      <c r="B158" s="257"/>
      <c r="C158" s="258"/>
      <c r="D158" s="63">
        <f t="shared" ref="D158:Q158" si="35">SUM(D3:D157)</f>
        <v>19082</v>
      </c>
      <c r="E158" s="45">
        <f t="shared" si="35"/>
        <v>19082</v>
      </c>
      <c r="F158" s="44">
        <f t="shared" si="35"/>
        <v>19082</v>
      </c>
      <c r="G158" s="70">
        <f t="shared" si="35"/>
        <v>19082</v>
      </c>
      <c r="H158" s="74">
        <f t="shared" si="35"/>
        <v>19082</v>
      </c>
      <c r="I158" s="42">
        <f t="shared" si="35"/>
        <v>19082</v>
      </c>
      <c r="J158" s="43">
        <f t="shared" si="35"/>
        <v>19082</v>
      </c>
      <c r="K158" s="63">
        <f t="shared" si="35"/>
        <v>29599890.203071013</v>
      </c>
      <c r="L158" s="45">
        <f t="shared" si="35"/>
        <v>29539916.878826592</v>
      </c>
      <c r="M158" s="44">
        <f t="shared" si="35"/>
        <v>29537134.13715696</v>
      </c>
      <c r="N158" s="70">
        <f t="shared" si="35"/>
        <v>29574898.454523709</v>
      </c>
      <c r="O158" s="74">
        <f t="shared" si="35"/>
        <v>29523883.303664774</v>
      </c>
      <c r="P158" s="42">
        <f t="shared" si="35"/>
        <v>29535501.379354183</v>
      </c>
      <c r="Q158" s="43">
        <f t="shared" si="35"/>
        <v>29611508.278760418</v>
      </c>
    </row>
  </sheetData>
  <mergeCells count="4">
    <mergeCell ref="A1:A2"/>
    <mergeCell ref="B1:B2"/>
    <mergeCell ref="C1:C2"/>
    <mergeCell ref="A158:C158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D273D518-9541-4D50-8279-E905B6F12747}">
          <x14:formula1>
            <xm:f>'Manhole Rate'!$B$1:$AC$1</xm:f>
          </x14:formula1>
          <xm:sqref>B3:B157</xm:sqref>
        </x14:dataValidation>
        <x14:dataValidation type="list" allowBlank="1" showInputMessage="1" showErrorMessage="1" xr:uid="{B2E38F5C-799C-4C4A-8A50-198B3F25B801}">
          <x14:formula1>
            <xm:f>'Manhole Rate'!$A$2:$A$4</xm:f>
          </x14:formula1>
          <xm:sqref>A3:A157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57F1D-3849-412B-A7AA-E4F4F5EF2382}">
  <dimension ref="A1:P15"/>
  <sheetViews>
    <sheetView tabSelected="1" workbookViewId="0">
      <selection activeCell="D24" sqref="D24"/>
    </sheetView>
  </sheetViews>
  <sheetFormatPr defaultRowHeight="15" x14ac:dyDescent="0.25"/>
  <cols>
    <col min="1" max="1" width="23" style="1" customWidth="1"/>
    <col min="2" max="2" width="11.42578125" style="80" customWidth="1"/>
    <col min="3" max="9" width="14.85546875" style="1" customWidth="1"/>
    <col min="10" max="16" width="17.7109375" style="37" customWidth="1"/>
    <col min="17" max="16384" width="9.140625" style="1"/>
  </cols>
  <sheetData>
    <row r="1" spans="1:16" ht="15" customHeight="1" x14ac:dyDescent="0.25">
      <c r="A1" s="242" t="s">
        <v>79</v>
      </c>
      <c r="B1" s="243" t="s">
        <v>132</v>
      </c>
      <c r="C1" s="81" t="s">
        <v>107</v>
      </c>
      <c r="D1" s="56" t="s">
        <v>108</v>
      </c>
      <c r="E1" s="48" t="s">
        <v>109</v>
      </c>
      <c r="F1" s="85" t="s">
        <v>110</v>
      </c>
      <c r="G1" s="88" t="s">
        <v>111</v>
      </c>
      <c r="H1" s="46" t="s">
        <v>112</v>
      </c>
      <c r="I1" s="58" t="s">
        <v>113</v>
      </c>
      <c r="J1" s="63" t="s">
        <v>107</v>
      </c>
      <c r="K1" s="45" t="s">
        <v>108</v>
      </c>
      <c r="L1" s="44" t="s">
        <v>109</v>
      </c>
      <c r="M1" s="70" t="s">
        <v>110</v>
      </c>
      <c r="N1" s="74" t="s">
        <v>111</v>
      </c>
      <c r="O1" s="42" t="s">
        <v>112</v>
      </c>
      <c r="P1" s="43" t="s">
        <v>113</v>
      </c>
    </row>
    <row r="2" spans="1:16" ht="45" x14ac:dyDescent="0.25">
      <c r="A2" s="242"/>
      <c r="B2" s="243"/>
      <c r="C2" s="81" t="s">
        <v>80</v>
      </c>
      <c r="D2" s="56" t="s">
        <v>80</v>
      </c>
      <c r="E2" s="48" t="s">
        <v>80</v>
      </c>
      <c r="F2" s="85" t="s">
        <v>80</v>
      </c>
      <c r="G2" s="88" t="s">
        <v>80</v>
      </c>
      <c r="H2" s="46" t="s">
        <v>80</v>
      </c>
      <c r="I2" s="58" t="s">
        <v>80</v>
      </c>
      <c r="J2" s="64" t="s">
        <v>31</v>
      </c>
      <c r="K2" s="57" t="s">
        <v>31</v>
      </c>
      <c r="L2" s="49" t="s">
        <v>31</v>
      </c>
      <c r="M2" s="71" t="s">
        <v>31</v>
      </c>
      <c r="N2" s="75" t="s">
        <v>31</v>
      </c>
      <c r="O2" s="47" t="s">
        <v>31</v>
      </c>
      <c r="P2" s="59" t="s">
        <v>31</v>
      </c>
    </row>
    <row r="3" spans="1:16" x14ac:dyDescent="0.25">
      <c r="A3" s="35" t="s">
        <v>77</v>
      </c>
      <c r="B3" s="36">
        <v>5000</v>
      </c>
      <c r="C3" s="82"/>
      <c r="D3" s="50"/>
      <c r="E3" s="84"/>
      <c r="F3" s="86"/>
      <c r="G3" s="54"/>
      <c r="H3" s="90"/>
      <c r="I3" s="52"/>
      <c r="J3" s="65">
        <f t="shared" ref="J3:P5" si="0">IFERROR(C3*$B3,0)</f>
        <v>0</v>
      </c>
      <c r="K3" s="51">
        <f t="shared" si="0"/>
        <v>0</v>
      </c>
      <c r="L3" s="68">
        <f t="shared" si="0"/>
        <v>0</v>
      </c>
      <c r="M3" s="72">
        <f t="shared" si="0"/>
        <v>0</v>
      </c>
      <c r="N3" s="55">
        <f t="shared" si="0"/>
        <v>0</v>
      </c>
      <c r="O3" s="77">
        <f t="shared" si="0"/>
        <v>0</v>
      </c>
      <c r="P3" s="53">
        <f t="shared" si="0"/>
        <v>0</v>
      </c>
    </row>
    <row r="4" spans="1:16" x14ac:dyDescent="0.25">
      <c r="A4" s="35" t="s">
        <v>81</v>
      </c>
      <c r="B4" s="36">
        <v>25000</v>
      </c>
      <c r="C4" s="82">
        <v>54.499999999999993</v>
      </c>
      <c r="D4" s="50">
        <v>55.099999999999994</v>
      </c>
      <c r="E4" s="84">
        <v>54.499999999999993</v>
      </c>
      <c r="F4" s="86">
        <v>54.499999999999993</v>
      </c>
      <c r="G4" s="54">
        <v>54.499999999999993</v>
      </c>
      <c r="H4" s="90">
        <v>54.599999999999994</v>
      </c>
      <c r="I4" s="52">
        <v>54.599999999999994</v>
      </c>
      <c r="J4" s="65">
        <f t="shared" si="0"/>
        <v>1362499.9999999998</v>
      </c>
      <c r="K4" s="51">
        <f t="shared" si="0"/>
        <v>1377499.9999999998</v>
      </c>
      <c r="L4" s="68">
        <f t="shared" si="0"/>
        <v>1362499.9999999998</v>
      </c>
      <c r="M4" s="72">
        <f t="shared" si="0"/>
        <v>1362499.9999999998</v>
      </c>
      <c r="N4" s="55">
        <f t="shared" si="0"/>
        <v>1362499.9999999998</v>
      </c>
      <c r="O4" s="77">
        <f t="shared" si="0"/>
        <v>1364999.9999999998</v>
      </c>
      <c r="P4" s="53">
        <f t="shared" si="0"/>
        <v>1364999.9999999998</v>
      </c>
    </row>
    <row r="5" spans="1:16" x14ac:dyDescent="0.25">
      <c r="A5" s="35" t="s">
        <v>82</v>
      </c>
      <c r="B5" s="36">
        <v>5000</v>
      </c>
      <c r="C5" s="82">
        <v>367.6</v>
      </c>
      <c r="D5" s="50">
        <v>429.4</v>
      </c>
      <c r="E5" s="84">
        <v>306.8</v>
      </c>
      <c r="F5" s="86">
        <v>264.39999999999998</v>
      </c>
      <c r="G5" s="54">
        <v>222.69999999999996</v>
      </c>
      <c r="H5" s="90">
        <v>143.9</v>
      </c>
      <c r="I5" s="52">
        <v>288.79999999999995</v>
      </c>
      <c r="J5" s="65">
        <f t="shared" si="0"/>
        <v>1838000</v>
      </c>
      <c r="K5" s="51">
        <f t="shared" si="0"/>
        <v>2147000</v>
      </c>
      <c r="L5" s="68">
        <f t="shared" si="0"/>
        <v>1534000</v>
      </c>
      <c r="M5" s="72">
        <f t="shared" si="0"/>
        <v>1322000</v>
      </c>
      <c r="N5" s="55">
        <f t="shared" si="0"/>
        <v>1113499.9999999998</v>
      </c>
      <c r="O5" s="77">
        <f t="shared" si="0"/>
        <v>719500</v>
      </c>
      <c r="P5" s="53">
        <f t="shared" si="0"/>
        <v>1443999.9999999998</v>
      </c>
    </row>
    <row r="6" spans="1:16" ht="28.5" customHeight="1" x14ac:dyDescent="0.25">
      <c r="A6" s="244" t="s">
        <v>32</v>
      </c>
      <c r="B6" s="244"/>
      <c r="C6" s="83">
        <f t="shared" ref="C6:P6" si="1">SUM(C3:C5)</f>
        <v>422.1</v>
      </c>
      <c r="D6" s="62">
        <f t="shared" si="1"/>
        <v>484.5</v>
      </c>
      <c r="E6" s="61">
        <f t="shared" si="1"/>
        <v>361.3</v>
      </c>
      <c r="F6" s="87">
        <f t="shared" si="1"/>
        <v>318.89999999999998</v>
      </c>
      <c r="G6" s="89">
        <f t="shared" si="1"/>
        <v>277.19999999999993</v>
      </c>
      <c r="H6" s="41">
        <f t="shared" si="1"/>
        <v>198.5</v>
      </c>
      <c r="I6" s="60">
        <f t="shared" si="1"/>
        <v>343.4</v>
      </c>
      <c r="J6" s="63">
        <f t="shared" si="1"/>
        <v>3200500</v>
      </c>
      <c r="K6" s="45">
        <f t="shared" si="1"/>
        <v>3524500</v>
      </c>
      <c r="L6" s="44">
        <f t="shared" si="1"/>
        <v>2896500</v>
      </c>
      <c r="M6" s="70">
        <f t="shared" si="1"/>
        <v>2684500</v>
      </c>
      <c r="N6" s="74">
        <f t="shared" si="1"/>
        <v>2475999.9999999995</v>
      </c>
      <c r="O6" s="42">
        <f t="shared" si="1"/>
        <v>2084499.9999999998</v>
      </c>
      <c r="P6" s="43">
        <f t="shared" si="1"/>
        <v>2808999.9999999995</v>
      </c>
    </row>
    <row r="10" spans="1:16" ht="15" customHeight="1" x14ac:dyDescent="0.25">
      <c r="A10" s="242" t="s">
        <v>79</v>
      </c>
      <c r="B10" s="243" t="s">
        <v>133</v>
      </c>
      <c r="C10" s="81" t="s">
        <v>107</v>
      </c>
      <c r="D10" s="56" t="s">
        <v>108</v>
      </c>
      <c r="E10" s="48" t="s">
        <v>109</v>
      </c>
      <c r="F10" s="85" t="s">
        <v>110</v>
      </c>
      <c r="G10" s="88" t="s">
        <v>111</v>
      </c>
      <c r="H10" s="46" t="s">
        <v>112</v>
      </c>
      <c r="I10" s="58" t="s">
        <v>113</v>
      </c>
    </row>
    <row r="11" spans="1:16" ht="47.25" x14ac:dyDescent="0.25">
      <c r="A11" s="242"/>
      <c r="B11" s="243"/>
      <c r="C11" s="81" t="s">
        <v>134</v>
      </c>
      <c r="D11" s="56" t="s">
        <v>134</v>
      </c>
      <c r="E11" s="48" t="s">
        <v>134</v>
      </c>
      <c r="F11" s="85" t="s">
        <v>134</v>
      </c>
      <c r="G11" s="88" t="s">
        <v>134</v>
      </c>
      <c r="H11" s="46" t="s">
        <v>134</v>
      </c>
      <c r="I11" s="58" t="s">
        <v>134</v>
      </c>
    </row>
    <row r="12" spans="1:16" x14ac:dyDescent="0.25">
      <c r="A12" s="35" t="s">
        <v>77</v>
      </c>
      <c r="B12" s="36">
        <v>3</v>
      </c>
      <c r="C12" s="82">
        <f>ROUNDUP(C3*$B12,-2)</f>
        <v>0</v>
      </c>
      <c r="D12" s="50">
        <f>ROUNDUP(D3*$B12,-2)</f>
        <v>0</v>
      </c>
      <c r="E12" s="84">
        <f>ROUNDUP(E3*$B12,-2)</f>
        <v>0</v>
      </c>
      <c r="F12" s="86">
        <f>ROUNDUP(F3*$B12,-2)</f>
        <v>0</v>
      </c>
      <c r="G12" s="54">
        <f>ROUNDUP(G3*$B12,-2)</f>
        <v>0</v>
      </c>
      <c r="H12" s="90">
        <f>ROUNDUP(H3*$B12,-2)</f>
        <v>0</v>
      </c>
      <c r="I12" s="52">
        <f>ROUNDUP(I3*$B12,-2)</f>
        <v>0</v>
      </c>
    </row>
    <row r="13" spans="1:16" x14ac:dyDescent="0.25">
      <c r="A13" s="35" t="s">
        <v>81</v>
      </c>
      <c r="B13" s="36">
        <v>5</v>
      </c>
      <c r="C13" s="82">
        <f>ROUNDUP(C4*$B13,-2)</f>
        <v>300</v>
      </c>
      <c r="D13" s="50">
        <f>ROUNDUP(D4*$B13,-2)</f>
        <v>300</v>
      </c>
      <c r="E13" s="84">
        <f>ROUNDUP(E4*$B13,-2)</f>
        <v>300</v>
      </c>
      <c r="F13" s="86">
        <f>ROUNDUP(F4*$B13,-2)</f>
        <v>300</v>
      </c>
      <c r="G13" s="54">
        <f>ROUNDUP(G4*$B13,-2)</f>
        <v>300</v>
      </c>
      <c r="H13" s="90">
        <f>ROUNDUP(H4*$B13,-2)</f>
        <v>300</v>
      </c>
      <c r="I13" s="52">
        <f>ROUNDUP(I4*$B13,-2)</f>
        <v>300</v>
      </c>
    </row>
    <row r="14" spans="1:16" x14ac:dyDescent="0.25">
      <c r="A14" s="35" t="s">
        <v>82</v>
      </c>
      <c r="B14" s="36">
        <v>3</v>
      </c>
      <c r="C14" s="82">
        <f>ROUNDUP(C5*$B14,-2)</f>
        <v>1200</v>
      </c>
      <c r="D14" s="50">
        <f>ROUNDUP(D5*$B14,-2)</f>
        <v>1300</v>
      </c>
      <c r="E14" s="84">
        <f>ROUNDUP(E5*$B14,-2)</f>
        <v>1000</v>
      </c>
      <c r="F14" s="86">
        <f>ROUNDUP(F5*$B14,-2)</f>
        <v>800</v>
      </c>
      <c r="G14" s="54">
        <f>ROUNDUP(G5*$B14,-2)</f>
        <v>700</v>
      </c>
      <c r="H14" s="90">
        <f>ROUNDUP(H5*$B14,-2)</f>
        <v>500</v>
      </c>
      <c r="I14" s="52">
        <f>ROUNDUP(I5*$B14,-2)</f>
        <v>900</v>
      </c>
    </row>
    <row r="15" spans="1:16" x14ac:dyDescent="0.25">
      <c r="A15" s="244" t="s">
        <v>32</v>
      </c>
      <c r="B15" s="244"/>
      <c r="C15" s="83">
        <f t="shared" ref="C15:I15" si="2">SUM(C12:C14)</f>
        <v>1500</v>
      </c>
      <c r="D15" s="62">
        <f t="shared" si="2"/>
        <v>1600</v>
      </c>
      <c r="E15" s="61">
        <f t="shared" si="2"/>
        <v>1300</v>
      </c>
      <c r="F15" s="87">
        <f t="shared" si="2"/>
        <v>1100</v>
      </c>
      <c r="G15" s="89">
        <f t="shared" si="2"/>
        <v>1000</v>
      </c>
      <c r="H15" s="41">
        <f t="shared" si="2"/>
        <v>800</v>
      </c>
      <c r="I15" s="60">
        <f t="shared" si="2"/>
        <v>1200</v>
      </c>
    </row>
  </sheetData>
  <mergeCells count="6">
    <mergeCell ref="A10:A11"/>
    <mergeCell ref="B10:B11"/>
    <mergeCell ref="A15:B15"/>
    <mergeCell ref="A1:A2"/>
    <mergeCell ref="B1:B2"/>
    <mergeCell ref="A6:B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B4806-63A7-4ADC-879F-319B26B87F0F}">
  <dimension ref="A1:Q40"/>
  <sheetViews>
    <sheetView workbookViewId="0">
      <selection activeCell="G23" sqref="G23"/>
    </sheetView>
  </sheetViews>
  <sheetFormatPr defaultRowHeight="15" x14ac:dyDescent="0.25"/>
  <cols>
    <col min="1" max="1" width="13.140625" style="1" customWidth="1"/>
    <col min="2" max="2" width="14.85546875" style="1" customWidth="1"/>
    <col min="3" max="3" width="9.140625" style="80"/>
    <col min="4" max="10" width="13" style="37" customWidth="1"/>
    <col min="11" max="12" width="17.7109375" style="37" customWidth="1"/>
    <col min="13" max="13" width="21.140625" style="37" customWidth="1"/>
    <col min="14" max="17" width="17.7109375" style="37" customWidth="1"/>
    <col min="18" max="16384" width="9.140625" style="1"/>
  </cols>
  <sheetData>
    <row r="1" spans="1:17" ht="15" customHeight="1" x14ac:dyDescent="0.25">
      <c r="A1" s="249" t="s">
        <v>119</v>
      </c>
      <c r="B1" s="249" t="s">
        <v>33</v>
      </c>
      <c r="C1" s="250" t="s">
        <v>29</v>
      </c>
      <c r="D1" s="63" t="s">
        <v>107</v>
      </c>
      <c r="E1" s="45" t="s">
        <v>108</v>
      </c>
      <c r="F1" s="44" t="s">
        <v>109</v>
      </c>
      <c r="G1" s="70" t="s">
        <v>110</v>
      </c>
      <c r="H1" s="74" t="s">
        <v>111</v>
      </c>
      <c r="I1" s="42" t="s">
        <v>112</v>
      </c>
      <c r="J1" s="43" t="s">
        <v>113</v>
      </c>
      <c r="K1" s="63" t="s">
        <v>107</v>
      </c>
      <c r="L1" s="45" t="s">
        <v>108</v>
      </c>
      <c r="M1" s="44" t="s">
        <v>109</v>
      </c>
      <c r="N1" s="70" t="s">
        <v>110</v>
      </c>
      <c r="O1" s="74" t="s">
        <v>111</v>
      </c>
      <c r="P1" s="42" t="s">
        <v>112</v>
      </c>
      <c r="Q1" s="43" t="s">
        <v>113</v>
      </c>
    </row>
    <row r="2" spans="1:17" ht="30" x14ac:dyDescent="0.25">
      <c r="A2" s="249"/>
      <c r="B2" s="249"/>
      <c r="C2" s="250"/>
      <c r="D2" s="64" t="s">
        <v>30</v>
      </c>
      <c r="E2" s="57" t="s">
        <v>30</v>
      </c>
      <c r="F2" s="49" t="s">
        <v>30</v>
      </c>
      <c r="G2" s="71" t="s">
        <v>30</v>
      </c>
      <c r="H2" s="75" t="s">
        <v>30</v>
      </c>
      <c r="I2" s="47" t="s">
        <v>30</v>
      </c>
      <c r="J2" s="59" t="s">
        <v>30</v>
      </c>
      <c r="K2" s="64" t="s">
        <v>31</v>
      </c>
      <c r="L2" s="57" t="s">
        <v>31</v>
      </c>
      <c r="M2" s="49" t="s">
        <v>31</v>
      </c>
      <c r="N2" s="71" t="s">
        <v>31</v>
      </c>
      <c r="O2" s="75" t="s">
        <v>31</v>
      </c>
      <c r="P2" s="47" t="s">
        <v>31</v>
      </c>
      <c r="Q2" s="59" t="s">
        <v>31</v>
      </c>
    </row>
    <row r="3" spans="1:17" x14ac:dyDescent="0.25">
      <c r="A3" s="35">
        <v>100</v>
      </c>
      <c r="B3" s="35" t="s">
        <v>3</v>
      </c>
      <c r="C3" s="36">
        <f>IFERROR(VLOOKUP($A3,'Pipe Rate'!$A$29:$W$47,MATCH($B3,'Pipe Rate'!$B$29:$W$29,0)+1,0),"N/F")</f>
        <v>10.199999999999999</v>
      </c>
      <c r="D3" s="65">
        <v>9917</v>
      </c>
      <c r="E3" s="51">
        <v>10518</v>
      </c>
      <c r="F3" s="68">
        <v>9917</v>
      </c>
      <c r="G3" s="72">
        <v>9917</v>
      </c>
      <c r="H3" s="55">
        <v>9917</v>
      </c>
      <c r="I3" s="77">
        <v>7510</v>
      </c>
      <c r="J3" s="53">
        <v>7510</v>
      </c>
      <c r="K3" s="65">
        <f t="shared" ref="K3:Q3" si="0">IFERROR(D3*$C3,0)</f>
        <v>101153.4</v>
      </c>
      <c r="L3" s="51">
        <f t="shared" si="0"/>
        <v>107283.59999999999</v>
      </c>
      <c r="M3" s="68">
        <f t="shared" si="0"/>
        <v>101153.4</v>
      </c>
      <c r="N3" s="72">
        <f t="shared" si="0"/>
        <v>101153.4</v>
      </c>
      <c r="O3" s="55">
        <f t="shared" si="0"/>
        <v>101153.4</v>
      </c>
      <c r="P3" s="77">
        <f t="shared" si="0"/>
        <v>76602</v>
      </c>
      <c r="Q3" s="53">
        <f t="shared" si="0"/>
        <v>76602</v>
      </c>
    </row>
    <row r="4" spans="1:17" x14ac:dyDescent="0.25">
      <c r="A4" s="35">
        <v>150</v>
      </c>
      <c r="B4" s="35" t="s">
        <v>3</v>
      </c>
      <c r="C4" s="36">
        <f>IFERROR(VLOOKUP($A4,'Pipe Rate'!$A$29:$W$47,MATCH($B4,'Pipe Rate'!$B$29:$W$29,0)+1,0),"N/F")</f>
        <v>14</v>
      </c>
      <c r="D4" s="65">
        <v>24180</v>
      </c>
      <c r="E4" s="51">
        <v>18842</v>
      </c>
      <c r="F4" s="68">
        <v>24180</v>
      </c>
      <c r="G4" s="72">
        <v>24180</v>
      </c>
      <c r="H4" s="55">
        <v>24180</v>
      </c>
      <c r="I4" s="77">
        <v>17036</v>
      </c>
      <c r="J4" s="53">
        <v>17036</v>
      </c>
      <c r="K4" s="65">
        <f t="shared" ref="K4:K39" si="1">IFERROR(D4*$C4,0)</f>
        <v>338520</v>
      </c>
      <c r="L4" s="51">
        <f t="shared" ref="L4:L39" si="2">IFERROR(E4*$C4,0)</f>
        <v>263788</v>
      </c>
      <c r="M4" s="68">
        <f t="shared" ref="M4:M39" si="3">IFERROR(F4*$C4,0)</f>
        <v>338520</v>
      </c>
      <c r="N4" s="72">
        <f t="shared" ref="N4:N39" si="4">IFERROR(G4*$C4,0)</f>
        <v>338520</v>
      </c>
      <c r="O4" s="55">
        <f t="shared" ref="O4:O39" si="5">IFERROR(H4*$C4,0)</f>
        <v>338520</v>
      </c>
      <c r="P4" s="77">
        <f t="shared" ref="P4:P39" si="6">IFERROR(I4*$C4,0)</f>
        <v>238504</v>
      </c>
      <c r="Q4" s="53">
        <f t="shared" ref="Q4:Q39" si="7">IFERROR(J4*$C4,0)</f>
        <v>238504</v>
      </c>
    </row>
    <row r="5" spans="1:17" x14ac:dyDescent="0.25">
      <c r="A5" s="35">
        <v>200</v>
      </c>
      <c r="B5" s="35" t="s">
        <v>3</v>
      </c>
      <c r="C5" s="36">
        <f>IFERROR(VLOOKUP($A5,'Pipe Rate'!$A$29:$W$47,MATCH($B5,'Pipe Rate'!$B$29:$W$29,0)+1,0),"N/F")</f>
        <v>32.1</v>
      </c>
      <c r="D5" s="65">
        <v>66</v>
      </c>
      <c r="E5" s="51">
        <v>66</v>
      </c>
      <c r="F5" s="68">
        <v>66</v>
      </c>
      <c r="G5" s="72">
        <v>66</v>
      </c>
      <c r="H5" s="55">
        <v>66</v>
      </c>
      <c r="I5" s="77">
        <v>66</v>
      </c>
      <c r="J5" s="53">
        <v>66</v>
      </c>
      <c r="K5" s="65">
        <f t="shared" si="1"/>
        <v>2118.6</v>
      </c>
      <c r="L5" s="51">
        <f t="shared" si="2"/>
        <v>2118.6</v>
      </c>
      <c r="M5" s="68">
        <f t="shared" si="3"/>
        <v>2118.6</v>
      </c>
      <c r="N5" s="72">
        <f t="shared" si="4"/>
        <v>2118.6</v>
      </c>
      <c r="O5" s="55">
        <f t="shared" si="5"/>
        <v>2118.6</v>
      </c>
      <c r="P5" s="77">
        <f t="shared" si="6"/>
        <v>2118.6</v>
      </c>
      <c r="Q5" s="53">
        <f t="shared" si="7"/>
        <v>2118.6</v>
      </c>
    </row>
    <row r="6" spans="1:17" x14ac:dyDescent="0.25">
      <c r="A6" s="35">
        <v>250</v>
      </c>
      <c r="B6" s="35" t="s">
        <v>3</v>
      </c>
      <c r="C6" s="36">
        <f>IFERROR(VLOOKUP($A6,'Pipe Rate'!$A$29:$W$47,MATCH($B6,'Pipe Rate'!$B$29:$W$29,0)+1,0),"N/F")</f>
        <v>40.700000000000003</v>
      </c>
      <c r="D6" s="65">
        <v>1308</v>
      </c>
      <c r="E6" s="51">
        <v>1308</v>
      </c>
      <c r="F6" s="68">
        <v>1308</v>
      </c>
      <c r="G6" s="72">
        <v>1308</v>
      </c>
      <c r="H6" s="55">
        <v>1308</v>
      </c>
      <c r="I6" s="77">
        <v>1308</v>
      </c>
      <c r="J6" s="53">
        <v>1308</v>
      </c>
      <c r="K6" s="65">
        <f t="shared" si="1"/>
        <v>53235.600000000006</v>
      </c>
      <c r="L6" s="51">
        <f t="shared" si="2"/>
        <v>53235.600000000006</v>
      </c>
      <c r="M6" s="68">
        <f t="shared" si="3"/>
        <v>53235.600000000006</v>
      </c>
      <c r="N6" s="72">
        <f t="shared" si="4"/>
        <v>53235.600000000006</v>
      </c>
      <c r="O6" s="55">
        <f t="shared" si="5"/>
        <v>53235.600000000006</v>
      </c>
      <c r="P6" s="77">
        <f t="shared" si="6"/>
        <v>53235.600000000006</v>
      </c>
      <c r="Q6" s="53">
        <f t="shared" si="7"/>
        <v>53235.600000000006</v>
      </c>
    </row>
    <row r="7" spans="1:17" x14ac:dyDescent="0.25">
      <c r="A7" s="35">
        <v>300</v>
      </c>
      <c r="B7" s="35" t="s">
        <v>3</v>
      </c>
      <c r="C7" s="36">
        <f>IFERROR(VLOOKUP($A7,'Pipe Rate'!$A$29:$W$47,MATCH($B7,'Pipe Rate'!$B$29:$W$29,0)+1,0),"N/F")</f>
        <v>49.2</v>
      </c>
      <c r="D7" s="65">
        <v>5330</v>
      </c>
      <c r="E7" s="51">
        <v>574</v>
      </c>
      <c r="F7" s="68">
        <v>5330</v>
      </c>
      <c r="G7" s="72">
        <v>5330</v>
      </c>
      <c r="H7" s="55">
        <v>5330</v>
      </c>
      <c r="I7" s="77">
        <v>574</v>
      </c>
      <c r="J7" s="53">
        <v>574</v>
      </c>
      <c r="K7" s="65">
        <f t="shared" si="1"/>
        <v>262236</v>
      </c>
      <c r="L7" s="51">
        <f t="shared" si="2"/>
        <v>28240.800000000003</v>
      </c>
      <c r="M7" s="68">
        <f t="shared" si="3"/>
        <v>262236</v>
      </c>
      <c r="N7" s="72">
        <f t="shared" si="4"/>
        <v>262236</v>
      </c>
      <c r="O7" s="55">
        <f t="shared" si="5"/>
        <v>262236</v>
      </c>
      <c r="P7" s="77">
        <f t="shared" si="6"/>
        <v>28240.800000000003</v>
      </c>
      <c r="Q7" s="53">
        <f t="shared" si="7"/>
        <v>28240.800000000003</v>
      </c>
    </row>
    <row r="8" spans="1:17" x14ac:dyDescent="0.25">
      <c r="A8" s="35">
        <v>350</v>
      </c>
      <c r="B8" s="35" t="s">
        <v>3</v>
      </c>
      <c r="C8" s="36">
        <f>IFERROR(VLOOKUP($A8,'Pipe Rate'!$A$29:$W$47,MATCH($B8,'Pipe Rate'!$B$29:$W$29,0)+1,0),"N/F")</f>
        <v>53</v>
      </c>
      <c r="D8" s="65">
        <v>44</v>
      </c>
      <c r="E8" s="51">
        <v>44</v>
      </c>
      <c r="F8" s="68">
        <v>44</v>
      </c>
      <c r="G8" s="72">
        <v>44</v>
      </c>
      <c r="H8" s="55">
        <v>44</v>
      </c>
      <c r="I8" s="77">
        <v>2076</v>
      </c>
      <c r="J8" s="53">
        <v>2076</v>
      </c>
      <c r="K8" s="65">
        <f t="shared" si="1"/>
        <v>2332</v>
      </c>
      <c r="L8" s="51">
        <f t="shared" si="2"/>
        <v>2332</v>
      </c>
      <c r="M8" s="68">
        <f t="shared" si="3"/>
        <v>2332</v>
      </c>
      <c r="N8" s="72">
        <f t="shared" si="4"/>
        <v>2332</v>
      </c>
      <c r="O8" s="55">
        <f t="shared" si="5"/>
        <v>2332</v>
      </c>
      <c r="P8" s="77">
        <f t="shared" si="6"/>
        <v>110028</v>
      </c>
      <c r="Q8" s="53">
        <f t="shared" si="7"/>
        <v>110028</v>
      </c>
    </row>
    <row r="9" spans="1:17" x14ac:dyDescent="0.25">
      <c r="A9" s="35">
        <v>400</v>
      </c>
      <c r="B9" s="35" t="s">
        <v>3</v>
      </c>
      <c r="C9" s="36">
        <f>IFERROR(VLOOKUP($A9,'Pipe Rate'!$A$29:$W$47,MATCH($B9,'Pipe Rate'!$B$29:$W$29,0)+1,0),"N/F")</f>
        <v>56.8</v>
      </c>
      <c r="D9" s="65">
        <v>2135</v>
      </c>
      <c r="E9" s="51">
        <v>2135</v>
      </c>
      <c r="F9" s="68">
        <v>2135</v>
      </c>
      <c r="G9" s="72">
        <v>2135</v>
      </c>
      <c r="H9" s="55">
        <v>2178</v>
      </c>
      <c r="I9" s="77">
        <v>146</v>
      </c>
      <c r="J9" s="53">
        <v>103</v>
      </c>
      <c r="K9" s="65">
        <f t="shared" si="1"/>
        <v>121268</v>
      </c>
      <c r="L9" s="51">
        <f t="shared" si="2"/>
        <v>121268</v>
      </c>
      <c r="M9" s="68">
        <f t="shared" si="3"/>
        <v>121268</v>
      </c>
      <c r="N9" s="72">
        <f t="shared" si="4"/>
        <v>121268</v>
      </c>
      <c r="O9" s="55">
        <f t="shared" si="5"/>
        <v>123710.39999999999</v>
      </c>
      <c r="P9" s="77">
        <f t="shared" si="6"/>
        <v>8292.7999999999993</v>
      </c>
      <c r="Q9" s="53">
        <f t="shared" si="7"/>
        <v>5850.4</v>
      </c>
    </row>
    <row r="10" spans="1:17" x14ac:dyDescent="0.25">
      <c r="A10" s="35">
        <v>500</v>
      </c>
      <c r="B10" s="35" t="s">
        <v>3</v>
      </c>
      <c r="C10" s="36">
        <f>IFERROR(VLOOKUP($A10,'Pipe Rate'!$A$29:$W$47,MATCH($B10,'Pipe Rate'!$B$29:$W$29,0)+1,0),"N/F")</f>
        <v>73.2</v>
      </c>
      <c r="D10" s="65">
        <v>666</v>
      </c>
      <c r="E10" s="51">
        <v>666</v>
      </c>
      <c r="F10" s="68">
        <v>17</v>
      </c>
      <c r="G10" s="72">
        <v>17</v>
      </c>
      <c r="H10" s="55"/>
      <c r="I10" s="77"/>
      <c r="J10" s="53">
        <v>666</v>
      </c>
      <c r="K10" s="65">
        <f t="shared" si="1"/>
        <v>48751.200000000004</v>
      </c>
      <c r="L10" s="51">
        <f t="shared" si="2"/>
        <v>48751.200000000004</v>
      </c>
      <c r="M10" s="68">
        <f t="shared" si="3"/>
        <v>1244.4000000000001</v>
      </c>
      <c r="N10" s="72">
        <f t="shared" si="4"/>
        <v>1244.4000000000001</v>
      </c>
      <c r="O10" s="55">
        <f t="shared" si="5"/>
        <v>0</v>
      </c>
      <c r="P10" s="77">
        <f t="shared" si="6"/>
        <v>0</v>
      </c>
      <c r="Q10" s="53">
        <f t="shared" si="7"/>
        <v>48751.200000000004</v>
      </c>
    </row>
    <row r="11" spans="1:17" x14ac:dyDescent="0.25">
      <c r="A11" s="35">
        <v>700</v>
      </c>
      <c r="B11" s="35" t="s">
        <v>3</v>
      </c>
      <c r="C11" s="36">
        <f>IFERROR(VLOOKUP($A11,'Pipe Rate'!$A$29:$W$47,MATCH($B11,'Pipe Rate'!$B$29:$W$29,0)+1,0),"N/F")</f>
        <v>113.3</v>
      </c>
      <c r="D11" s="65">
        <v>166</v>
      </c>
      <c r="E11" s="51">
        <v>166</v>
      </c>
      <c r="F11" s="68">
        <v>192</v>
      </c>
      <c r="G11" s="72">
        <v>43</v>
      </c>
      <c r="H11" s="55"/>
      <c r="I11" s="77"/>
      <c r="J11" s="53">
        <v>166</v>
      </c>
      <c r="K11" s="65">
        <f t="shared" si="1"/>
        <v>18807.8</v>
      </c>
      <c r="L11" s="51">
        <f t="shared" si="2"/>
        <v>18807.8</v>
      </c>
      <c r="M11" s="68">
        <f t="shared" si="3"/>
        <v>21753.599999999999</v>
      </c>
      <c r="N11" s="72">
        <f t="shared" si="4"/>
        <v>4871.8999999999996</v>
      </c>
      <c r="O11" s="55">
        <f t="shared" si="5"/>
        <v>0</v>
      </c>
      <c r="P11" s="77">
        <f t="shared" si="6"/>
        <v>0</v>
      </c>
      <c r="Q11" s="53">
        <f t="shared" si="7"/>
        <v>18807.8</v>
      </c>
    </row>
    <row r="12" spans="1:17" x14ac:dyDescent="0.25">
      <c r="A12" s="35">
        <v>900</v>
      </c>
      <c r="B12" s="35" t="s">
        <v>3</v>
      </c>
      <c r="C12" s="36">
        <f>IFERROR(VLOOKUP($A12,'Pipe Rate'!$A$29:$W$47,MATCH($B12,'Pipe Rate'!$B$29:$W$29,0)+1,0),"N/F")</f>
        <v>157.80000000000001</v>
      </c>
      <c r="D12" s="65">
        <v>43</v>
      </c>
      <c r="E12" s="51">
        <v>43</v>
      </c>
      <c r="F12" s="68"/>
      <c r="G12" s="72"/>
      <c r="H12" s="55"/>
      <c r="I12" s="77"/>
      <c r="J12" s="53">
        <v>43</v>
      </c>
      <c r="K12" s="65">
        <f t="shared" si="1"/>
        <v>6785.4000000000005</v>
      </c>
      <c r="L12" s="51">
        <f t="shared" si="2"/>
        <v>6785.4000000000005</v>
      </c>
      <c r="M12" s="68">
        <f t="shared" si="3"/>
        <v>0</v>
      </c>
      <c r="N12" s="72">
        <f t="shared" si="4"/>
        <v>0</v>
      </c>
      <c r="O12" s="55">
        <f t="shared" si="5"/>
        <v>0</v>
      </c>
      <c r="P12" s="77">
        <f t="shared" si="6"/>
        <v>0</v>
      </c>
      <c r="Q12" s="53">
        <f t="shared" si="7"/>
        <v>6785.4000000000005</v>
      </c>
    </row>
    <row r="13" spans="1:17" x14ac:dyDescent="0.25">
      <c r="A13" s="35">
        <v>1200</v>
      </c>
      <c r="B13" s="35" t="s">
        <v>3</v>
      </c>
      <c r="C13" s="36">
        <f>IFERROR(VLOOKUP($A13,'Pipe Rate'!$A$29:$W$47,MATCH($B13,'Pipe Rate'!$B$29:$W$29,0)+1,0),"N/F")</f>
        <v>272.89999999999998</v>
      </c>
      <c r="D13" s="65"/>
      <c r="E13" s="51">
        <v>2965</v>
      </c>
      <c r="F13" s="68"/>
      <c r="G13" s="72"/>
      <c r="H13" s="55"/>
      <c r="I13" s="77"/>
      <c r="J13" s="53"/>
      <c r="K13" s="65">
        <f t="shared" si="1"/>
        <v>0</v>
      </c>
      <c r="L13" s="51">
        <f t="shared" si="2"/>
        <v>809148.49999999988</v>
      </c>
      <c r="M13" s="68">
        <f t="shared" si="3"/>
        <v>0</v>
      </c>
      <c r="N13" s="72">
        <f t="shared" si="4"/>
        <v>0</v>
      </c>
      <c r="O13" s="55">
        <f t="shared" si="5"/>
        <v>0</v>
      </c>
      <c r="P13" s="77">
        <f t="shared" si="6"/>
        <v>0</v>
      </c>
      <c r="Q13" s="53">
        <f t="shared" si="7"/>
        <v>0</v>
      </c>
    </row>
    <row r="14" spans="1:17" x14ac:dyDescent="0.25">
      <c r="A14" s="35"/>
      <c r="B14" s="35"/>
      <c r="C14" s="36" t="str">
        <f>IFERROR(VLOOKUP($A14,'Pipe Rate'!$A$29:$W$47,MATCH($B14,'Pipe Rate'!$B$29:$W$29,0)+1,0),"N/F")</f>
        <v>N/F</v>
      </c>
      <c r="D14" s="65"/>
      <c r="E14" s="51"/>
      <c r="F14" s="68"/>
      <c r="G14" s="72"/>
      <c r="H14" s="55"/>
      <c r="I14" s="77"/>
      <c r="J14" s="53"/>
      <c r="K14" s="65">
        <f t="shared" si="1"/>
        <v>0</v>
      </c>
      <c r="L14" s="51">
        <f t="shared" si="2"/>
        <v>0</v>
      </c>
      <c r="M14" s="68">
        <f t="shared" si="3"/>
        <v>0</v>
      </c>
      <c r="N14" s="72">
        <f t="shared" si="4"/>
        <v>0</v>
      </c>
      <c r="O14" s="55">
        <f t="shared" si="5"/>
        <v>0</v>
      </c>
      <c r="P14" s="77">
        <f t="shared" si="6"/>
        <v>0</v>
      </c>
      <c r="Q14" s="53">
        <f t="shared" si="7"/>
        <v>0</v>
      </c>
    </row>
    <row r="15" spans="1:17" x14ac:dyDescent="0.25">
      <c r="A15" s="35"/>
      <c r="B15" s="35"/>
      <c r="C15" s="36" t="str">
        <f>IFERROR(VLOOKUP($A15,'Pipe Rate'!$A$29:$W$47,MATCH($B15,'Pipe Rate'!$B$29:$W$29,0)+1,0),"N/F")</f>
        <v>N/F</v>
      </c>
      <c r="D15" s="65"/>
      <c r="E15" s="51"/>
      <c r="F15" s="68"/>
      <c r="G15" s="72"/>
      <c r="H15" s="55"/>
      <c r="I15" s="77"/>
      <c r="J15" s="53"/>
      <c r="K15" s="65">
        <f t="shared" si="1"/>
        <v>0</v>
      </c>
      <c r="L15" s="51">
        <f t="shared" si="2"/>
        <v>0</v>
      </c>
      <c r="M15" s="68">
        <f t="shared" si="3"/>
        <v>0</v>
      </c>
      <c r="N15" s="72">
        <f t="shared" si="4"/>
        <v>0</v>
      </c>
      <c r="O15" s="55">
        <f t="shared" si="5"/>
        <v>0</v>
      </c>
      <c r="P15" s="77">
        <f t="shared" si="6"/>
        <v>0</v>
      </c>
      <c r="Q15" s="53">
        <f t="shared" si="7"/>
        <v>0</v>
      </c>
    </row>
    <row r="16" spans="1:17" x14ac:dyDescent="0.25">
      <c r="A16" s="35"/>
      <c r="B16" s="35"/>
      <c r="C16" s="36" t="str">
        <f>IFERROR(VLOOKUP($A16,'Pipe Rate'!$A$29:$W$47,MATCH($B16,'Pipe Rate'!$B$29:$W$29,0)+1,0),"N/F")</f>
        <v>N/F</v>
      </c>
      <c r="D16" s="65"/>
      <c r="E16" s="51"/>
      <c r="F16" s="68"/>
      <c r="G16" s="72"/>
      <c r="H16" s="55"/>
      <c r="I16" s="77"/>
      <c r="J16" s="53"/>
      <c r="K16" s="65">
        <f t="shared" si="1"/>
        <v>0</v>
      </c>
      <c r="L16" s="51">
        <f t="shared" si="2"/>
        <v>0</v>
      </c>
      <c r="M16" s="68">
        <f t="shared" si="3"/>
        <v>0</v>
      </c>
      <c r="N16" s="72">
        <f t="shared" si="4"/>
        <v>0</v>
      </c>
      <c r="O16" s="55">
        <f t="shared" si="5"/>
        <v>0</v>
      </c>
      <c r="P16" s="77">
        <f t="shared" si="6"/>
        <v>0</v>
      </c>
      <c r="Q16" s="53">
        <f t="shared" si="7"/>
        <v>0</v>
      </c>
    </row>
    <row r="17" spans="1:17" x14ac:dyDescent="0.25">
      <c r="A17" s="35"/>
      <c r="B17" s="35"/>
      <c r="C17" s="36" t="str">
        <f>IFERROR(VLOOKUP($A17,'Pipe Rate'!$A$29:$W$47,MATCH($B17,'Pipe Rate'!$B$29:$W$29,0)+1,0),"N/F")</f>
        <v>N/F</v>
      </c>
      <c r="D17" s="65"/>
      <c r="E17" s="51"/>
      <c r="F17" s="68"/>
      <c r="G17" s="72"/>
      <c r="H17" s="55"/>
      <c r="I17" s="77"/>
      <c r="J17" s="53"/>
      <c r="K17" s="65">
        <f t="shared" si="1"/>
        <v>0</v>
      </c>
      <c r="L17" s="51">
        <f t="shared" si="2"/>
        <v>0</v>
      </c>
      <c r="M17" s="68">
        <f t="shared" si="3"/>
        <v>0</v>
      </c>
      <c r="N17" s="72">
        <f t="shared" si="4"/>
        <v>0</v>
      </c>
      <c r="O17" s="55">
        <f t="shared" si="5"/>
        <v>0</v>
      </c>
      <c r="P17" s="77">
        <f t="shared" si="6"/>
        <v>0</v>
      </c>
      <c r="Q17" s="53">
        <f t="shared" si="7"/>
        <v>0</v>
      </c>
    </row>
    <row r="18" spans="1:17" x14ac:dyDescent="0.25">
      <c r="A18" s="35"/>
      <c r="B18" s="35"/>
      <c r="C18" s="36" t="str">
        <f>IFERROR(VLOOKUP($A18,'Pipe Rate'!$A$29:$W$47,MATCH($B18,'Pipe Rate'!$B$29:$W$29,0)+1,0),"N/F")</f>
        <v>N/F</v>
      </c>
      <c r="D18" s="65"/>
      <c r="E18" s="51"/>
      <c r="F18" s="68"/>
      <c r="G18" s="72"/>
      <c r="H18" s="55"/>
      <c r="I18" s="77"/>
      <c r="J18" s="53"/>
      <c r="K18" s="65">
        <f t="shared" si="1"/>
        <v>0</v>
      </c>
      <c r="L18" s="51">
        <f t="shared" si="2"/>
        <v>0</v>
      </c>
      <c r="M18" s="68">
        <f t="shared" si="3"/>
        <v>0</v>
      </c>
      <c r="N18" s="72">
        <f t="shared" si="4"/>
        <v>0</v>
      </c>
      <c r="O18" s="55">
        <f t="shared" si="5"/>
        <v>0</v>
      </c>
      <c r="P18" s="77">
        <f t="shared" si="6"/>
        <v>0</v>
      </c>
      <c r="Q18" s="53">
        <f t="shared" si="7"/>
        <v>0</v>
      </c>
    </row>
    <row r="19" spans="1:17" x14ac:dyDescent="0.25">
      <c r="A19" s="35"/>
      <c r="B19" s="35"/>
      <c r="C19" s="36" t="str">
        <f>IFERROR(VLOOKUP($A19,'Pipe Rate'!$A$29:$W$47,MATCH($B19,'Pipe Rate'!$B$29:$W$29,0)+1,0),"N/F")</f>
        <v>N/F</v>
      </c>
      <c r="D19" s="65"/>
      <c r="E19" s="51"/>
      <c r="F19" s="68"/>
      <c r="G19" s="72"/>
      <c r="H19" s="55"/>
      <c r="I19" s="77"/>
      <c r="J19" s="53"/>
      <c r="K19" s="65">
        <f t="shared" si="1"/>
        <v>0</v>
      </c>
      <c r="L19" s="51">
        <f t="shared" si="2"/>
        <v>0</v>
      </c>
      <c r="M19" s="68">
        <f t="shared" si="3"/>
        <v>0</v>
      </c>
      <c r="N19" s="72">
        <f t="shared" si="4"/>
        <v>0</v>
      </c>
      <c r="O19" s="55">
        <f t="shared" si="5"/>
        <v>0</v>
      </c>
      <c r="P19" s="77">
        <f t="shared" si="6"/>
        <v>0</v>
      </c>
      <c r="Q19" s="53">
        <f t="shared" si="7"/>
        <v>0</v>
      </c>
    </row>
    <row r="20" spans="1:17" x14ac:dyDescent="0.25">
      <c r="A20" s="35"/>
      <c r="B20" s="35"/>
      <c r="C20" s="36" t="str">
        <f>IFERROR(VLOOKUP($A20,'Pipe Rate'!$A$29:$W$47,MATCH($B20,'Pipe Rate'!$B$29:$W$29,0)+1,0),"N/F")</f>
        <v>N/F</v>
      </c>
      <c r="D20" s="65"/>
      <c r="E20" s="51"/>
      <c r="F20" s="68"/>
      <c r="G20" s="72"/>
      <c r="H20" s="55"/>
      <c r="I20" s="77"/>
      <c r="J20" s="53"/>
      <c r="K20" s="65">
        <f t="shared" si="1"/>
        <v>0</v>
      </c>
      <c r="L20" s="51">
        <f t="shared" si="2"/>
        <v>0</v>
      </c>
      <c r="M20" s="68">
        <f t="shared" si="3"/>
        <v>0</v>
      </c>
      <c r="N20" s="72">
        <f t="shared" si="4"/>
        <v>0</v>
      </c>
      <c r="O20" s="55">
        <f t="shared" si="5"/>
        <v>0</v>
      </c>
      <c r="P20" s="77">
        <f t="shared" si="6"/>
        <v>0</v>
      </c>
      <c r="Q20" s="53">
        <f t="shared" si="7"/>
        <v>0</v>
      </c>
    </row>
    <row r="21" spans="1:17" x14ac:dyDescent="0.25">
      <c r="A21" s="35"/>
      <c r="B21" s="35"/>
      <c r="C21" s="36" t="str">
        <f>IFERROR(VLOOKUP($A21,'Pipe Rate'!$A$29:$W$47,MATCH($B21,'Pipe Rate'!$B$29:$W$29,0)+1,0),"N/F")</f>
        <v>N/F</v>
      </c>
      <c r="D21" s="65"/>
      <c r="E21" s="51"/>
      <c r="F21" s="68"/>
      <c r="G21" s="72"/>
      <c r="H21" s="55"/>
      <c r="I21" s="77"/>
      <c r="J21" s="53"/>
      <c r="K21" s="65">
        <f t="shared" si="1"/>
        <v>0</v>
      </c>
      <c r="L21" s="51">
        <f t="shared" si="2"/>
        <v>0</v>
      </c>
      <c r="M21" s="68">
        <f t="shared" si="3"/>
        <v>0</v>
      </c>
      <c r="N21" s="72">
        <f t="shared" si="4"/>
        <v>0</v>
      </c>
      <c r="O21" s="55">
        <f t="shared" si="5"/>
        <v>0</v>
      </c>
      <c r="P21" s="77">
        <f t="shared" si="6"/>
        <v>0</v>
      </c>
      <c r="Q21" s="53">
        <f t="shared" si="7"/>
        <v>0</v>
      </c>
    </row>
    <row r="22" spans="1:17" x14ac:dyDescent="0.25">
      <c r="A22" s="35"/>
      <c r="B22" s="35"/>
      <c r="C22" s="36" t="str">
        <f>IFERROR(VLOOKUP($A22,'Pipe Rate'!$A$29:$W$47,MATCH($B22,'Pipe Rate'!$B$29:$W$29,0)+1,0),"N/F")</f>
        <v>N/F</v>
      </c>
      <c r="D22" s="65"/>
      <c r="E22" s="51"/>
      <c r="F22" s="68"/>
      <c r="G22" s="72"/>
      <c r="H22" s="55"/>
      <c r="I22" s="77"/>
      <c r="J22" s="53"/>
      <c r="K22" s="65">
        <f t="shared" si="1"/>
        <v>0</v>
      </c>
      <c r="L22" s="51">
        <f t="shared" si="2"/>
        <v>0</v>
      </c>
      <c r="M22" s="68">
        <f t="shared" si="3"/>
        <v>0</v>
      </c>
      <c r="N22" s="72">
        <f t="shared" si="4"/>
        <v>0</v>
      </c>
      <c r="O22" s="55">
        <f t="shared" si="5"/>
        <v>0</v>
      </c>
      <c r="P22" s="77">
        <f t="shared" si="6"/>
        <v>0</v>
      </c>
      <c r="Q22" s="53">
        <f t="shared" si="7"/>
        <v>0</v>
      </c>
    </row>
    <row r="23" spans="1:17" x14ac:dyDescent="0.25">
      <c r="A23" s="35"/>
      <c r="B23" s="35"/>
      <c r="C23" s="36" t="str">
        <f>IFERROR(VLOOKUP($A23,'Pipe Rate'!$A$29:$W$47,MATCH($B23,'Pipe Rate'!$B$29:$W$29,0)+1,0),"N/F")</f>
        <v>N/F</v>
      </c>
      <c r="D23" s="65"/>
      <c r="E23" s="51"/>
      <c r="F23" s="68"/>
      <c r="G23" s="72"/>
      <c r="H23" s="55"/>
      <c r="I23" s="77"/>
      <c r="J23" s="53"/>
      <c r="K23" s="65">
        <f t="shared" si="1"/>
        <v>0</v>
      </c>
      <c r="L23" s="51">
        <f t="shared" si="2"/>
        <v>0</v>
      </c>
      <c r="M23" s="68">
        <f t="shared" si="3"/>
        <v>0</v>
      </c>
      <c r="N23" s="72">
        <f t="shared" si="4"/>
        <v>0</v>
      </c>
      <c r="O23" s="55">
        <f t="shared" si="5"/>
        <v>0</v>
      </c>
      <c r="P23" s="77">
        <f t="shared" si="6"/>
        <v>0</v>
      </c>
      <c r="Q23" s="53">
        <f t="shared" si="7"/>
        <v>0</v>
      </c>
    </row>
    <row r="24" spans="1:17" x14ac:dyDescent="0.25">
      <c r="A24" s="35"/>
      <c r="B24" s="35"/>
      <c r="C24" s="36" t="str">
        <f>IFERROR(VLOOKUP($A24,'Pipe Rate'!$A$29:$W$47,MATCH($B24,'Pipe Rate'!$B$29:$W$29,0)+1,0),"N/F")</f>
        <v>N/F</v>
      </c>
      <c r="D24" s="65"/>
      <c r="E24" s="51"/>
      <c r="F24" s="68"/>
      <c r="G24" s="72"/>
      <c r="H24" s="55"/>
      <c r="I24" s="77"/>
      <c r="J24" s="53"/>
      <c r="K24" s="65">
        <f t="shared" si="1"/>
        <v>0</v>
      </c>
      <c r="L24" s="51">
        <f t="shared" si="2"/>
        <v>0</v>
      </c>
      <c r="M24" s="68">
        <f t="shared" si="3"/>
        <v>0</v>
      </c>
      <c r="N24" s="72">
        <f t="shared" si="4"/>
        <v>0</v>
      </c>
      <c r="O24" s="55">
        <f t="shared" si="5"/>
        <v>0</v>
      </c>
      <c r="P24" s="77">
        <f t="shared" si="6"/>
        <v>0</v>
      </c>
      <c r="Q24" s="53">
        <f t="shared" si="7"/>
        <v>0</v>
      </c>
    </row>
    <row r="25" spans="1:17" x14ac:dyDescent="0.25">
      <c r="A25" s="35"/>
      <c r="B25" s="35"/>
      <c r="C25" s="36" t="str">
        <f>IFERROR(VLOOKUP($A25,'Pipe Rate'!$A$29:$W$47,MATCH($B25,'Pipe Rate'!$B$29:$W$29,0)+1,0),"N/F")</f>
        <v>N/F</v>
      </c>
      <c r="D25" s="65"/>
      <c r="E25" s="51"/>
      <c r="F25" s="68"/>
      <c r="G25" s="72"/>
      <c r="H25" s="55"/>
      <c r="I25" s="77"/>
      <c r="J25" s="53"/>
      <c r="K25" s="65">
        <f t="shared" si="1"/>
        <v>0</v>
      </c>
      <c r="L25" s="51">
        <f t="shared" si="2"/>
        <v>0</v>
      </c>
      <c r="M25" s="68">
        <f t="shared" si="3"/>
        <v>0</v>
      </c>
      <c r="N25" s="72">
        <f t="shared" si="4"/>
        <v>0</v>
      </c>
      <c r="O25" s="55">
        <f t="shared" si="5"/>
        <v>0</v>
      </c>
      <c r="P25" s="77">
        <f t="shared" si="6"/>
        <v>0</v>
      </c>
      <c r="Q25" s="53">
        <f t="shared" si="7"/>
        <v>0</v>
      </c>
    </row>
    <row r="26" spans="1:17" x14ac:dyDescent="0.25">
      <c r="A26" s="35"/>
      <c r="B26" s="35"/>
      <c r="C26" s="36" t="str">
        <f>IFERROR(VLOOKUP($A26,'Pipe Rate'!$A$29:$W$47,MATCH($B26,'Pipe Rate'!$B$29:$W$29,0)+1,0),"N/F")</f>
        <v>N/F</v>
      </c>
      <c r="D26" s="65"/>
      <c r="E26" s="51"/>
      <c r="F26" s="68"/>
      <c r="G26" s="72"/>
      <c r="H26" s="55"/>
      <c r="I26" s="77"/>
      <c r="J26" s="53"/>
      <c r="K26" s="65">
        <f t="shared" si="1"/>
        <v>0</v>
      </c>
      <c r="L26" s="51">
        <f t="shared" si="2"/>
        <v>0</v>
      </c>
      <c r="M26" s="68">
        <f t="shared" si="3"/>
        <v>0</v>
      </c>
      <c r="N26" s="72">
        <f t="shared" si="4"/>
        <v>0</v>
      </c>
      <c r="O26" s="55">
        <f t="shared" si="5"/>
        <v>0</v>
      </c>
      <c r="P26" s="77">
        <f t="shared" si="6"/>
        <v>0</v>
      </c>
      <c r="Q26" s="53">
        <f t="shared" si="7"/>
        <v>0</v>
      </c>
    </row>
    <row r="27" spans="1:17" x14ac:dyDescent="0.25">
      <c r="A27" s="35"/>
      <c r="B27" s="35"/>
      <c r="C27" s="36" t="str">
        <f>IFERROR(VLOOKUP($A27,'Pipe Rate'!$A$29:$W$47,MATCH($B27,'Pipe Rate'!$B$29:$W$29,0)+1,0),"N/F")</f>
        <v>N/F</v>
      </c>
      <c r="D27" s="65"/>
      <c r="E27" s="51"/>
      <c r="F27" s="68"/>
      <c r="G27" s="72"/>
      <c r="H27" s="55"/>
      <c r="I27" s="77"/>
      <c r="J27" s="53"/>
      <c r="K27" s="65">
        <f t="shared" si="1"/>
        <v>0</v>
      </c>
      <c r="L27" s="51">
        <f t="shared" si="2"/>
        <v>0</v>
      </c>
      <c r="M27" s="68">
        <f t="shared" si="3"/>
        <v>0</v>
      </c>
      <c r="N27" s="72">
        <f t="shared" si="4"/>
        <v>0</v>
      </c>
      <c r="O27" s="55">
        <f t="shared" si="5"/>
        <v>0</v>
      </c>
      <c r="P27" s="77">
        <f t="shared" si="6"/>
        <v>0</v>
      </c>
      <c r="Q27" s="53">
        <f t="shared" si="7"/>
        <v>0</v>
      </c>
    </row>
    <row r="28" spans="1:17" x14ac:dyDescent="0.25">
      <c r="A28" s="35"/>
      <c r="B28" s="35"/>
      <c r="C28" s="36" t="str">
        <f>IFERROR(VLOOKUP($A28,'Pipe Rate'!$A$29:$W$47,MATCH($B28,'Pipe Rate'!$B$29:$W$29,0)+1,0),"N/F")</f>
        <v>N/F</v>
      </c>
      <c r="D28" s="65"/>
      <c r="E28" s="51"/>
      <c r="F28" s="68"/>
      <c r="G28" s="72"/>
      <c r="H28" s="55"/>
      <c r="I28" s="77"/>
      <c r="J28" s="53"/>
      <c r="K28" s="65">
        <f t="shared" si="1"/>
        <v>0</v>
      </c>
      <c r="L28" s="51">
        <f t="shared" si="2"/>
        <v>0</v>
      </c>
      <c r="M28" s="68">
        <f t="shared" si="3"/>
        <v>0</v>
      </c>
      <c r="N28" s="72">
        <f t="shared" si="4"/>
        <v>0</v>
      </c>
      <c r="O28" s="55">
        <f t="shared" si="5"/>
        <v>0</v>
      </c>
      <c r="P28" s="77">
        <f t="shared" si="6"/>
        <v>0</v>
      </c>
      <c r="Q28" s="53">
        <f t="shared" si="7"/>
        <v>0</v>
      </c>
    </row>
    <row r="29" spans="1:17" x14ac:dyDescent="0.25">
      <c r="A29" s="35"/>
      <c r="B29" s="35"/>
      <c r="C29" s="36" t="str">
        <f>IFERROR(VLOOKUP($A29,'Pipe Rate'!$A$29:$W$47,MATCH($B29,'Pipe Rate'!$B$29:$W$29,0)+1,0),"N/F")</f>
        <v>N/F</v>
      </c>
      <c r="D29" s="65"/>
      <c r="E29" s="51"/>
      <c r="F29" s="68"/>
      <c r="G29" s="72"/>
      <c r="H29" s="55"/>
      <c r="I29" s="77"/>
      <c r="J29" s="53"/>
      <c r="K29" s="65">
        <f t="shared" si="1"/>
        <v>0</v>
      </c>
      <c r="L29" s="51">
        <f t="shared" si="2"/>
        <v>0</v>
      </c>
      <c r="M29" s="68">
        <f t="shared" si="3"/>
        <v>0</v>
      </c>
      <c r="N29" s="72">
        <f t="shared" si="4"/>
        <v>0</v>
      </c>
      <c r="O29" s="55">
        <f t="shared" si="5"/>
        <v>0</v>
      </c>
      <c r="P29" s="77">
        <f t="shared" si="6"/>
        <v>0</v>
      </c>
      <c r="Q29" s="53">
        <f t="shared" si="7"/>
        <v>0</v>
      </c>
    </row>
    <row r="30" spans="1:17" x14ac:dyDescent="0.25">
      <c r="A30" s="35"/>
      <c r="B30" s="35"/>
      <c r="C30" s="36" t="str">
        <f>IFERROR(VLOOKUP($A30,'Pipe Rate'!$A$29:$W$47,MATCH($B30,'Pipe Rate'!$B$29:$W$29,0)+1,0),"N/F")</f>
        <v>N/F</v>
      </c>
      <c r="D30" s="65"/>
      <c r="E30" s="51"/>
      <c r="F30" s="68"/>
      <c r="G30" s="72"/>
      <c r="H30" s="55"/>
      <c r="I30" s="77"/>
      <c r="J30" s="53"/>
      <c r="K30" s="65">
        <f t="shared" si="1"/>
        <v>0</v>
      </c>
      <c r="L30" s="51">
        <f t="shared" si="2"/>
        <v>0</v>
      </c>
      <c r="M30" s="68">
        <f t="shared" si="3"/>
        <v>0</v>
      </c>
      <c r="N30" s="72">
        <f t="shared" si="4"/>
        <v>0</v>
      </c>
      <c r="O30" s="55">
        <f t="shared" si="5"/>
        <v>0</v>
      </c>
      <c r="P30" s="77">
        <f t="shared" si="6"/>
        <v>0</v>
      </c>
      <c r="Q30" s="53">
        <f t="shared" si="7"/>
        <v>0</v>
      </c>
    </row>
    <row r="31" spans="1:17" x14ac:dyDescent="0.25">
      <c r="A31" s="35"/>
      <c r="B31" s="35"/>
      <c r="C31" s="36" t="str">
        <f>IFERROR(VLOOKUP($A31,'Pipe Rate'!$A$29:$W$47,MATCH($B31,'Pipe Rate'!$B$29:$W$29,0)+1,0),"N/F")</f>
        <v>N/F</v>
      </c>
      <c r="D31" s="65"/>
      <c r="E31" s="51"/>
      <c r="F31" s="68"/>
      <c r="G31" s="72"/>
      <c r="H31" s="55"/>
      <c r="I31" s="77"/>
      <c r="J31" s="53"/>
      <c r="K31" s="65">
        <f t="shared" si="1"/>
        <v>0</v>
      </c>
      <c r="L31" s="51">
        <f t="shared" si="2"/>
        <v>0</v>
      </c>
      <c r="M31" s="68">
        <f t="shared" si="3"/>
        <v>0</v>
      </c>
      <c r="N31" s="72">
        <f t="shared" si="4"/>
        <v>0</v>
      </c>
      <c r="O31" s="55">
        <f t="shared" si="5"/>
        <v>0</v>
      </c>
      <c r="P31" s="77">
        <f t="shared" si="6"/>
        <v>0</v>
      </c>
      <c r="Q31" s="53">
        <f t="shared" si="7"/>
        <v>0</v>
      </c>
    </row>
    <row r="32" spans="1:17" x14ac:dyDescent="0.25">
      <c r="A32" s="35"/>
      <c r="B32" s="35"/>
      <c r="C32" s="36" t="str">
        <f>IFERROR(VLOOKUP($A32,'Pipe Rate'!$A$29:$W$47,MATCH($B32,'Pipe Rate'!$B$29:$W$29,0)+1,0),"N/F")</f>
        <v>N/F</v>
      </c>
      <c r="D32" s="65"/>
      <c r="E32" s="51"/>
      <c r="F32" s="68"/>
      <c r="G32" s="72"/>
      <c r="H32" s="55"/>
      <c r="I32" s="77"/>
      <c r="J32" s="53"/>
      <c r="K32" s="65">
        <f t="shared" si="1"/>
        <v>0</v>
      </c>
      <c r="L32" s="51">
        <f t="shared" si="2"/>
        <v>0</v>
      </c>
      <c r="M32" s="68">
        <f t="shared" si="3"/>
        <v>0</v>
      </c>
      <c r="N32" s="72">
        <f t="shared" si="4"/>
        <v>0</v>
      </c>
      <c r="O32" s="55">
        <f t="shared" si="5"/>
        <v>0</v>
      </c>
      <c r="P32" s="77">
        <f t="shared" si="6"/>
        <v>0</v>
      </c>
      <c r="Q32" s="53">
        <f t="shared" si="7"/>
        <v>0</v>
      </c>
    </row>
    <row r="33" spans="1:17" x14ac:dyDescent="0.25">
      <c r="A33" s="35"/>
      <c r="B33" s="35"/>
      <c r="C33" s="36" t="str">
        <f>IFERROR(VLOOKUP($A33,'Pipe Rate'!$A$29:$W$47,MATCH($B33,'Pipe Rate'!$B$29:$W$29,0)+1,0),"N/F")</f>
        <v>N/F</v>
      </c>
      <c r="D33" s="65"/>
      <c r="E33" s="51"/>
      <c r="F33" s="68"/>
      <c r="G33" s="72"/>
      <c r="H33" s="55"/>
      <c r="I33" s="77"/>
      <c r="J33" s="53"/>
      <c r="K33" s="65">
        <f t="shared" si="1"/>
        <v>0</v>
      </c>
      <c r="L33" s="51">
        <f t="shared" si="2"/>
        <v>0</v>
      </c>
      <c r="M33" s="68">
        <f t="shared" si="3"/>
        <v>0</v>
      </c>
      <c r="N33" s="72">
        <f t="shared" si="4"/>
        <v>0</v>
      </c>
      <c r="O33" s="55">
        <f t="shared" si="5"/>
        <v>0</v>
      </c>
      <c r="P33" s="77">
        <f t="shared" si="6"/>
        <v>0</v>
      </c>
      <c r="Q33" s="53">
        <f t="shared" si="7"/>
        <v>0</v>
      </c>
    </row>
    <row r="34" spans="1:17" x14ac:dyDescent="0.25">
      <c r="A34" s="35"/>
      <c r="B34" s="35"/>
      <c r="C34" s="36" t="str">
        <f>IFERROR(VLOOKUP($A34,'Pipe Rate'!$A$29:$W$47,MATCH($B34,'Pipe Rate'!$B$29:$W$29,0)+1,0),"N/F")</f>
        <v>N/F</v>
      </c>
      <c r="D34" s="65"/>
      <c r="E34" s="51"/>
      <c r="F34" s="68"/>
      <c r="G34" s="72"/>
      <c r="H34" s="55"/>
      <c r="I34" s="77"/>
      <c r="J34" s="53"/>
      <c r="K34" s="65">
        <f t="shared" si="1"/>
        <v>0</v>
      </c>
      <c r="L34" s="51">
        <f t="shared" si="2"/>
        <v>0</v>
      </c>
      <c r="M34" s="68">
        <f t="shared" si="3"/>
        <v>0</v>
      </c>
      <c r="N34" s="72">
        <f t="shared" si="4"/>
        <v>0</v>
      </c>
      <c r="O34" s="55">
        <f t="shared" si="5"/>
        <v>0</v>
      </c>
      <c r="P34" s="77">
        <f t="shared" si="6"/>
        <v>0</v>
      </c>
      <c r="Q34" s="53">
        <f t="shared" si="7"/>
        <v>0</v>
      </c>
    </row>
    <row r="35" spans="1:17" x14ac:dyDescent="0.25">
      <c r="A35" s="35"/>
      <c r="B35" s="35"/>
      <c r="C35" s="36" t="str">
        <f>IFERROR(VLOOKUP($A35,'Pipe Rate'!$A$29:$W$47,MATCH($B35,'Pipe Rate'!$B$29:$W$29,0)+1,0),"N/F")</f>
        <v>N/F</v>
      </c>
      <c r="D35" s="65"/>
      <c r="E35" s="51"/>
      <c r="F35" s="68"/>
      <c r="G35" s="72"/>
      <c r="H35" s="55"/>
      <c r="I35" s="77"/>
      <c r="J35" s="53"/>
      <c r="K35" s="65">
        <f t="shared" si="1"/>
        <v>0</v>
      </c>
      <c r="L35" s="51">
        <f t="shared" si="2"/>
        <v>0</v>
      </c>
      <c r="M35" s="68">
        <f t="shared" si="3"/>
        <v>0</v>
      </c>
      <c r="N35" s="72">
        <f t="shared" si="4"/>
        <v>0</v>
      </c>
      <c r="O35" s="55">
        <f t="shared" si="5"/>
        <v>0</v>
      </c>
      <c r="P35" s="77">
        <f t="shared" si="6"/>
        <v>0</v>
      </c>
      <c r="Q35" s="53">
        <f t="shared" si="7"/>
        <v>0</v>
      </c>
    </row>
    <row r="36" spans="1:17" x14ac:dyDescent="0.25">
      <c r="A36" s="35"/>
      <c r="B36" s="35"/>
      <c r="C36" s="36" t="str">
        <f>IFERROR(VLOOKUP($A36,'Pipe Rate'!$A$29:$W$47,MATCH($B36,'Pipe Rate'!$B$29:$W$29,0)+1,0),"N/F")</f>
        <v>N/F</v>
      </c>
      <c r="D36" s="65"/>
      <c r="E36" s="51"/>
      <c r="F36" s="68"/>
      <c r="G36" s="72"/>
      <c r="H36" s="55"/>
      <c r="I36" s="77"/>
      <c r="J36" s="53"/>
      <c r="K36" s="65">
        <f t="shared" si="1"/>
        <v>0</v>
      </c>
      <c r="L36" s="51">
        <f t="shared" si="2"/>
        <v>0</v>
      </c>
      <c r="M36" s="68">
        <f t="shared" si="3"/>
        <v>0</v>
      </c>
      <c r="N36" s="72">
        <f t="shared" si="4"/>
        <v>0</v>
      </c>
      <c r="O36" s="55">
        <f t="shared" si="5"/>
        <v>0</v>
      </c>
      <c r="P36" s="77">
        <f t="shared" si="6"/>
        <v>0</v>
      </c>
      <c r="Q36" s="53">
        <f t="shared" si="7"/>
        <v>0</v>
      </c>
    </row>
    <row r="37" spans="1:17" x14ac:dyDescent="0.25">
      <c r="A37" s="35"/>
      <c r="B37" s="35"/>
      <c r="C37" s="36" t="str">
        <f>IFERROR(VLOOKUP($A37,'Pipe Rate'!$A$29:$W$47,MATCH($B37,'Pipe Rate'!$B$29:$W$29,0)+1,0),"N/F")</f>
        <v>N/F</v>
      </c>
      <c r="D37" s="65"/>
      <c r="E37" s="51"/>
      <c r="F37" s="68"/>
      <c r="G37" s="72"/>
      <c r="H37" s="55"/>
      <c r="I37" s="77"/>
      <c r="J37" s="53"/>
      <c r="K37" s="65">
        <f t="shared" si="1"/>
        <v>0</v>
      </c>
      <c r="L37" s="51">
        <f t="shared" si="2"/>
        <v>0</v>
      </c>
      <c r="M37" s="68">
        <f t="shared" si="3"/>
        <v>0</v>
      </c>
      <c r="N37" s="72">
        <f t="shared" si="4"/>
        <v>0</v>
      </c>
      <c r="O37" s="55">
        <f t="shared" si="5"/>
        <v>0</v>
      </c>
      <c r="P37" s="77">
        <f t="shared" si="6"/>
        <v>0</v>
      </c>
      <c r="Q37" s="53">
        <f t="shared" si="7"/>
        <v>0</v>
      </c>
    </row>
    <row r="38" spans="1:17" x14ac:dyDescent="0.25">
      <c r="A38" s="35"/>
      <c r="B38" s="35"/>
      <c r="C38" s="36" t="str">
        <f>IFERROR(VLOOKUP($A38,'Pipe Rate'!$A$29:$W$47,MATCH($B38,'Pipe Rate'!$B$29:$W$29,0)+1,0),"N/F")</f>
        <v>N/F</v>
      </c>
      <c r="D38" s="65"/>
      <c r="E38" s="51"/>
      <c r="F38" s="68"/>
      <c r="G38" s="72"/>
      <c r="H38" s="55"/>
      <c r="I38" s="77"/>
      <c r="J38" s="53"/>
      <c r="K38" s="65">
        <f t="shared" si="1"/>
        <v>0</v>
      </c>
      <c r="L38" s="51">
        <f t="shared" si="2"/>
        <v>0</v>
      </c>
      <c r="M38" s="68">
        <f t="shared" si="3"/>
        <v>0</v>
      </c>
      <c r="N38" s="72">
        <f t="shared" si="4"/>
        <v>0</v>
      </c>
      <c r="O38" s="55">
        <f t="shared" si="5"/>
        <v>0</v>
      </c>
      <c r="P38" s="77">
        <f t="shared" si="6"/>
        <v>0</v>
      </c>
      <c r="Q38" s="53">
        <f t="shared" si="7"/>
        <v>0</v>
      </c>
    </row>
    <row r="39" spans="1:17" x14ac:dyDescent="0.25">
      <c r="A39" s="35"/>
      <c r="B39" s="35"/>
      <c r="C39" s="36" t="str">
        <f>IFERROR(VLOOKUP($A39,'Pipe Rate'!$A$29:$W$47,MATCH($B39,'Pipe Rate'!$B$29:$W$29,0)+1,0),"N/F")</f>
        <v>N/F</v>
      </c>
      <c r="D39" s="65"/>
      <c r="E39" s="51"/>
      <c r="F39" s="68"/>
      <c r="G39" s="72"/>
      <c r="H39" s="55"/>
      <c r="I39" s="77"/>
      <c r="J39" s="53"/>
      <c r="K39" s="65">
        <f t="shared" si="1"/>
        <v>0</v>
      </c>
      <c r="L39" s="51">
        <f t="shared" si="2"/>
        <v>0</v>
      </c>
      <c r="M39" s="68">
        <f t="shared" si="3"/>
        <v>0</v>
      </c>
      <c r="N39" s="72">
        <f t="shared" si="4"/>
        <v>0</v>
      </c>
      <c r="O39" s="55">
        <f t="shared" si="5"/>
        <v>0</v>
      </c>
      <c r="P39" s="77">
        <f t="shared" si="6"/>
        <v>0</v>
      </c>
      <c r="Q39" s="53">
        <f t="shared" si="7"/>
        <v>0</v>
      </c>
    </row>
    <row r="40" spans="1:17" ht="28.5" customHeight="1" x14ac:dyDescent="0.25">
      <c r="A40" s="251" t="s">
        <v>32</v>
      </c>
      <c r="B40" s="252"/>
      <c r="C40" s="253"/>
      <c r="D40" s="63">
        <f t="shared" ref="D40:Q40" si="8">SUM(D3:D39)</f>
        <v>43855</v>
      </c>
      <c r="E40" s="45">
        <f t="shared" si="8"/>
        <v>37327</v>
      </c>
      <c r="F40" s="44">
        <f t="shared" si="8"/>
        <v>43189</v>
      </c>
      <c r="G40" s="70">
        <f t="shared" si="8"/>
        <v>43040</v>
      </c>
      <c r="H40" s="74">
        <f t="shared" si="8"/>
        <v>43023</v>
      </c>
      <c r="I40" s="42">
        <f t="shared" si="8"/>
        <v>28716</v>
      </c>
      <c r="J40" s="43">
        <f t="shared" si="8"/>
        <v>29548</v>
      </c>
      <c r="K40" s="63">
        <f t="shared" si="8"/>
        <v>955208</v>
      </c>
      <c r="L40" s="45">
        <f t="shared" si="8"/>
        <v>1461759.4999999998</v>
      </c>
      <c r="M40" s="44">
        <f t="shared" si="8"/>
        <v>903861.6</v>
      </c>
      <c r="N40" s="70">
        <f t="shared" si="8"/>
        <v>886979.9</v>
      </c>
      <c r="O40" s="74">
        <f t="shared" si="8"/>
        <v>883306</v>
      </c>
      <c r="P40" s="42">
        <f t="shared" si="8"/>
        <v>517021.79999999993</v>
      </c>
      <c r="Q40" s="43">
        <f t="shared" si="8"/>
        <v>588923.80000000005</v>
      </c>
    </row>
  </sheetData>
  <mergeCells count="4">
    <mergeCell ref="A1:A2"/>
    <mergeCell ref="B1:B2"/>
    <mergeCell ref="C1:C2"/>
    <mergeCell ref="A40:C4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9D6D6A66-BBA2-463F-9D49-305DE21F5612}">
          <x14:formula1>
            <xm:f>'Pipe Rate'!$B$29:$W$29</xm:f>
          </x14:formula1>
          <xm:sqref>B3:B39</xm:sqref>
        </x14:dataValidation>
        <x14:dataValidation type="list" allowBlank="1" showInputMessage="1" showErrorMessage="1" xr:uid="{1E3D87C0-6D44-4DBE-8F77-31D320E25B5C}">
          <x14:formula1>
            <xm:f>'Pipe Rate'!$A$30:$A$47</xm:f>
          </x14:formula1>
          <xm:sqref>A3:A39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13BDF-EC42-47AD-B839-A1F7721B4E25}">
  <dimension ref="A1:P24"/>
  <sheetViews>
    <sheetView workbookViewId="0">
      <selection activeCell="I8" sqref="I8"/>
    </sheetView>
  </sheetViews>
  <sheetFormatPr defaultRowHeight="15" x14ac:dyDescent="0.25"/>
  <cols>
    <col min="1" max="1" width="28.140625" style="1" customWidth="1"/>
    <col min="2" max="2" width="16" style="80" customWidth="1"/>
    <col min="3" max="9" width="14.85546875" style="1" customWidth="1"/>
    <col min="10" max="16" width="17.7109375" style="37" customWidth="1"/>
    <col min="17" max="16384" width="9.140625" style="1"/>
  </cols>
  <sheetData>
    <row r="1" spans="1:16" ht="15" customHeight="1" x14ac:dyDescent="0.25">
      <c r="A1" s="242" t="s">
        <v>114</v>
      </c>
      <c r="B1" s="243" t="s">
        <v>129</v>
      </c>
      <c r="C1" s="81" t="s">
        <v>107</v>
      </c>
      <c r="D1" s="56" t="s">
        <v>108</v>
      </c>
      <c r="E1" s="48" t="s">
        <v>109</v>
      </c>
      <c r="F1" s="85" t="s">
        <v>110</v>
      </c>
      <c r="G1" s="88" t="s">
        <v>111</v>
      </c>
      <c r="H1" s="46" t="s">
        <v>112</v>
      </c>
      <c r="I1" s="58" t="s">
        <v>113</v>
      </c>
      <c r="J1" s="63" t="s">
        <v>107</v>
      </c>
      <c r="K1" s="45" t="s">
        <v>108</v>
      </c>
      <c r="L1" s="44" t="s">
        <v>109</v>
      </c>
      <c r="M1" s="70" t="s">
        <v>110</v>
      </c>
      <c r="N1" s="74" t="s">
        <v>111</v>
      </c>
      <c r="O1" s="42" t="s">
        <v>112</v>
      </c>
      <c r="P1" s="43" t="s">
        <v>113</v>
      </c>
    </row>
    <row r="2" spans="1:16" ht="32.25" x14ac:dyDescent="0.25">
      <c r="A2" s="242"/>
      <c r="B2" s="243"/>
      <c r="C2" s="81" t="s">
        <v>126</v>
      </c>
      <c r="D2" s="56" t="s">
        <v>126</v>
      </c>
      <c r="E2" s="48" t="s">
        <v>126</v>
      </c>
      <c r="F2" s="85" t="s">
        <v>126</v>
      </c>
      <c r="G2" s="88" t="s">
        <v>126</v>
      </c>
      <c r="H2" s="46" t="s">
        <v>126</v>
      </c>
      <c r="I2" s="58" t="s">
        <v>126</v>
      </c>
      <c r="J2" s="64" t="s">
        <v>31</v>
      </c>
      <c r="K2" s="57" t="s">
        <v>31</v>
      </c>
      <c r="L2" s="49" t="s">
        <v>31</v>
      </c>
      <c r="M2" s="71" t="s">
        <v>31</v>
      </c>
      <c r="N2" s="75" t="s">
        <v>31</v>
      </c>
      <c r="O2" s="47" t="s">
        <v>31</v>
      </c>
      <c r="P2" s="59" t="s">
        <v>31</v>
      </c>
    </row>
    <row r="3" spans="1:16" ht="17.25" x14ac:dyDescent="0.25">
      <c r="A3" s="35" t="s">
        <v>120</v>
      </c>
      <c r="B3" s="36">
        <v>1000</v>
      </c>
      <c r="C3" s="65"/>
      <c r="D3" s="51"/>
      <c r="E3" s="68"/>
      <c r="F3" s="72"/>
      <c r="G3" s="55"/>
      <c r="H3" s="77">
        <v>491</v>
      </c>
      <c r="I3" s="53">
        <v>491</v>
      </c>
      <c r="J3" s="65">
        <f t="shared" ref="J3:P8" si="0">IFERROR(C3*$B3,0)</f>
        <v>0</v>
      </c>
      <c r="K3" s="51">
        <f t="shared" si="0"/>
        <v>0</v>
      </c>
      <c r="L3" s="68">
        <f t="shared" si="0"/>
        <v>0</v>
      </c>
      <c r="M3" s="72">
        <f t="shared" si="0"/>
        <v>0</v>
      </c>
      <c r="N3" s="55">
        <f t="shared" si="0"/>
        <v>0</v>
      </c>
      <c r="O3" s="77">
        <f t="shared" si="0"/>
        <v>491000</v>
      </c>
      <c r="P3" s="53">
        <f t="shared" si="0"/>
        <v>491000</v>
      </c>
    </row>
    <row r="4" spans="1:16" ht="17.25" x14ac:dyDescent="0.25">
      <c r="A4" s="35" t="s">
        <v>121</v>
      </c>
      <c r="B4" s="36">
        <v>900</v>
      </c>
      <c r="C4" s="65"/>
      <c r="D4" s="51"/>
      <c r="E4" s="68"/>
      <c r="F4" s="72"/>
      <c r="G4" s="55"/>
      <c r="H4" s="77">
        <v>2862</v>
      </c>
      <c r="I4" s="53">
        <v>2862</v>
      </c>
      <c r="J4" s="65">
        <f t="shared" si="0"/>
        <v>0</v>
      </c>
      <c r="K4" s="51">
        <f t="shared" si="0"/>
        <v>0</v>
      </c>
      <c r="L4" s="68">
        <f t="shared" si="0"/>
        <v>0</v>
      </c>
      <c r="M4" s="72">
        <f t="shared" si="0"/>
        <v>0</v>
      </c>
      <c r="N4" s="55">
        <f t="shared" si="0"/>
        <v>0</v>
      </c>
      <c r="O4" s="77">
        <f t="shared" si="0"/>
        <v>2575800</v>
      </c>
      <c r="P4" s="53">
        <f t="shared" si="0"/>
        <v>2575800</v>
      </c>
    </row>
    <row r="5" spans="1:16" ht="17.25" x14ac:dyDescent="0.25">
      <c r="A5" s="35" t="s">
        <v>122</v>
      </c>
      <c r="B5" s="36">
        <v>800</v>
      </c>
      <c r="C5" s="65"/>
      <c r="D5" s="51"/>
      <c r="E5" s="68">
        <v>8729</v>
      </c>
      <c r="F5" s="72">
        <v>8729</v>
      </c>
      <c r="G5" s="55">
        <v>8729</v>
      </c>
      <c r="H5" s="77">
        <v>8729</v>
      </c>
      <c r="I5" s="53"/>
      <c r="J5" s="65">
        <f t="shared" si="0"/>
        <v>0</v>
      </c>
      <c r="K5" s="51">
        <f t="shared" si="0"/>
        <v>0</v>
      </c>
      <c r="L5" s="68">
        <f t="shared" si="0"/>
        <v>6983200</v>
      </c>
      <c r="M5" s="72">
        <f t="shared" si="0"/>
        <v>6983200</v>
      </c>
      <c r="N5" s="55">
        <f t="shared" si="0"/>
        <v>6983200</v>
      </c>
      <c r="O5" s="77">
        <f t="shared" si="0"/>
        <v>6983200</v>
      </c>
      <c r="P5" s="53">
        <f t="shared" si="0"/>
        <v>0</v>
      </c>
    </row>
    <row r="6" spans="1:16" ht="17.25" x14ac:dyDescent="0.25">
      <c r="A6" s="35" t="s">
        <v>123</v>
      </c>
      <c r="B6" s="36">
        <v>700</v>
      </c>
      <c r="C6" s="65"/>
      <c r="D6" s="51"/>
      <c r="E6" s="68"/>
      <c r="F6" s="72">
        <v>17204</v>
      </c>
      <c r="G6" s="55">
        <v>29267</v>
      </c>
      <c r="H6" s="77">
        <v>29267</v>
      </c>
      <c r="I6" s="53"/>
      <c r="J6" s="65">
        <f t="shared" si="0"/>
        <v>0</v>
      </c>
      <c r="K6" s="51">
        <f t="shared" si="0"/>
        <v>0</v>
      </c>
      <c r="L6" s="68">
        <f t="shared" si="0"/>
        <v>0</v>
      </c>
      <c r="M6" s="72">
        <f t="shared" si="0"/>
        <v>12042800</v>
      </c>
      <c r="N6" s="55">
        <f t="shared" si="0"/>
        <v>20486900</v>
      </c>
      <c r="O6" s="77">
        <f t="shared" si="0"/>
        <v>20486900</v>
      </c>
      <c r="P6" s="53">
        <f t="shared" si="0"/>
        <v>0</v>
      </c>
    </row>
    <row r="7" spans="1:16" ht="17.25" x14ac:dyDescent="0.25">
      <c r="A7" s="35" t="s">
        <v>124</v>
      </c>
      <c r="B7" s="36">
        <v>600</v>
      </c>
      <c r="C7" s="65"/>
      <c r="D7" s="51"/>
      <c r="E7" s="68"/>
      <c r="F7" s="72">
        <v>40569</v>
      </c>
      <c r="G7" s="55">
        <v>28506</v>
      </c>
      <c r="H7" s="77">
        <v>25153</v>
      </c>
      <c r="I7" s="53"/>
      <c r="J7" s="65">
        <f t="shared" si="0"/>
        <v>0</v>
      </c>
      <c r="K7" s="51">
        <f t="shared" si="0"/>
        <v>0</v>
      </c>
      <c r="L7" s="68">
        <f t="shared" si="0"/>
        <v>0</v>
      </c>
      <c r="M7" s="72">
        <f t="shared" si="0"/>
        <v>24341400</v>
      </c>
      <c r="N7" s="55">
        <f t="shared" si="0"/>
        <v>17103600</v>
      </c>
      <c r="O7" s="77">
        <f t="shared" si="0"/>
        <v>15091800</v>
      </c>
      <c r="P7" s="53">
        <f t="shared" si="0"/>
        <v>0</v>
      </c>
    </row>
    <row r="8" spans="1:16" ht="17.25" x14ac:dyDescent="0.25">
      <c r="A8" s="35" t="s">
        <v>125</v>
      </c>
      <c r="B8" s="36">
        <v>500</v>
      </c>
      <c r="C8" s="65">
        <v>66502</v>
      </c>
      <c r="D8" s="51">
        <v>66502</v>
      </c>
      <c r="E8" s="68">
        <v>57773</v>
      </c>
      <c r="F8" s="72"/>
      <c r="G8" s="55"/>
      <c r="H8" s="77"/>
      <c r="I8" s="53">
        <v>63149</v>
      </c>
      <c r="J8" s="65">
        <f t="shared" si="0"/>
        <v>33251000</v>
      </c>
      <c r="K8" s="51">
        <f t="shared" si="0"/>
        <v>33251000</v>
      </c>
      <c r="L8" s="68">
        <f t="shared" si="0"/>
        <v>28886500</v>
      </c>
      <c r="M8" s="72">
        <f t="shared" si="0"/>
        <v>0</v>
      </c>
      <c r="N8" s="55">
        <f t="shared" si="0"/>
        <v>0</v>
      </c>
      <c r="O8" s="77">
        <f t="shared" si="0"/>
        <v>0</v>
      </c>
      <c r="P8" s="53">
        <f t="shared" si="0"/>
        <v>31574500</v>
      </c>
    </row>
    <row r="9" spans="1:16" ht="28.5" customHeight="1" x14ac:dyDescent="0.25">
      <c r="A9" s="244" t="s">
        <v>32</v>
      </c>
      <c r="B9" s="244"/>
      <c r="C9" s="63">
        <f>SUM(C3:C8)</f>
        <v>66502</v>
      </c>
      <c r="D9" s="45">
        <f t="shared" ref="D9:I9" si="1">SUM(D3:D8)</f>
        <v>66502</v>
      </c>
      <c r="E9" s="44">
        <f t="shared" si="1"/>
        <v>66502</v>
      </c>
      <c r="F9" s="70">
        <f t="shared" si="1"/>
        <v>66502</v>
      </c>
      <c r="G9" s="74">
        <f t="shared" si="1"/>
        <v>66502</v>
      </c>
      <c r="H9" s="42">
        <f t="shared" si="1"/>
        <v>66502</v>
      </c>
      <c r="I9" s="43">
        <f t="shared" si="1"/>
        <v>66502</v>
      </c>
      <c r="J9" s="63">
        <f t="shared" ref="J9" si="2">SUM(J3:J8)</f>
        <v>33251000</v>
      </c>
      <c r="K9" s="45">
        <f t="shared" ref="K9" si="3">SUM(K3:K8)</f>
        <v>33251000</v>
      </c>
      <c r="L9" s="44">
        <f t="shared" ref="L9" si="4">SUM(L3:L8)</f>
        <v>35869700</v>
      </c>
      <c r="M9" s="70">
        <f t="shared" ref="M9" si="5">SUM(M3:M8)</f>
        <v>43367400</v>
      </c>
      <c r="N9" s="74">
        <f t="shared" ref="N9" si="6">SUM(N3:N8)</f>
        <v>44573700</v>
      </c>
      <c r="O9" s="42">
        <f t="shared" ref="O9" si="7">SUM(O3:O8)</f>
        <v>45628700</v>
      </c>
      <c r="P9" s="43">
        <f t="shared" ref="P9" si="8">SUM(P3:P8)</f>
        <v>34641300</v>
      </c>
    </row>
    <row r="12" spans="1:16" ht="15" customHeight="1" x14ac:dyDescent="0.25">
      <c r="A12" s="242" t="s">
        <v>114</v>
      </c>
      <c r="B12" s="243" t="s">
        <v>131</v>
      </c>
      <c r="C12" s="81" t="s">
        <v>107</v>
      </c>
      <c r="D12" s="56" t="s">
        <v>108</v>
      </c>
      <c r="E12" s="48" t="s">
        <v>109</v>
      </c>
      <c r="F12" s="85" t="s">
        <v>110</v>
      </c>
      <c r="G12" s="88" t="s">
        <v>111</v>
      </c>
      <c r="H12" s="46" t="s">
        <v>112</v>
      </c>
      <c r="I12" s="58" t="s">
        <v>113</v>
      </c>
      <c r="J12" s="1"/>
      <c r="K12" s="1"/>
      <c r="L12" s="1"/>
      <c r="M12" s="1"/>
      <c r="N12" s="1"/>
      <c r="O12" s="1"/>
      <c r="P12" s="1"/>
    </row>
    <row r="13" spans="1:16" ht="30" x14ac:dyDescent="0.25">
      <c r="A13" s="242"/>
      <c r="B13" s="243"/>
      <c r="C13" s="81" t="s">
        <v>130</v>
      </c>
      <c r="D13" s="56" t="s">
        <v>130</v>
      </c>
      <c r="E13" s="48" t="s">
        <v>130</v>
      </c>
      <c r="F13" s="85" t="s">
        <v>130</v>
      </c>
      <c r="G13" s="88" t="s">
        <v>130</v>
      </c>
      <c r="H13" s="46" t="s">
        <v>130</v>
      </c>
      <c r="I13" s="58" t="s">
        <v>130</v>
      </c>
      <c r="J13" s="1"/>
      <c r="K13" s="1"/>
      <c r="L13" s="1"/>
      <c r="M13" s="1"/>
      <c r="N13" s="1"/>
      <c r="O13" s="1"/>
      <c r="P13" s="1"/>
    </row>
    <row r="14" spans="1:16" x14ac:dyDescent="0.25">
      <c r="A14" s="35" t="s">
        <v>114</v>
      </c>
      <c r="B14" s="103">
        <v>2.5000000000000001E-2</v>
      </c>
      <c r="C14" s="65">
        <f>C9*$B14</f>
        <v>1662.5500000000002</v>
      </c>
      <c r="D14" s="51">
        <f t="shared" ref="D14:I14" si="9">D9*$B14</f>
        <v>1662.5500000000002</v>
      </c>
      <c r="E14" s="68">
        <f t="shared" si="9"/>
        <v>1662.5500000000002</v>
      </c>
      <c r="F14" s="72">
        <f t="shared" si="9"/>
        <v>1662.5500000000002</v>
      </c>
      <c r="G14" s="55">
        <f t="shared" si="9"/>
        <v>1662.5500000000002</v>
      </c>
      <c r="H14" s="77">
        <f t="shared" si="9"/>
        <v>1662.5500000000002</v>
      </c>
      <c r="I14" s="53">
        <f t="shared" si="9"/>
        <v>1662.5500000000002</v>
      </c>
      <c r="J14" s="1"/>
      <c r="K14" s="1"/>
      <c r="L14" s="1"/>
      <c r="M14" s="1"/>
      <c r="N14" s="1"/>
      <c r="O14" s="1"/>
      <c r="P14" s="1"/>
    </row>
    <row r="15" spans="1:16" x14ac:dyDescent="0.25">
      <c r="I15" s="37"/>
      <c r="P15" s="1"/>
    </row>
    <row r="16" spans="1:16" x14ac:dyDescent="0.25">
      <c r="A16" s="242" t="s">
        <v>114</v>
      </c>
      <c r="B16" s="243" t="s">
        <v>135</v>
      </c>
      <c r="C16" s="81" t="s">
        <v>107</v>
      </c>
      <c r="D16" s="56" t="s">
        <v>108</v>
      </c>
      <c r="E16" s="48" t="s">
        <v>109</v>
      </c>
      <c r="F16" s="85" t="s">
        <v>110</v>
      </c>
      <c r="G16" s="88" t="s">
        <v>111</v>
      </c>
      <c r="H16" s="46" t="s">
        <v>112</v>
      </c>
      <c r="I16" s="58" t="s">
        <v>113</v>
      </c>
      <c r="P16" s="1"/>
    </row>
    <row r="17" spans="1:16" ht="47.25" x14ac:dyDescent="0.25">
      <c r="A17" s="242"/>
      <c r="B17" s="243"/>
      <c r="C17" s="81" t="s">
        <v>134</v>
      </c>
      <c r="D17" s="56" t="s">
        <v>134</v>
      </c>
      <c r="E17" s="48" t="s">
        <v>134</v>
      </c>
      <c r="F17" s="85" t="s">
        <v>134</v>
      </c>
      <c r="G17" s="88" t="s">
        <v>134</v>
      </c>
      <c r="H17" s="46" t="s">
        <v>134</v>
      </c>
      <c r="I17" s="58" t="s">
        <v>134</v>
      </c>
      <c r="P17" s="1"/>
    </row>
    <row r="18" spans="1:16" ht="17.25" x14ac:dyDescent="0.25">
      <c r="A18" s="35" t="s">
        <v>120</v>
      </c>
      <c r="B18" s="36">
        <v>8</v>
      </c>
      <c r="C18" s="65">
        <f>C3*$B18</f>
        <v>0</v>
      </c>
      <c r="D18" s="51">
        <f t="shared" ref="D18:I18" si="10">D3*$B18</f>
        <v>0</v>
      </c>
      <c r="E18" s="68">
        <f t="shared" si="10"/>
        <v>0</v>
      </c>
      <c r="F18" s="72">
        <f t="shared" si="10"/>
        <v>0</v>
      </c>
      <c r="G18" s="55">
        <f t="shared" si="10"/>
        <v>0</v>
      </c>
      <c r="H18" s="77">
        <f t="shared" si="10"/>
        <v>3928</v>
      </c>
      <c r="I18" s="53">
        <f t="shared" si="10"/>
        <v>3928</v>
      </c>
      <c r="P18" s="1"/>
    </row>
    <row r="19" spans="1:16" ht="17.25" x14ac:dyDescent="0.25">
      <c r="A19" s="35" t="s">
        <v>121</v>
      </c>
      <c r="B19" s="36">
        <v>6</v>
      </c>
      <c r="C19" s="65">
        <f t="shared" ref="C19:I19" si="11">C4*$B19</f>
        <v>0</v>
      </c>
      <c r="D19" s="51">
        <f t="shared" si="11"/>
        <v>0</v>
      </c>
      <c r="E19" s="68">
        <f t="shared" si="11"/>
        <v>0</v>
      </c>
      <c r="F19" s="72">
        <f t="shared" si="11"/>
        <v>0</v>
      </c>
      <c r="G19" s="55">
        <f t="shared" si="11"/>
        <v>0</v>
      </c>
      <c r="H19" s="77">
        <f t="shared" si="11"/>
        <v>17172</v>
      </c>
      <c r="I19" s="53">
        <f t="shared" si="11"/>
        <v>17172</v>
      </c>
    </row>
    <row r="20" spans="1:16" ht="17.25" x14ac:dyDescent="0.25">
      <c r="A20" s="35" t="s">
        <v>122</v>
      </c>
      <c r="B20" s="36">
        <v>4</v>
      </c>
      <c r="C20" s="65">
        <f t="shared" ref="C20:I20" si="12">C5*$B20</f>
        <v>0</v>
      </c>
      <c r="D20" s="51">
        <f t="shared" si="12"/>
        <v>0</v>
      </c>
      <c r="E20" s="68">
        <f t="shared" si="12"/>
        <v>34916</v>
      </c>
      <c r="F20" s="72">
        <f t="shared" si="12"/>
        <v>34916</v>
      </c>
      <c r="G20" s="55">
        <f t="shared" si="12"/>
        <v>34916</v>
      </c>
      <c r="H20" s="77">
        <f t="shared" si="12"/>
        <v>34916</v>
      </c>
      <c r="I20" s="53">
        <f t="shared" si="12"/>
        <v>0</v>
      </c>
    </row>
    <row r="21" spans="1:16" ht="17.25" x14ac:dyDescent="0.25">
      <c r="A21" s="35" t="s">
        <v>123</v>
      </c>
      <c r="B21" s="36">
        <v>3</v>
      </c>
      <c r="C21" s="65">
        <f t="shared" ref="C21:I21" si="13">C6*$B21</f>
        <v>0</v>
      </c>
      <c r="D21" s="51">
        <f t="shared" si="13"/>
        <v>0</v>
      </c>
      <c r="E21" s="68">
        <f t="shared" si="13"/>
        <v>0</v>
      </c>
      <c r="F21" s="72">
        <f t="shared" si="13"/>
        <v>51612</v>
      </c>
      <c r="G21" s="55">
        <f t="shared" si="13"/>
        <v>87801</v>
      </c>
      <c r="H21" s="77">
        <f t="shared" si="13"/>
        <v>87801</v>
      </c>
      <c r="I21" s="53">
        <f t="shared" si="13"/>
        <v>0</v>
      </c>
    </row>
    <row r="22" spans="1:16" ht="17.25" x14ac:dyDescent="0.25">
      <c r="A22" s="35" t="s">
        <v>124</v>
      </c>
      <c r="B22" s="36">
        <v>2</v>
      </c>
      <c r="C22" s="65">
        <f t="shared" ref="C22:I22" si="14">C7*$B22</f>
        <v>0</v>
      </c>
      <c r="D22" s="51">
        <f t="shared" si="14"/>
        <v>0</v>
      </c>
      <c r="E22" s="68">
        <f t="shared" si="14"/>
        <v>0</v>
      </c>
      <c r="F22" s="72">
        <f t="shared" si="14"/>
        <v>81138</v>
      </c>
      <c r="G22" s="55">
        <f t="shared" si="14"/>
        <v>57012</v>
      </c>
      <c r="H22" s="77">
        <f t="shared" si="14"/>
        <v>50306</v>
      </c>
      <c r="I22" s="53">
        <f t="shared" si="14"/>
        <v>0</v>
      </c>
    </row>
    <row r="23" spans="1:16" ht="17.25" x14ac:dyDescent="0.25">
      <c r="A23" s="35" t="s">
        <v>125</v>
      </c>
      <c r="B23" s="36">
        <v>1</v>
      </c>
      <c r="C23" s="65">
        <f t="shared" ref="C23:I23" si="15">C8*$B23</f>
        <v>66502</v>
      </c>
      <c r="D23" s="51">
        <f t="shared" si="15"/>
        <v>66502</v>
      </c>
      <c r="E23" s="68">
        <f t="shared" si="15"/>
        <v>57773</v>
      </c>
      <c r="F23" s="72">
        <f t="shared" si="15"/>
        <v>0</v>
      </c>
      <c r="G23" s="55">
        <f t="shared" si="15"/>
        <v>0</v>
      </c>
      <c r="H23" s="77">
        <f t="shared" si="15"/>
        <v>0</v>
      </c>
      <c r="I23" s="53">
        <f t="shared" si="15"/>
        <v>63149</v>
      </c>
    </row>
    <row r="24" spans="1:16" ht="32.25" customHeight="1" x14ac:dyDescent="0.25">
      <c r="A24" s="244" t="s">
        <v>32</v>
      </c>
      <c r="B24" s="244"/>
      <c r="C24" s="63">
        <f>SUM(C18:C23)</f>
        <v>66502</v>
      </c>
      <c r="D24" s="45">
        <f t="shared" ref="D24" si="16">SUM(D18:D23)</f>
        <v>66502</v>
      </c>
      <c r="E24" s="44">
        <f t="shared" ref="E24" si="17">SUM(E18:E23)</f>
        <v>92689</v>
      </c>
      <c r="F24" s="70">
        <f t="shared" ref="F24" si="18">SUM(F18:F23)</f>
        <v>167666</v>
      </c>
      <c r="G24" s="74">
        <f t="shared" ref="G24" si="19">SUM(G18:G23)</f>
        <v>179729</v>
      </c>
      <c r="H24" s="42">
        <f t="shared" ref="H24" si="20">SUM(H18:H23)</f>
        <v>194123</v>
      </c>
      <c r="I24" s="43">
        <f t="shared" ref="I24" si="21">SUM(I18:I23)</f>
        <v>84249</v>
      </c>
    </row>
  </sheetData>
  <mergeCells count="8">
    <mergeCell ref="A16:A17"/>
    <mergeCell ref="B16:B17"/>
    <mergeCell ref="A24:B24"/>
    <mergeCell ref="A1:A2"/>
    <mergeCell ref="B1:B2"/>
    <mergeCell ref="A9:B9"/>
    <mergeCell ref="A12:A13"/>
    <mergeCell ref="B12:B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83D51-0323-484B-9AD7-275F6A2439B5}">
  <dimension ref="A1:Q37"/>
  <sheetViews>
    <sheetView workbookViewId="0">
      <selection activeCell="D25" sqref="D25"/>
    </sheetView>
  </sheetViews>
  <sheetFormatPr defaultRowHeight="15" x14ac:dyDescent="0.25"/>
  <cols>
    <col min="1" max="1" width="30.7109375" style="1" customWidth="1"/>
    <col min="2" max="8" width="21.85546875" style="37" customWidth="1"/>
    <col min="9" max="9" width="4.28515625" style="1" customWidth="1"/>
    <col min="10" max="10" width="31.7109375" style="1" customWidth="1"/>
    <col min="11" max="17" width="21.85546875" style="37" customWidth="1"/>
    <col min="18" max="16384" width="9.140625" style="1"/>
  </cols>
  <sheetData>
    <row r="1" spans="1:17" x14ac:dyDescent="0.25">
      <c r="A1" s="259" t="s">
        <v>83</v>
      </c>
      <c r="B1" s="202" t="s">
        <v>107</v>
      </c>
      <c r="C1" s="140" t="s">
        <v>108</v>
      </c>
      <c r="D1" s="141" t="s">
        <v>109</v>
      </c>
      <c r="E1" s="142" t="s">
        <v>110</v>
      </c>
      <c r="F1" s="143" t="s">
        <v>111</v>
      </c>
      <c r="G1" s="144" t="s">
        <v>112</v>
      </c>
      <c r="H1" s="145" t="s">
        <v>113</v>
      </c>
      <c r="J1" s="261" t="s">
        <v>83</v>
      </c>
      <c r="K1" s="218" t="s">
        <v>107</v>
      </c>
      <c r="L1" s="158" t="s">
        <v>108</v>
      </c>
      <c r="M1" s="159" t="s">
        <v>109</v>
      </c>
      <c r="N1" s="160" t="s">
        <v>110</v>
      </c>
      <c r="O1" s="161" t="s">
        <v>111</v>
      </c>
      <c r="P1" s="162" t="s">
        <v>112</v>
      </c>
      <c r="Q1" s="163" t="s">
        <v>113</v>
      </c>
    </row>
    <row r="2" spans="1:17" ht="30.75" thickBot="1" x14ac:dyDescent="0.3">
      <c r="A2" s="260"/>
      <c r="B2" s="203" t="s">
        <v>31</v>
      </c>
      <c r="C2" s="146" t="s">
        <v>31</v>
      </c>
      <c r="D2" s="147" t="s">
        <v>31</v>
      </c>
      <c r="E2" s="148" t="s">
        <v>31</v>
      </c>
      <c r="F2" s="149" t="s">
        <v>31</v>
      </c>
      <c r="G2" s="150" t="s">
        <v>31</v>
      </c>
      <c r="H2" s="151" t="s">
        <v>31</v>
      </c>
      <c r="J2" s="262"/>
      <c r="K2" s="219" t="s">
        <v>93</v>
      </c>
      <c r="L2" s="184" t="s">
        <v>93</v>
      </c>
      <c r="M2" s="185" t="s">
        <v>93</v>
      </c>
      <c r="N2" s="186" t="s">
        <v>93</v>
      </c>
      <c r="O2" s="187" t="s">
        <v>93</v>
      </c>
      <c r="P2" s="188" t="s">
        <v>93</v>
      </c>
      <c r="Q2" s="189" t="s">
        <v>93</v>
      </c>
    </row>
    <row r="3" spans="1:17" x14ac:dyDescent="0.25">
      <c r="A3" s="223" t="s">
        <v>85</v>
      </c>
      <c r="B3" s="239">
        <f>'Sewer Pipes - CAPEX'!K239</f>
        <v>75852551.434955552</v>
      </c>
      <c r="C3" s="109">
        <f>'Sewer Pipes - CAPEX'!L239</f>
        <v>84823470.351707608</v>
      </c>
      <c r="D3" s="110">
        <f>'Sewer Pipes - CAPEX'!M239</f>
        <v>69540446.805194661</v>
      </c>
      <c r="E3" s="111">
        <f>'Sewer Pipes - CAPEX'!N239</f>
        <v>64136008.190863907</v>
      </c>
      <c r="F3" s="112">
        <f>'Sewer Pipes - CAPEX'!O239</f>
        <v>58366290.067676805</v>
      </c>
      <c r="G3" s="113">
        <f>'Sewer Pipes - CAPEX'!P239</f>
        <v>57803225.896153249</v>
      </c>
      <c r="H3" s="114">
        <f>'Sewer Pipes - CAPEX'!Q239</f>
        <v>75289450.089632362</v>
      </c>
      <c r="J3" s="223" t="s">
        <v>89</v>
      </c>
      <c r="K3" s="220">
        <f t="shared" ref="K3:Q3" si="0">B11*0.01</f>
        <v>1428591.4963802656</v>
      </c>
      <c r="L3" s="104">
        <f t="shared" si="0"/>
        <v>1526006.467305342</v>
      </c>
      <c r="M3" s="105">
        <f t="shared" si="0"/>
        <v>1387476.425423516</v>
      </c>
      <c r="N3" s="106">
        <f t="shared" si="0"/>
        <v>1406497.8654538763</v>
      </c>
      <c r="O3" s="107">
        <f t="shared" si="0"/>
        <v>1358231.793713416</v>
      </c>
      <c r="P3" s="108">
        <f t="shared" si="0"/>
        <v>1355689.4907550744</v>
      </c>
      <c r="Q3" s="183">
        <f t="shared" si="0"/>
        <v>1429401.8216839279</v>
      </c>
    </row>
    <row r="4" spans="1:17" x14ac:dyDescent="0.25">
      <c r="A4" s="216" t="s">
        <v>78</v>
      </c>
      <c r="B4" s="240">
        <f>'Manholes - CAPEX'!K158</f>
        <v>29599890.203071013</v>
      </c>
      <c r="C4" s="51">
        <f>'Manholes - CAPEX'!L158</f>
        <v>29539916.878826592</v>
      </c>
      <c r="D4" s="68">
        <f>'Manholes - CAPEX'!M158</f>
        <v>29537134.13715696</v>
      </c>
      <c r="E4" s="72">
        <f>'Manholes - CAPEX'!N158</f>
        <v>29574898.454523709</v>
      </c>
      <c r="F4" s="55">
        <f>'Manholes - CAPEX'!O158</f>
        <v>29523883.303664774</v>
      </c>
      <c r="G4" s="77">
        <f>'Manholes - CAPEX'!P158</f>
        <v>29535501.379354183</v>
      </c>
      <c r="H4" s="115">
        <f>'Manholes - CAPEX'!Q158</f>
        <v>29611508.278760418</v>
      </c>
      <c r="J4" s="216" t="s">
        <v>90</v>
      </c>
      <c r="K4" s="212">
        <f t="shared" ref="K4:Q4" si="1">(B14+B15)*B16*24*365</f>
        <v>365230.68000000005</v>
      </c>
      <c r="L4" s="93">
        <f t="shared" si="1"/>
        <v>376163.16000000003</v>
      </c>
      <c r="M4" s="95">
        <f t="shared" si="1"/>
        <v>354578.52</v>
      </c>
      <c r="N4" s="97">
        <f t="shared" si="1"/>
        <v>347150.04000000004</v>
      </c>
      <c r="O4" s="99">
        <f t="shared" si="1"/>
        <v>339844.2</v>
      </c>
      <c r="P4" s="101">
        <f t="shared" si="1"/>
        <v>326055.96000000002</v>
      </c>
      <c r="Q4" s="164">
        <f t="shared" si="1"/>
        <v>351442.44000000006</v>
      </c>
    </row>
    <row r="5" spans="1:17" x14ac:dyDescent="0.25">
      <c r="A5" s="216" t="s">
        <v>79</v>
      </c>
      <c r="B5" s="240">
        <f>'BPS - LS - CAPEX'!J6</f>
        <v>3200500</v>
      </c>
      <c r="C5" s="51">
        <f>'BPS - LS - CAPEX'!K6</f>
        <v>3524500</v>
      </c>
      <c r="D5" s="68">
        <f>'BPS - LS - CAPEX'!L6</f>
        <v>2896500</v>
      </c>
      <c r="E5" s="72">
        <f>'BPS - LS - CAPEX'!M6</f>
        <v>2684500</v>
      </c>
      <c r="F5" s="55">
        <f>'BPS - LS - CAPEX'!N6</f>
        <v>2475999.9999999995</v>
      </c>
      <c r="G5" s="77">
        <f>'BPS - LS - CAPEX'!O6</f>
        <v>2084499.9999999998</v>
      </c>
      <c r="H5" s="115">
        <f>'BPS - LS - CAPEX'!P6</f>
        <v>2808999.9999999995</v>
      </c>
      <c r="J5" s="216" t="s">
        <v>91</v>
      </c>
      <c r="K5" s="212">
        <f t="shared" ref="K5:Q5" si="2">B17*B18*12</f>
        <v>816024</v>
      </c>
      <c r="L5" s="93">
        <f t="shared" si="2"/>
        <v>817224</v>
      </c>
      <c r="M5" s="95">
        <f t="shared" si="2"/>
        <v>1127868</v>
      </c>
      <c r="N5" s="97">
        <f t="shared" si="2"/>
        <v>2025192</v>
      </c>
      <c r="O5" s="99">
        <f t="shared" si="2"/>
        <v>2168748</v>
      </c>
      <c r="P5" s="101">
        <f t="shared" si="2"/>
        <v>2339076</v>
      </c>
      <c r="Q5" s="164">
        <f t="shared" si="2"/>
        <v>1025388</v>
      </c>
    </row>
    <row r="6" spans="1:17" ht="15.75" thickBot="1" x14ac:dyDescent="0.3">
      <c r="A6" s="216" t="s">
        <v>118</v>
      </c>
      <c r="B6" s="240">
        <f>'Rising Pipes - CAPEX'!K40</f>
        <v>955208</v>
      </c>
      <c r="C6" s="51">
        <f>'Rising Pipes - CAPEX'!L40</f>
        <v>1461759.4999999998</v>
      </c>
      <c r="D6" s="68">
        <f>'Rising Pipes - CAPEX'!M40</f>
        <v>903861.6</v>
      </c>
      <c r="E6" s="72">
        <f>'Rising Pipes - CAPEX'!N40</f>
        <v>886979.9</v>
      </c>
      <c r="F6" s="55">
        <f>'Rising Pipes - CAPEX'!O40</f>
        <v>883306</v>
      </c>
      <c r="G6" s="77">
        <f>'Rising Pipes - CAPEX'!P40</f>
        <v>517021.79999999993</v>
      </c>
      <c r="H6" s="115">
        <f>'Rising Pipes - CAPEX'!Q40</f>
        <v>588923.80000000005</v>
      </c>
      <c r="J6" s="224" t="s">
        <v>92</v>
      </c>
      <c r="K6" s="221">
        <f t="shared" ref="K6:Q6" si="3">B21*B22*13</f>
        <v>975000</v>
      </c>
      <c r="L6" s="171">
        <f t="shared" si="3"/>
        <v>975000</v>
      </c>
      <c r="M6" s="172">
        <f t="shared" si="3"/>
        <v>1235000</v>
      </c>
      <c r="N6" s="173">
        <f t="shared" si="3"/>
        <v>1462500</v>
      </c>
      <c r="O6" s="174">
        <f t="shared" si="3"/>
        <v>1657500</v>
      </c>
      <c r="P6" s="175">
        <f t="shared" si="3"/>
        <v>1820000</v>
      </c>
      <c r="Q6" s="176">
        <f t="shared" si="3"/>
        <v>1300000</v>
      </c>
    </row>
    <row r="7" spans="1:17" ht="15.75" thickBot="1" x14ac:dyDescent="0.3">
      <c r="A7" s="216" t="s">
        <v>114</v>
      </c>
      <c r="B7" s="240">
        <f>'STP - CAPEX'!J9</f>
        <v>33251000</v>
      </c>
      <c r="C7" s="51">
        <f>'STP - CAPEX'!K9</f>
        <v>33251000</v>
      </c>
      <c r="D7" s="68">
        <f>'STP - CAPEX'!L9</f>
        <v>35869700</v>
      </c>
      <c r="E7" s="72">
        <f>'STP - CAPEX'!M9</f>
        <v>43367400</v>
      </c>
      <c r="F7" s="55">
        <f>'STP - CAPEX'!N9</f>
        <v>44573700</v>
      </c>
      <c r="G7" s="77">
        <f>'STP - CAPEX'!O9</f>
        <v>45628700</v>
      </c>
      <c r="H7" s="115">
        <f>'STP - CAPEX'!P9</f>
        <v>34641300</v>
      </c>
      <c r="J7" s="225" t="s">
        <v>94</v>
      </c>
      <c r="K7" s="214">
        <f>SUM(K3:K6)</f>
        <v>3584846.1763802655</v>
      </c>
      <c r="L7" s="177">
        <f t="shared" ref="L7:Q7" si="4">SUM(L3:L6)</f>
        <v>3694393.6273053419</v>
      </c>
      <c r="M7" s="178">
        <f t="shared" si="4"/>
        <v>4104922.945423516</v>
      </c>
      <c r="N7" s="179">
        <f t="shared" si="4"/>
        <v>5241339.9054538766</v>
      </c>
      <c r="O7" s="180">
        <f t="shared" si="4"/>
        <v>5524323.9937134162</v>
      </c>
      <c r="P7" s="181">
        <f t="shared" si="4"/>
        <v>5840821.4507550746</v>
      </c>
      <c r="Q7" s="182">
        <f t="shared" si="4"/>
        <v>4106232.2616839278</v>
      </c>
    </row>
    <row r="8" spans="1:17" ht="15.75" thickBot="1" x14ac:dyDescent="0.3">
      <c r="A8" s="216"/>
      <c r="B8" s="240"/>
      <c r="C8" s="51"/>
      <c r="D8" s="68"/>
      <c r="E8" s="72"/>
      <c r="F8" s="55"/>
      <c r="G8" s="77"/>
      <c r="H8" s="115"/>
      <c r="J8" s="226" t="s">
        <v>95</v>
      </c>
      <c r="K8" s="222">
        <v>0.05</v>
      </c>
      <c r="L8" s="165">
        <v>0.05</v>
      </c>
      <c r="M8" s="166">
        <v>0.05</v>
      </c>
      <c r="N8" s="167">
        <v>0.05</v>
      </c>
      <c r="O8" s="168">
        <v>0.05</v>
      </c>
      <c r="P8" s="169">
        <v>0.05</v>
      </c>
      <c r="Q8" s="170">
        <v>0.05</v>
      </c>
    </row>
    <row r="9" spans="1:17" x14ac:dyDescent="0.25">
      <c r="A9" s="216"/>
      <c r="B9" s="240"/>
      <c r="C9" s="51"/>
      <c r="D9" s="68"/>
      <c r="E9" s="72"/>
      <c r="F9" s="55"/>
      <c r="G9" s="77"/>
      <c r="H9" s="115"/>
      <c r="K9" s="91"/>
      <c r="L9" s="92"/>
      <c r="M9" s="94"/>
      <c r="N9" s="96"/>
      <c r="O9" s="98"/>
      <c r="P9" s="100"/>
      <c r="Q9" s="102"/>
    </row>
    <row r="10" spans="1:17" ht="15.75" thickBot="1" x14ac:dyDescent="0.3">
      <c r="A10" s="224"/>
      <c r="B10" s="241"/>
      <c r="C10" s="196"/>
      <c r="D10" s="197"/>
      <c r="E10" s="198"/>
      <c r="F10" s="199"/>
      <c r="G10" s="200"/>
      <c r="H10" s="201"/>
      <c r="K10" s="91"/>
      <c r="L10" s="92"/>
      <c r="M10" s="94"/>
      <c r="N10" s="96"/>
      <c r="O10" s="98"/>
      <c r="P10" s="100"/>
      <c r="Q10" s="102"/>
    </row>
    <row r="11" spans="1:17" ht="30.75" thickBot="1" x14ac:dyDescent="0.3">
      <c r="A11" s="209" t="s">
        <v>84</v>
      </c>
      <c r="B11" s="206">
        <f t="shared" ref="B11:H11" si="5">SUM(B3:B10)</f>
        <v>142859149.63802657</v>
      </c>
      <c r="C11" s="152">
        <f t="shared" si="5"/>
        <v>152600646.7305342</v>
      </c>
      <c r="D11" s="153">
        <f t="shared" si="5"/>
        <v>138747642.5423516</v>
      </c>
      <c r="E11" s="154">
        <f t="shared" si="5"/>
        <v>140649786.54538763</v>
      </c>
      <c r="F11" s="155">
        <f t="shared" si="5"/>
        <v>135823179.37134159</v>
      </c>
      <c r="G11" s="156">
        <f t="shared" si="5"/>
        <v>135568949.07550743</v>
      </c>
      <c r="H11" s="157">
        <f t="shared" si="5"/>
        <v>142940182.16839278</v>
      </c>
      <c r="J11" s="215" t="s">
        <v>96</v>
      </c>
      <c r="K11" s="210" t="s">
        <v>97</v>
      </c>
      <c r="L11" s="190" t="s">
        <v>97</v>
      </c>
      <c r="M11" s="191" t="s">
        <v>97</v>
      </c>
      <c r="N11" s="192" t="s">
        <v>97</v>
      </c>
      <c r="O11" s="193" t="s">
        <v>97</v>
      </c>
      <c r="P11" s="194" t="s">
        <v>97</v>
      </c>
      <c r="Q11" s="195" t="s">
        <v>97</v>
      </c>
    </row>
    <row r="12" spans="1:17" ht="15.75" thickBot="1" x14ac:dyDescent="0.3">
      <c r="B12" s="66"/>
      <c r="C12" s="67"/>
      <c r="D12" s="69"/>
      <c r="E12" s="73"/>
      <c r="F12" s="76"/>
      <c r="G12" s="78"/>
      <c r="H12" s="79"/>
      <c r="J12" s="207">
        <v>0</v>
      </c>
      <c r="K12" s="211">
        <f>K$7*(1+K$8)^$J12</f>
        <v>3584846.1763802655</v>
      </c>
      <c r="L12" s="122">
        <f t="shared" ref="L12:Q27" si="6">L$7*(1+L$8)^$J12</f>
        <v>3694393.6273053419</v>
      </c>
      <c r="M12" s="123">
        <f t="shared" si="6"/>
        <v>4104922.945423516</v>
      </c>
      <c r="N12" s="124">
        <f t="shared" si="6"/>
        <v>5241339.9054538766</v>
      </c>
      <c r="O12" s="125">
        <f t="shared" si="6"/>
        <v>5524323.9937134162</v>
      </c>
      <c r="P12" s="126">
        <f t="shared" si="6"/>
        <v>5840821.4507550746</v>
      </c>
      <c r="Q12" s="127">
        <f t="shared" si="6"/>
        <v>4106232.2616839278</v>
      </c>
    </row>
    <row r="13" spans="1:17" ht="15.75" thickBot="1" x14ac:dyDescent="0.3">
      <c r="A13" s="230" t="s">
        <v>83</v>
      </c>
      <c r="B13" s="228" t="s">
        <v>138</v>
      </c>
      <c r="C13" s="134" t="s">
        <v>138</v>
      </c>
      <c r="D13" s="135" t="s">
        <v>138</v>
      </c>
      <c r="E13" s="136" t="s">
        <v>138</v>
      </c>
      <c r="F13" s="137" t="s">
        <v>138</v>
      </c>
      <c r="G13" s="138" t="s">
        <v>138</v>
      </c>
      <c r="H13" s="139" t="s">
        <v>138</v>
      </c>
      <c r="J13" s="216">
        <v>1</v>
      </c>
      <c r="K13" s="212">
        <f t="shared" ref="K13:Q36" si="7">K$7*(1+K$8)^$J13</f>
        <v>3764088.4851992792</v>
      </c>
      <c r="L13" s="93">
        <f t="shared" si="6"/>
        <v>3879113.3086706093</v>
      </c>
      <c r="M13" s="95">
        <f t="shared" si="6"/>
        <v>4310169.0926946923</v>
      </c>
      <c r="N13" s="97">
        <f t="shared" si="6"/>
        <v>5503406.9007265707</v>
      </c>
      <c r="O13" s="99">
        <f t="shared" si="6"/>
        <v>5800540.1933990875</v>
      </c>
      <c r="P13" s="101">
        <f t="shared" si="6"/>
        <v>6132862.5232928284</v>
      </c>
      <c r="Q13" s="164">
        <f t="shared" si="6"/>
        <v>4311543.874768124</v>
      </c>
    </row>
    <row r="14" spans="1:17" x14ac:dyDescent="0.25">
      <c r="A14" s="231" t="s">
        <v>127</v>
      </c>
      <c r="B14" s="204">
        <f>'BPS - LS - CAPEX'!C6</f>
        <v>422.1</v>
      </c>
      <c r="C14" s="109">
        <f>'BPS - LS - CAPEX'!D6</f>
        <v>484.5</v>
      </c>
      <c r="D14" s="110">
        <f>'BPS - LS - CAPEX'!E6</f>
        <v>361.3</v>
      </c>
      <c r="E14" s="111">
        <f>'BPS - LS - CAPEX'!F6</f>
        <v>318.89999999999998</v>
      </c>
      <c r="F14" s="112">
        <f>'BPS - LS - CAPEX'!G6</f>
        <v>277.19999999999993</v>
      </c>
      <c r="G14" s="113">
        <f>'BPS - LS - CAPEX'!H6</f>
        <v>198.5</v>
      </c>
      <c r="H14" s="114">
        <f>'BPS - LS - CAPEX'!I6</f>
        <v>343.4</v>
      </c>
      <c r="J14" s="216">
        <v>2</v>
      </c>
      <c r="K14" s="212">
        <f t="shared" si="7"/>
        <v>3952292.9094592431</v>
      </c>
      <c r="L14" s="93">
        <f t="shared" si="6"/>
        <v>4073068.9741041395</v>
      </c>
      <c r="M14" s="95">
        <f t="shared" si="6"/>
        <v>4525677.5473294267</v>
      </c>
      <c r="N14" s="97">
        <f t="shared" si="6"/>
        <v>5778577.2457628995</v>
      </c>
      <c r="O14" s="99">
        <f t="shared" si="6"/>
        <v>6090567.2030690415</v>
      </c>
      <c r="P14" s="101">
        <f t="shared" si="6"/>
        <v>6439505.6494574696</v>
      </c>
      <c r="Q14" s="164">
        <f t="shared" si="6"/>
        <v>4527121.0685065305</v>
      </c>
    </row>
    <row r="15" spans="1:17" x14ac:dyDescent="0.25">
      <c r="A15" s="232" t="s">
        <v>128</v>
      </c>
      <c r="B15" s="227">
        <f>'STP - CAPEX'!C14</f>
        <v>1662.5500000000002</v>
      </c>
      <c r="C15" s="51">
        <f>'STP - CAPEX'!D14</f>
        <v>1662.5500000000002</v>
      </c>
      <c r="D15" s="68">
        <f>'STP - CAPEX'!E14</f>
        <v>1662.5500000000002</v>
      </c>
      <c r="E15" s="72">
        <f>'STP - CAPEX'!F14</f>
        <v>1662.5500000000002</v>
      </c>
      <c r="F15" s="55">
        <f>'STP - CAPEX'!G14</f>
        <v>1662.5500000000002</v>
      </c>
      <c r="G15" s="77">
        <f>'STP - CAPEX'!H14</f>
        <v>1662.5500000000002</v>
      </c>
      <c r="H15" s="115">
        <f>'STP - CAPEX'!I14</f>
        <v>1662.5500000000002</v>
      </c>
      <c r="J15" s="216">
        <v>3</v>
      </c>
      <c r="K15" s="212">
        <f t="shared" si="7"/>
        <v>4149907.5549322055</v>
      </c>
      <c r="L15" s="93">
        <f t="shared" si="6"/>
        <v>4276722.4228093466</v>
      </c>
      <c r="M15" s="95">
        <f t="shared" si="6"/>
        <v>4751961.4246958978</v>
      </c>
      <c r="N15" s="97">
        <f t="shared" si="6"/>
        <v>6067506.1080510449</v>
      </c>
      <c r="O15" s="99">
        <f t="shared" si="6"/>
        <v>6395095.563222494</v>
      </c>
      <c r="P15" s="101">
        <f t="shared" si="6"/>
        <v>6761480.9319303436</v>
      </c>
      <c r="Q15" s="164">
        <f t="shared" si="6"/>
        <v>4753477.1219318574</v>
      </c>
    </row>
    <row r="16" spans="1:17" ht="15.75" thickBot="1" x14ac:dyDescent="0.3">
      <c r="A16" s="233" t="s">
        <v>86</v>
      </c>
      <c r="B16" s="229">
        <v>0.02</v>
      </c>
      <c r="C16" s="116">
        <v>0.02</v>
      </c>
      <c r="D16" s="117">
        <v>0.02</v>
      </c>
      <c r="E16" s="118">
        <v>0.02</v>
      </c>
      <c r="F16" s="119">
        <v>0.02</v>
      </c>
      <c r="G16" s="120">
        <v>0.02</v>
      </c>
      <c r="H16" s="121">
        <v>0.02</v>
      </c>
      <c r="J16" s="216">
        <v>4</v>
      </c>
      <c r="K16" s="212">
        <f t="shared" si="7"/>
        <v>4357402.932678815</v>
      </c>
      <c r="L16" s="93">
        <f t="shared" si="6"/>
        <v>4490558.5439498136</v>
      </c>
      <c r="M16" s="95">
        <f t="shared" si="6"/>
        <v>4989559.4959306922</v>
      </c>
      <c r="N16" s="97">
        <f t="shared" si="6"/>
        <v>6370881.4134535957</v>
      </c>
      <c r="O16" s="99">
        <f t="shared" si="6"/>
        <v>6714850.3413836183</v>
      </c>
      <c r="P16" s="101">
        <f t="shared" si="6"/>
        <v>7099554.9785268605</v>
      </c>
      <c r="Q16" s="164">
        <f t="shared" si="6"/>
        <v>4991150.9780284502</v>
      </c>
    </row>
    <row r="17" spans="1:17" ht="17.25" x14ac:dyDescent="0.25">
      <c r="A17" s="234" t="s">
        <v>88</v>
      </c>
      <c r="B17" s="211">
        <f>'BPS - LS - CAPEX'!C15+'STP - CAPEX'!C24</f>
        <v>68002</v>
      </c>
      <c r="C17" s="122">
        <f>'BPS - LS - CAPEX'!D15+'STP - CAPEX'!D24</f>
        <v>68102</v>
      </c>
      <c r="D17" s="123">
        <f>'BPS - LS - CAPEX'!E15+'STP - CAPEX'!E24</f>
        <v>93989</v>
      </c>
      <c r="E17" s="124">
        <f>'BPS - LS - CAPEX'!F15+'STP - CAPEX'!F24</f>
        <v>168766</v>
      </c>
      <c r="F17" s="125">
        <f>'BPS - LS - CAPEX'!G15+'STP - CAPEX'!G24</f>
        <v>180729</v>
      </c>
      <c r="G17" s="126">
        <f>'BPS - LS - CAPEX'!H15+'STP - CAPEX'!H24</f>
        <v>194923</v>
      </c>
      <c r="H17" s="127">
        <f>'BPS - LS - CAPEX'!I15+'STP - CAPEX'!I24</f>
        <v>85449</v>
      </c>
      <c r="J17" s="216">
        <v>5</v>
      </c>
      <c r="K17" s="212">
        <f t="shared" si="7"/>
        <v>4575273.0793127567</v>
      </c>
      <c r="L17" s="93">
        <f t="shared" si="6"/>
        <v>4715086.4711473053</v>
      </c>
      <c r="M17" s="95">
        <f t="shared" si="6"/>
        <v>5239037.4707272276</v>
      </c>
      <c r="N17" s="97">
        <f t="shared" si="6"/>
        <v>6689425.4841262763</v>
      </c>
      <c r="O17" s="99">
        <f t="shared" si="6"/>
        <v>7050592.8584527997</v>
      </c>
      <c r="P17" s="101">
        <f t="shared" si="6"/>
        <v>7454532.7274532039</v>
      </c>
      <c r="Q17" s="164">
        <f t="shared" si="6"/>
        <v>5240708.526929873</v>
      </c>
    </row>
    <row r="18" spans="1:17" ht="18" thickBot="1" x14ac:dyDescent="0.3">
      <c r="A18" s="235" t="s">
        <v>100</v>
      </c>
      <c r="B18" s="213">
        <v>1</v>
      </c>
      <c r="C18" s="128">
        <v>1</v>
      </c>
      <c r="D18" s="129">
        <v>1</v>
      </c>
      <c r="E18" s="130">
        <v>1</v>
      </c>
      <c r="F18" s="131">
        <v>1</v>
      </c>
      <c r="G18" s="132">
        <v>1</v>
      </c>
      <c r="H18" s="133">
        <v>1</v>
      </c>
      <c r="J18" s="216">
        <v>6</v>
      </c>
      <c r="K18" s="212">
        <f t="shared" si="7"/>
        <v>4804036.7332783937</v>
      </c>
      <c r="L18" s="93">
        <f t="shared" si="6"/>
        <v>4950840.7947046692</v>
      </c>
      <c r="M18" s="95">
        <f t="shared" si="6"/>
        <v>5500989.3442635881</v>
      </c>
      <c r="N18" s="97">
        <f t="shared" si="6"/>
        <v>7023896.7583325896</v>
      </c>
      <c r="O18" s="99">
        <f t="shared" si="6"/>
        <v>7403122.5013754386</v>
      </c>
      <c r="P18" s="101">
        <f t="shared" si="6"/>
        <v>7827259.3638258632</v>
      </c>
      <c r="Q18" s="164">
        <f t="shared" si="6"/>
        <v>5502743.953276366</v>
      </c>
    </row>
    <row r="19" spans="1:17" x14ac:dyDescent="0.25">
      <c r="A19" s="236" t="s">
        <v>136</v>
      </c>
      <c r="B19" s="211">
        <v>23</v>
      </c>
      <c r="C19" s="122">
        <v>23</v>
      </c>
      <c r="D19" s="123">
        <v>22</v>
      </c>
      <c r="E19" s="124">
        <v>21</v>
      </c>
      <c r="F19" s="125">
        <v>20</v>
      </c>
      <c r="G19" s="126">
        <v>18</v>
      </c>
      <c r="H19" s="127">
        <v>21</v>
      </c>
      <c r="J19" s="216">
        <v>7</v>
      </c>
      <c r="K19" s="212">
        <f t="shared" si="7"/>
        <v>5044238.5699423142</v>
      </c>
      <c r="L19" s="93">
        <f t="shared" si="6"/>
        <v>5198382.8344399044</v>
      </c>
      <c r="M19" s="95">
        <f t="shared" si="6"/>
        <v>5776038.8114767689</v>
      </c>
      <c r="N19" s="97">
        <f t="shared" si="6"/>
        <v>7375091.59624922</v>
      </c>
      <c r="O19" s="99">
        <f t="shared" si="6"/>
        <v>7773278.6264442122</v>
      </c>
      <c r="P19" s="101">
        <f t="shared" si="6"/>
        <v>8218622.3320171582</v>
      </c>
      <c r="Q19" s="164">
        <f t="shared" si="6"/>
        <v>5777881.1509401854</v>
      </c>
    </row>
    <row r="20" spans="1:17" x14ac:dyDescent="0.25">
      <c r="A20" s="237" t="s">
        <v>137</v>
      </c>
      <c r="B20" s="212">
        <v>1</v>
      </c>
      <c r="C20" s="93">
        <v>1</v>
      </c>
      <c r="D20" s="95">
        <v>2</v>
      </c>
      <c r="E20" s="97">
        <v>3</v>
      </c>
      <c r="F20" s="99">
        <v>4</v>
      </c>
      <c r="G20" s="101">
        <v>6</v>
      </c>
      <c r="H20" s="164">
        <v>3</v>
      </c>
      <c r="J20" s="216">
        <v>8</v>
      </c>
      <c r="K20" s="212">
        <f t="shared" si="7"/>
        <v>5296450.4984394293</v>
      </c>
      <c r="L20" s="93">
        <f t="shared" si="6"/>
        <v>5458301.9761618981</v>
      </c>
      <c r="M20" s="95">
        <f t="shared" si="6"/>
        <v>6064840.7520506065</v>
      </c>
      <c r="N20" s="97">
        <f t="shared" si="6"/>
        <v>7743846.1760616805</v>
      </c>
      <c r="O20" s="99">
        <f t="shared" si="6"/>
        <v>8161942.5577664217</v>
      </c>
      <c r="P20" s="101">
        <f t="shared" si="6"/>
        <v>8629553.4486180153</v>
      </c>
      <c r="Q20" s="164">
        <f t="shared" si="6"/>
        <v>6066775.208487194</v>
      </c>
    </row>
    <row r="21" spans="1:17" x14ac:dyDescent="0.25">
      <c r="A21" s="237" t="s">
        <v>87</v>
      </c>
      <c r="B21" s="212">
        <f>ROUNDUP(B19/5,0)*2+20</f>
        <v>30</v>
      </c>
      <c r="C21" s="93">
        <f>ROUNDUP(C19/5,0)*2+20</f>
        <v>30</v>
      </c>
      <c r="D21" s="95">
        <f>ROUNDUP(D19/5,0)*2+28</f>
        <v>38</v>
      </c>
      <c r="E21" s="97">
        <f>ROUNDUP(E19/5,0)*2+35</f>
        <v>45</v>
      </c>
      <c r="F21" s="99">
        <f>ROUNDUP(F19/5,0)*2+43</f>
        <v>51</v>
      </c>
      <c r="G21" s="101">
        <f>ROUNDUP(G19/5,0)*2+48</f>
        <v>56</v>
      </c>
      <c r="H21" s="164">
        <f>ROUNDUP(H19/5,0)*2+30</f>
        <v>40</v>
      </c>
      <c r="J21" s="216">
        <v>9</v>
      </c>
      <c r="K21" s="212">
        <f t="shared" si="7"/>
        <v>5561273.0233614007</v>
      </c>
      <c r="L21" s="93">
        <f t="shared" si="6"/>
        <v>5731217.0749699939</v>
      </c>
      <c r="M21" s="95">
        <f t="shared" si="6"/>
        <v>6368082.7896531373</v>
      </c>
      <c r="N21" s="97">
        <f t="shared" si="6"/>
        <v>8131038.4848647648</v>
      </c>
      <c r="O21" s="99">
        <f t="shared" si="6"/>
        <v>8570039.6856547426</v>
      </c>
      <c r="P21" s="101">
        <f t="shared" si="6"/>
        <v>9061031.1210489161</v>
      </c>
      <c r="Q21" s="164">
        <f t="shared" si="6"/>
        <v>6370113.9689115537</v>
      </c>
    </row>
    <row r="22" spans="1:17" ht="15.75" thickBot="1" x14ac:dyDescent="0.3">
      <c r="A22" s="238" t="s">
        <v>99</v>
      </c>
      <c r="B22" s="213">
        <v>2500</v>
      </c>
      <c r="C22" s="128">
        <v>2500</v>
      </c>
      <c r="D22" s="129">
        <v>2500</v>
      </c>
      <c r="E22" s="130">
        <v>2500</v>
      </c>
      <c r="F22" s="131">
        <v>2500</v>
      </c>
      <c r="G22" s="132">
        <v>2500</v>
      </c>
      <c r="H22" s="133">
        <v>2500</v>
      </c>
      <c r="J22" s="216">
        <v>10</v>
      </c>
      <c r="K22" s="212">
        <f t="shared" si="7"/>
        <v>5839336.6745294714</v>
      </c>
      <c r="L22" s="93">
        <f t="shared" si="6"/>
        <v>6017777.9287184933</v>
      </c>
      <c r="M22" s="95">
        <f t="shared" si="6"/>
        <v>6686486.9291357938</v>
      </c>
      <c r="N22" s="97">
        <f t="shared" si="6"/>
        <v>8537590.4091080036</v>
      </c>
      <c r="O22" s="99">
        <f t="shared" si="6"/>
        <v>8998541.6699374802</v>
      </c>
      <c r="P22" s="101">
        <f t="shared" si="6"/>
        <v>9514082.6771013625</v>
      </c>
      <c r="Q22" s="164">
        <f t="shared" si="6"/>
        <v>6688619.6673571318</v>
      </c>
    </row>
    <row r="23" spans="1:17" x14ac:dyDescent="0.25">
      <c r="J23" s="216">
        <v>11</v>
      </c>
      <c r="K23" s="212">
        <f t="shared" si="7"/>
        <v>6131303.5082559446</v>
      </c>
      <c r="L23" s="93">
        <f t="shared" si="6"/>
        <v>6318666.8251544181</v>
      </c>
      <c r="M23" s="95">
        <f t="shared" si="6"/>
        <v>7020811.2755925842</v>
      </c>
      <c r="N23" s="97">
        <f t="shared" si="6"/>
        <v>8964469.9295634031</v>
      </c>
      <c r="O23" s="99">
        <f t="shared" si="6"/>
        <v>9448468.7534343544</v>
      </c>
      <c r="P23" s="101">
        <f t="shared" si="6"/>
        <v>9989786.8109564316</v>
      </c>
      <c r="Q23" s="164">
        <f t="shared" si="6"/>
        <v>7023050.6507249884</v>
      </c>
    </row>
    <row r="24" spans="1:17" x14ac:dyDescent="0.25">
      <c r="J24" s="216">
        <v>12</v>
      </c>
      <c r="K24" s="212">
        <f t="shared" si="7"/>
        <v>6437868.683668741</v>
      </c>
      <c r="L24" s="93">
        <f t="shared" si="6"/>
        <v>6634600.1664121384</v>
      </c>
      <c r="M24" s="95">
        <f t="shared" si="6"/>
        <v>7371851.839372213</v>
      </c>
      <c r="N24" s="97">
        <f t="shared" si="6"/>
        <v>9412693.4260415733</v>
      </c>
      <c r="O24" s="99">
        <f t="shared" si="6"/>
        <v>9920892.1911060717</v>
      </c>
      <c r="P24" s="101">
        <f t="shared" si="6"/>
        <v>10489276.15150425</v>
      </c>
      <c r="Q24" s="164">
        <f t="shared" si="6"/>
        <v>7374203.1832612371</v>
      </c>
    </row>
    <row r="25" spans="1:17" x14ac:dyDescent="0.25">
      <c r="J25" s="216">
        <v>13</v>
      </c>
      <c r="K25" s="212">
        <f t="shared" si="7"/>
        <v>6759762.1178521793</v>
      </c>
      <c r="L25" s="93">
        <f t="shared" si="6"/>
        <v>6966330.1747327466</v>
      </c>
      <c r="M25" s="95">
        <f t="shared" si="6"/>
        <v>7740444.4313408248</v>
      </c>
      <c r="N25" s="97">
        <f t="shared" si="6"/>
        <v>9883328.0973436534</v>
      </c>
      <c r="O25" s="99">
        <f t="shared" si="6"/>
        <v>10416936.800661378</v>
      </c>
      <c r="P25" s="101">
        <f t="shared" si="6"/>
        <v>11013739.959079465</v>
      </c>
      <c r="Q25" s="164">
        <f t="shared" si="6"/>
        <v>7742913.3424243005</v>
      </c>
    </row>
    <row r="26" spans="1:17" x14ac:dyDescent="0.25">
      <c r="J26" s="216">
        <v>14</v>
      </c>
      <c r="K26" s="212">
        <f t="shared" si="7"/>
        <v>7097750.2237447873</v>
      </c>
      <c r="L26" s="93">
        <f t="shared" si="6"/>
        <v>7314646.6834693821</v>
      </c>
      <c r="M26" s="95">
        <f t="shared" si="6"/>
        <v>8127466.6529078642</v>
      </c>
      <c r="N26" s="97">
        <f t="shared" si="6"/>
        <v>10377494.502210833</v>
      </c>
      <c r="O26" s="99">
        <f t="shared" si="6"/>
        <v>10937783.640694443</v>
      </c>
      <c r="P26" s="101">
        <f t="shared" si="6"/>
        <v>11564426.957033437</v>
      </c>
      <c r="Q26" s="164">
        <f t="shared" si="6"/>
        <v>8130059.0095455134</v>
      </c>
    </row>
    <row r="27" spans="1:17" x14ac:dyDescent="0.25">
      <c r="J27" s="216">
        <v>15</v>
      </c>
      <c r="K27" s="212">
        <f t="shared" si="7"/>
        <v>7452637.7349320287</v>
      </c>
      <c r="L27" s="93">
        <f t="shared" si="6"/>
        <v>7680379.0176428538</v>
      </c>
      <c r="M27" s="95">
        <f t="shared" si="6"/>
        <v>8533839.985553259</v>
      </c>
      <c r="N27" s="97">
        <f t="shared" si="6"/>
        <v>10896369.227321379</v>
      </c>
      <c r="O27" s="99">
        <f t="shared" si="6"/>
        <v>11484672.822729168</v>
      </c>
      <c r="P27" s="101">
        <f t="shared" si="6"/>
        <v>12142648.304885112</v>
      </c>
      <c r="Q27" s="164">
        <f t="shared" si="6"/>
        <v>8536561.9600227922</v>
      </c>
    </row>
    <row r="28" spans="1:17" x14ac:dyDescent="0.25">
      <c r="J28" s="216">
        <v>16</v>
      </c>
      <c r="K28" s="212">
        <f t="shared" si="7"/>
        <v>7825269.621678629</v>
      </c>
      <c r="L28" s="93">
        <f t="shared" si="7"/>
        <v>8064397.9685249962</v>
      </c>
      <c r="M28" s="95">
        <f t="shared" si="7"/>
        <v>8960531.9848309215</v>
      </c>
      <c r="N28" s="97">
        <f t="shared" si="7"/>
        <v>11441187.688687446</v>
      </c>
      <c r="O28" s="99">
        <f t="shared" si="7"/>
        <v>12058906.463865627</v>
      </c>
      <c r="P28" s="101">
        <f t="shared" si="7"/>
        <v>12749780.720129367</v>
      </c>
      <c r="Q28" s="164">
        <f t="shared" si="7"/>
        <v>8963390.0580239296</v>
      </c>
    </row>
    <row r="29" spans="1:17" x14ac:dyDescent="0.25">
      <c r="J29" s="216">
        <v>17</v>
      </c>
      <c r="K29" s="212">
        <f t="shared" si="7"/>
        <v>8216533.1027625622</v>
      </c>
      <c r="L29" s="93">
        <f t="shared" si="7"/>
        <v>8467617.8669512458</v>
      </c>
      <c r="M29" s="95">
        <f t="shared" si="7"/>
        <v>9408558.5840724688</v>
      </c>
      <c r="N29" s="97">
        <f t="shared" si="7"/>
        <v>12013247.07312182</v>
      </c>
      <c r="O29" s="99">
        <f t="shared" si="7"/>
        <v>12661851.787058908</v>
      </c>
      <c r="P29" s="101">
        <f t="shared" si="7"/>
        <v>13387269.756135836</v>
      </c>
      <c r="Q29" s="164">
        <f t="shared" si="7"/>
        <v>9411559.5609251279</v>
      </c>
    </row>
    <row r="30" spans="1:17" x14ac:dyDescent="0.25">
      <c r="J30" s="216">
        <v>18</v>
      </c>
      <c r="K30" s="212">
        <f t="shared" si="7"/>
        <v>8627359.7579006907</v>
      </c>
      <c r="L30" s="93">
        <f t="shared" si="7"/>
        <v>8890998.760298809</v>
      </c>
      <c r="M30" s="95">
        <f t="shared" si="7"/>
        <v>9878986.5132760927</v>
      </c>
      <c r="N30" s="97">
        <f t="shared" si="7"/>
        <v>12613909.42677791</v>
      </c>
      <c r="O30" s="99">
        <f t="shared" si="7"/>
        <v>13294944.376411855</v>
      </c>
      <c r="P30" s="101">
        <f t="shared" si="7"/>
        <v>14056633.243942628</v>
      </c>
      <c r="Q30" s="164">
        <f t="shared" si="7"/>
        <v>9882137.538971385</v>
      </c>
    </row>
    <row r="31" spans="1:17" x14ac:dyDescent="0.25">
      <c r="J31" s="216">
        <v>19</v>
      </c>
      <c r="K31" s="212">
        <f t="shared" si="7"/>
        <v>9058727.7457957249</v>
      </c>
      <c r="L31" s="93">
        <f t="shared" si="7"/>
        <v>9335548.6983137503</v>
      </c>
      <c r="M31" s="95">
        <f t="shared" si="7"/>
        <v>10372935.838939898</v>
      </c>
      <c r="N31" s="97">
        <f t="shared" si="7"/>
        <v>13244604.898116807</v>
      </c>
      <c r="O31" s="99">
        <f t="shared" si="7"/>
        <v>13959691.595232448</v>
      </c>
      <c r="P31" s="101">
        <f t="shared" si="7"/>
        <v>14759464.906139759</v>
      </c>
      <c r="Q31" s="164">
        <f t="shared" si="7"/>
        <v>10376244.415919954</v>
      </c>
    </row>
    <row r="32" spans="1:17" x14ac:dyDescent="0.25">
      <c r="J32" s="216">
        <v>20</v>
      </c>
      <c r="K32" s="212">
        <f t="shared" si="7"/>
        <v>9511664.1330855098</v>
      </c>
      <c r="L32" s="93">
        <f t="shared" si="7"/>
        <v>9802326.1332294364</v>
      </c>
      <c r="M32" s="95">
        <f t="shared" si="7"/>
        <v>10891582.630886892</v>
      </c>
      <c r="N32" s="97">
        <f t="shared" si="7"/>
        <v>13906835.143022647</v>
      </c>
      <c r="O32" s="99">
        <f t="shared" si="7"/>
        <v>14657676.17499407</v>
      </c>
      <c r="P32" s="101">
        <f t="shared" si="7"/>
        <v>15497438.151446747</v>
      </c>
      <c r="Q32" s="164">
        <f t="shared" si="7"/>
        <v>10895056.63671595</v>
      </c>
    </row>
    <row r="33" spans="10:17" x14ac:dyDescent="0.25">
      <c r="J33" s="216">
        <v>21</v>
      </c>
      <c r="K33" s="212">
        <f t="shared" si="7"/>
        <v>9987247.3397397865</v>
      </c>
      <c r="L33" s="93">
        <f t="shared" si="7"/>
        <v>10292442.439890908</v>
      </c>
      <c r="M33" s="95">
        <f t="shared" si="7"/>
        <v>11436161.762431236</v>
      </c>
      <c r="N33" s="97">
        <f t="shared" si="7"/>
        <v>14602176.900173778</v>
      </c>
      <c r="O33" s="99">
        <f t="shared" si="7"/>
        <v>15390559.983743772</v>
      </c>
      <c r="P33" s="101">
        <f t="shared" si="7"/>
        <v>16272310.059019083</v>
      </c>
      <c r="Q33" s="164">
        <f t="shared" si="7"/>
        <v>11439809.468551748</v>
      </c>
    </row>
    <row r="34" spans="10:17" x14ac:dyDescent="0.25">
      <c r="J34" s="216">
        <v>22</v>
      </c>
      <c r="K34" s="212">
        <f t="shared" si="7"/>
        <v>10486609.706726775</v>
      </c>
      <c r="L34" s="93">
        <f t="shared" si="7"/>
        <v>10807064.561885452</v>
      </c>
      <c r="M34" s="95">
        <f t="shared" si="7"/>
        <v>12007969.850552797</v>
      </c>
      <c r="N34" s="97">
        <f t="shared" si="7"/>
        <v>15332285.745182466</v>
      </c>
      <c r="O34" s="99">
        <f t="shared" si="7"/>
        <v>16160087.98293096</v>
      </c>
      <c r="P34" s="101">
        <f t="shared" si="7"/>
        <v>17085925.561970036</v>
      </c>
      <c r="Q34" s="164">
        <f t="shared" si="7"/>
        <v>12011799.941979336</v>
      </c>
    </row>
    <row r="35" spans="10:17" x14ac:dyDescent="0.25">
      <c r="J35" s="216">
        <v>23</v>
      </c>
      <c r="K35" s="212">
        <f t="shared" si="7"/>
        <v>11010940.192063116</v>
      </c>
      <c r="L35" s="93">
        <f t="shared" si="7"/>
        <v>11347417.789979728</v>
      </c>
      <c r="M35" s="95">
        <f t="shared" si="7"/>
        <v>12608368.343080439</v>
      </c>
      <c r="N35" s="97">
        <f t="shared" si="7"/>
        <v>16098900.032441594</v>
      </c>
      <c r="O35" s="99">
        <f t="shared" si="7"/>
        <v>16968092.382077511</v>
      </c>
      <c r="P35" s="101">
        <f t="shared" si="7"/>
        <v>17940221.840068541</v>
      </c>
      <c r="Q35" s="164">
        <f t="shared" si="7"/>
        <v>12612389.939078305</v>
      </c>
    </row>
    <row r="36" spans="10:17" ht="15.75" thickBot="1" x14ac:dyDescent="0.3">
      <c r="J36" s="208">
        <v>24</v>
      </c>
      <c r="K36" s="213">
        <f t="shared" si="7"/>
        <v>11561487.201666269</v>
      </c>
      <c r="L36" s="128">
        <f t="shared" si="7"/>
        <v>11914788.679478712</v>
      </c>
      <c r="M36" s="129">
        <f t="shared" si="7"/>
        <v>13238786.76023446</v>
      </c>
      <c r="N36" s="130">
        <f t="shared" si="7"/>
        <v>16903845.034063671</v>
      </c>
      <c r="O36" s="131">
        <f t="shared" si="7"/>
        <v>17816497.001181386</v>
      </c>
      <c r="P36" s="132">
        <f t="shared" si="7"/>
        <v>18837232.932071965</v>
      </c>
      <c r="Q36" s="133">
        <f t="shared" si="7"/>
        <v>13243009.436032217</v>
      </c>
    </row>
    <row r="37" spans="10:17" ht="28.5" customHeight="1" thickBot="1" x14ac:dyDescent="0.3">
      <c r="J37" s="217" t="s">
        <v>98</v>
      </c>
      <c r="K37" s="214">
        <f>SUM(K12:K36)</f>
        <v>171094307.70738631</v>
      </c>
      <c r="L37" s="177">
        <f t="shared" ref="L37:Q37" si="8">SUM(L12:L36)</f>
        <v>176322689.72294608</v>
      </c>
      <c r="M37" s="178">
        <f t="shared" si="8"/>
        <v>195916063.05645329</v>
      </c>
      <c r="N37" s="179">
        <f t="shared" si="8"/>
        <v>250153947.60625947</v>
      </c>
      <c r="O37" s="180">
        <f t="shared" si="8"/>
        <v>263659957.15054074</v>
      </c>
      <c r="P37" s="181">
        <f t="shared" si="8"/>
        <v>278765462.55840975</v>
      </c>
      <c r="Q37" s="182">
        <f t="shared" si="8"/>
        <v>195978552.92299798</v>
      </c>
    </row>
  </sheetData>
  <mergeCells count="2">
    <mergeCell ref="A1:A2"/>
    <mergeCell ref="J1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2A31-1300-4CC3-9299-BF684C3E1FCC}">
  <dimension ref="A1:H23"/>
  <sheetViews>
    <sheetView workbookViewId="0">
      <selection activeCell="B5" sqref="B5"/>
    </sheetView>
  </sheetViews>
  <sheetFormatPr defaultRowHeight="15" x14ac:dyDescent="0.25"/>
  <cols>
    <col min="1" max="1" width="30.7109375" style="1" customWidth="1"/>
    <col min="2" max="8" width="21.85546875" style="37" customWidth="1"/>
    <col min="9" max="16384" width="9.140625" style="1"/>
  </cols>
  <sheetData>
    <row r="1" spans="1:8" x14ac:dyDescent="0.25">
      <c r="A1" s="259" t="s">
        <v>83</v>
      </c>
      <c r="B1" s="202" t="s">
        <v>107</v>
      </c>
      <c r="C1" s="140" t="s">
        <v>108</v>
      </c>
      <c r="D1" s="141" t="s">
        <v>109</v>
      </c>
      <c r="E1" s="142" t="s">
        <v>110</v>
      </c>
      <c r="F1" s="143" t="s">
        <v>111</v>
      </c>
      <c r="G1" s="144" t="s">
        <v>112</v>
      </c>
      <c r="H1" s="145" t="s">
        <v>113</v>
      </c>
    </row>
    <row r="2" spans="1:8" ht="30.75" thickBot="1" x14ac:dyDescent="0.3">
      <c r="A2" s="260"/>
      <c r="B2" s="203" t="s">
        <v>31</v>
      </c>
      <c r="C2" s="146" t="s">
        <v>31</v>
      </c>
      <c r="D2" s="147" t="s">
        <v>31</v>
      </c>
      <c r="E2" s="148" t="s">
        <v>31</v>
      </c>
      <c r="F2" s="149" t="s">
        <v>31</v>
      </c>
      <c r="G2" s="150" t="s">
        <v>31</v>
      </c>
      <c r="H2" s="151" t="s">
        <v>31</v>
      </c>
    </row>
    <row r="3" spans="1:8" x14ac:dyDescent="0.25">
      <c r="A3" s="207" t="s">
        <v>115</v>
      </c>
      <c r="B3" s="204">
        <f>OPEX!B11</f>
        <v>142859149.63802657</v>
      </c>
      <c r="C3" s="109">
        <f>OPEX!C11</f>
        <v>152600646.7305342</v>
      </c>
      <c r="D3" s="110">
        <f>OPEX!D11</f>
        <v>138747642.5423516</v>
      </c>
      <c r="E3" s="111">
        <f>OPEX!E11</f>
        <v>140649786.54538763</v>
      </c>
      <c r="F3" s="112">
        <f>OPEX!F11</f>
        <v>135823179.37134159</v>
      </c>
      <c r="G3" s="113">
        <f>OPEX!G11</f>
        <v>135568949.07550743</v>
      </c>
      <c r="H3" s="114">
        <f>OPEX!H11</f>
        <v>142940182.16839278</v>
      </c>
    </row>
    <row r="4" spans="1:8" ht="15.75" thickBot="1" x14ac:dyDescent="0.3">
      <c r="A4" s="208" t="s">
        <v>116</v>
      </c>
      <c r="B4" s="205">
        <f>OPEX!K37</f>
        <v>171094307.70738631</v>
      </c>
      <c r="C4" s="196">
        <f>OPEX!L37</f>
        <v>176322689.72294608</v>
      </c>
      <c r="D4" s="197">
        <f>OPEX!M37</f>
        <v>195916063.05645329</v>
      </c>
      <c r="E4" s="198">
        <f>OPEX!N37</f>
        <v>250153947.60625947</v>
      </c>
      <c r="F4" s="199">
        <f>OPEX!O37</f>
        <v>263659957.15054074</v>
      </c>
      <c r="G4" s="200">
        <f>OPEX!P37</f>
        <v>278765462.55840975</v>
      </c>
      <c r="H4" s="201">
        <f>OPEX!Q37</f>
        <v>195978552.92299798</v>
      </c>
    </row>
    <row r="5" spans="1:8" ht="30" customHeight="1" thickBot="1" x14ac:dyDescent="0.3">
      <c r="A5" s="209" t="s">
        <v>117</v>
      </c>
      <c r="B5" s="206">
        <f t="shared" ref="B5:H5" si="0">SUM(B3:B4)</f>
        <v>313953457.34541285</v>
      </c>
      <c r="C5" s="152">
        <f t="shared" si="0"/>
        <v>328923336.45348024</v>
      </c>
      <c r="D5" s="153">
        <f t="shared" si="0"/>
        <v>334663705.59880489</v>
      </c>
      <c r="E5" s="154">
        <f t="shared" si="0"/>
        <v>390803734.15164709</v>
      </c>
      <c r="F5" s="155">
        <f t="shared" si="0"/>
        <v>399483136.5218823</v>
      </c>
      <c r="G5" s="156">
        <f t="shared" si="0"/>
        <v>414334411.63391721</v>
      </c>
      <c r="H5" s="157">
        <f t="shared" si="0"/>
        <v>338918735.09139073</v>
      </c>
    </row>
    <row r="23" ht="28.5" customHeight="1" x14ac:dyDescent="0.25"/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Manhole Data</vt:lpstr>
      <vt:lpstr>Pipe Data</vt:lpstr>
      <vt:lpstr>Pipe Rate</vt:lpstr>
      <vt:lpstr>Manhole Rate</vt:lpstr>
      <vt:lpstr>Sewer Pipes - CAPEX</vt:lpstr>
      <vt:lpstr>Manholes - CAPEX</vt:lpstr>
      <vt:lpstr>BPS - LS - CAPEX</vt:lpstr>
      <vt:lpstr>Rising Pipes - CAPEX</vt:lpstr>
      <vt:lpstr>STP - CAPEX</vt:lpstr>
      <vt:lpstr>OPEX</vt:lpstr>
      <vt:lpstr>Total CAPEX - OPEX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Mehrdad Hadi Zadeh</dc:creator>
  <cp:lastModifiedBy>Hossein Forouzan</cp:lastModifiedBy>
  <dcterms:created xsi:type="dcterms:W3CDTF">2026-09-27T08:53:26Z</dcterms:created>
  <dcterms:modified xsi:type="dcterms:W3CDTF">2026-10-04T11:48:55Z</dcterms:modified>
</cp:coreProperties>
</file>