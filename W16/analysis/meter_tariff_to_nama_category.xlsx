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riff to category" sheetId="1" state="visible" r:id="rId1"/>
    <sheet xmlns:r="http://schemas.openxmlformats.org/officeDocument/2006/relationships" name="Not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b val="1"/>
    </font>
    <font>
      <i val="1"/>
      <color rgb="00808080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97D"/>
      </patternFill>
    </fill>
    <fill>
      <patternFill patternType="solid">
        <fgColor rgb="00F3F6FA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horizontal="left" vertical="center" wrapText="1"/>
    </xf>
    <xf numFmtId="3" fontId="2" fillId="0" borderId="1" applyAlignment="1" pivotButton="0" quotePrefix="0" xfId="0">
      <alignment horizontal="right" vertical="center" wrapText="1"/>
    </xf>
    <xf numFmtId="0" fontId="2" fillId="3" borderId="1" applyAlignment="1" pivotButton="0" quotePrefix="0" xfId="0">
      <alignment horizontal="left" vertical="center" wrapText="1"/>
    </xf>
    <xf numFmtId="3" fontId="2" fillId="3" borderId="1" applyAlignment="1" pivotButton="0" quotePrefix="0" xfId="0">
      <alignment horizontal="right" vertical="center" wrapText="1"/>
    </xf>
    <xf numFmtId="0" fontId="3" fillId="0" borderId="1" applyAlignment="1" pivotButton="0" quotePrefix="0" xfId="0">
      <alignment horizontal="left" vertical="center" wrapText="1"/>
    </xf>
    <xf numFmtId="3" fontId="3" fillId="0" borderId="1" applyAlignment="1" pivotButton="0" quotePrefix="0" xfId="0">
      <alignment horizontal="right" vertical="center" wrapText="1"/>
    </xf>
    <xf numFmtId="0" fontId="4" fillId="0" borderId="0" pivotButton="0" quotePrefix="0" xfId="0"/>
    <xf numFmtId="3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9" customWidth="1" min="2" max="2"/>
    <col width="44" customWidth="1" min="3" max="3"/>
    <col width="52" customWidth="1" min="4" max="4"/>
    <col width="16" customWidth="1" min="5" max="5"/>
    <col width="60" customWidth="1" min="6" max="6"/>
  </cols>
  <sheetData>
    <row r="1" ht="32" customHeight="1">
      <c r="A1" s="1" t="inlineStr">
        <is>
          <t>Electricity tariff (as received)</t>
        </is>
      </c>
      <c r="B1" s="1" t="inlineStr">
        <is>
          <t>Meters</t>
        </is>
      </c>
      <c r="C1" s="1" t="inlineStr">
        <is>
          <t>NAMA water demand category (PAM-GUD-201 s7.3)</t>
        </is>
      </c>
      <c r="D1" s="1" t="inlineStr">
        <is>
          <t>Water rate applied</t>
        </is>
      </c>
      <c r="E1" s="1" t="inlineStr">
        <is>
          <t>Return to sewer</t>
        </is>
      </c>
      <c r="F1" s="1" t="inlineStr">
        <is>
          <t>Plot use it gives (land-use class)</t>
        </is>
      </c>
    </row>
    <row r="2">
      <c r="A2" s="2" t="inlineStr">
        <is>
          <t>Primary Account Tariff</t>
        </is>
      </c>
      <c r="B2" s="3" t="n">
        <v>10973</v>
      </c>
      <c r="C2" s="2" t="inlineStr">
        <is>
          <t>Domestic</t>
        </is>
      </c>
      <c r="D2" s="2" t="inlineStr">
        <is>
          <t>164 l/person/d x the settlement's persons per property (G201 Table 11, Adh Dhahirah)</t>
        </is>
      </c>
      <c r="E2" s="2" t="inlineStr">
        <is>
          <t>85 % (Table 19)</t>
        </is>
      </c>
      <c r="F2" s="2" t="inlineStr">
        <is>
          <t>Residential: one property each</t>
        </is>
      </c>
    </row>
    <row r="3">
      <c r="A3" s="4" t="inlineStr">
        <is>
          <t>Primary Account Tariff (with National Subsidy)</t>
        </is>
      </c>
      <c r="B3" s="5" t="n">
        <v>5272</v>
      </c>
      <c r="C3" s="4" t="inlineStr">
        <is>
          <t>Domestic</t>
        </is>
      </c>
      <c r="D3" s="4" t="inlineStr">
        <is>
          <t>same</t>
        </is>
      </c>
      <c r="E3" s="4" t="inlineStr">
        <is>
          <t>85 %</t>
        </is>
      </c>
      <c r="F3" s="4" t="inlineStr">
        <is>
          <t>Residential</t>
        </is>
      </c>
    </row>
    <row r="4">
      <c r="A4" s="2" t="inlineStr">
        <is>
          <t>Additional Account Tariff</t>
        </is>
      </c>
      <c r="B4" s="3" t="n">
        <v>6344</v>
      </c>
      <c r="C4" s="2" t="inlineStr">
        <is>
          <t>Domestic</t>
        </is>
      </c>
      <c r="D4" s="2" t="inlineStr">
        <is>
          <t>same</t>
        </is>
      </c>
      <c r="E4" s="2" t="inlineStr">
        <is>
          <t>85 %</t>
        </is>
      </c>
      <c r="F4" s="2" t="inlineStr">
        <is>
          <t>Residential: a further property on the plot</t>
        </is>
      </c>
    </row>
    <row r="5">
      <c r="A5" s="4" t="inlineStr">
        <is>
          <t>Commercial</t>
        </is>
      </c>
      <c r="B5" s="5" t="n">
        <v>9385</v>
      </c>
      <c r="C5" s="4" t="inlineStr">
        <is>
          <t>Non-domestic</t>
        </is>
      </c>
      <c r="D5" s="4" t="inlineStr">
        <is>
          <t>share of the 22 % of domestic (G201 Table 11, distributed ratio)</t>
        </is>
      </c>
      <c r="E5" s="4" t="inlineStr">
        <is>
          <t>54 % (Table 19)</t>
        </is>
      </c>
      <c r="F5" s="4" t="inlineStr">
        <is>
          <t>Commercial; Home and shop when the plot also carries a domestic meter</t>
        </is>
      </c>
    </row>
    <row r="6">
      <c r="A6" s="2" t="inlineStr">
        <is>
          <t>Fisheries</t>
        </is>
      </c>
      <c r="B6" s="3" t="n">
        <v>6</v>
      </c>
      <c r="C6" s="2" t="inlineStr">
        <is>
          <t>Non-domestic</t>
        </is>
      </c>
      <c r="D6" s="2" t="inlineStr">
        <is>
          <t>22 % share</t>
        </is>
      </c>
      <c r="E6" s="2" t="inlineStr">
        <is>
          <t>54 %</t>
        </is>
      </c>
      <c r="F6" s="2" t="inlineStr">
        <is>
          <t>Commercial</t>
        </is>
      </c>
    </row>
    <row r="7">
      <c r="A7" s="4" t="inlineStr">
        <is>
          <t>Tourism</t>
        </is>
      </c>
      <c r="B7" s="5" t="n">
        <v>1</v>
      </c>
      <c r="C7" s="4" t="inlineStr">
        <is>
          <t>Non-domestic</t>
        </is>
      </c>
      <c r="D7" s="4" t="inlineStr">
        <is>
          <t>22 % share</t>
        </is>
      </c>
      <c r="E7" s="4" t="inlineStr">
        <is>
          <t>54 %</t>
        </is>
      </c>
      <c r="F7" s="4" t="inlineStr">
        <is>
          <t>Commercial</t>
        </is>
      </c>
    </row>
    <row r="8">
      <c r="A8" s="2" t="inlineStr">
        <is>
          <t>Government</t>
        </is>
      </c>
      <c r="B8" s="3" t="n">
        <v>966</v>
      </c>
      <c r="C8" s="2" t="inlineStr">
        <is>
          <t>Governmental</t>
        </is>
      </c>
      <c r="D8" s="2" t="inlineStr">
        <is>
          <t>share of the 14 % of domestic (G201 Table 11, distributed ratio)</t>
        </is>
      </c>
      <c r="E8" s="2" t="inlineStr">
        <is>
          <t>54 %</t>
        </is>
      </c>
      <c r="F8" s="2" t="inlineStr">
        <is>
          <t>Government, when government meters outnumber shop and domestic meters on the plot</t>
        </is>
      </c>
    </row>
    <row r="9">
      <c r="A9" s="4" t="inlineStr">
        <is>
          <t>MOD</t>
        </is>
      </c>
      <c r="B9" s="5" t="n">
        <v>1</v>
      </c>
      <c r="C9" s="4" t="inlineStr">
        <is>
          <t>Governmental</t>
        </is>
      </c>
      <c r="D9" s="4" t="inlineStr">
        <is>
          <t>14 % share</t>
        </is>
      </c>
      <c r="E9" s="4" t="inlineStr">
        <is>
          <t>54 %</t>
        </is>
      </c>
      <c r="F9" s="4" t="inlineStr">
        <is>
          <t>Government</t>
        </is>
      </c>
    </row>
    <row r="10">
      <c r="A10" s="2" t="inlineStr">
        <is>
          <t>Agricultural</t>
        </is>
      </c>
      <c r="B10" s="3" t="n">
        <v>523</v>
      </c>
      <c r="C10" s="2" t="inlineStr">
        <is>
          <t>Agricultural (irrigation pump)</t>
        </is>
      </c>
      <c r="D10" s="2" t="inlineStr">
        <is>
          <t>none: no sewage</t>
        </is>
      </c>
      <c r="E10" s="2" t="inlineStr">
        <is>
          <t>-</t>
        </is>
      </c>
      <c r="F10" s="2" t="inlineStr">
        <is>
          <t>Agricultural when farm meters only; Residential when a house is metered on the farm</t>
        </is>
      </c>
    </row>
    <row r="11">
      <c r="A11" s="4" t="inlineStr">
        <is>
          <t>Industrial</t>
        </is>
      </c>
      <c r="B11" s="5" t="n">
        <v>1</v>
      </c>
      <c r="C11" s="4" t="inlineStr">
        <is>
          <t>Special consumption (identified project)</t>
        </is>
      </c>
      <c r="D11" s="4" t="inlineStr">
        <is>
          <t>93 l/worker/d, dry industry (G201 Table 12)</t>
        </is>
      </c>
      <c r="E11" s="4" t="inlineStr">
        <is>
          <t>54 %</t>
        </is>
      </c>
      <c r="F11" s="4" t="inlineStr">
        <is>
          <t>Industrial</t>
        </is>
      </c>
    </row>
    <row r="12">
      <c r="A12" s="6" t="inlineStr">
        <is>
          <t>CRT Seasonal / CRT Time of Use / CRT Fixed Rate</t>
        </is>
      </c>
      <c r="B12" s="7" t="n">
        <v>499</v>
      </c>
      <c r="C12" s="6" t="inlineStr">
        <is>
          <t>A consumption class (over 150 MWh/yr), not a use: each account resolved from public data, below</t>
        </is>
      </c>
      <c r="D12" s="6" t="inlineStr"/>
      <c r="E12" s="6" t="inlineStr"/>
      <c r="F12" s="6" t="inlineStr"/>
    </row>
    <row r="13">
      <c r="A13" s="4" t="inlineStr">
        <is>
          <t xml:space="preserve">   CRT found: Commercial, telecom/utility, unresolved</t>
        </is>
      </c>
      <c r="B13" s="5" t="n">
        <v>321</v>
      </c>
      <c r="C13" s="4" t="inlineStr">
        <is>
          <t>Non-domestic</t>
        </is>
      </c>
      <c r="D13" s="4" t="inlineStr">
        <is>
          <t>22 % share</t>
        </is>
      </c>
      <c r="E13" s="4" t="inlineStr">
        <is>
          <t>54 %</t>
        </is>
      </c>
      <c r="F13" s="4" t="inlineStr">
        <is>
          <t>Commercial / Home and shop</t>
        </is>
      </c>
    </row>
    <row r="14">
      <c r="A14" s="2" t="inlineStr">
        <is>
          <t xml:space="preserve">   CRT found: Government, education, health, religious</t>
        </is>
      </c>
      <c r="B14" s="3" t="n">
        <v>135</v>
      </c>
      <c r="C14" s="2" t="inlineStr">
        <is>
          <t>Governmental</t>
        </is>
      </c>
      <c r="D14" s="2" t="inlineStr">
        <is>
          <t>14 % share</t>
        </is>
      </c>
      <c r="E14" s="2" t="inlineStr">
        <is>
          <t>54 %</t>
        </is>
      </c>
      <c r="F14" s="2" t="inlineStr">
        <is>
          <t>Government</t>
        </is>
      </c>
    </row>
    <row r="15">
      <c r="A15" s="4" t="inlineStr">
        <is>
          <t xml:space="preserve">   CRT found: Industrial (Tanam estate)</t>
        </is>
      </c>
      <c r="B15" s="5" t="n">
        <v>15</v>
      </c>
      <c r="C15" s="4" t="inlineStr">
        <is>
          <t>Special consumption</t>
        </is>
      </c>
      <c r="D15" s="4" t="inlineStr">
        <is>
          <t>93 l/worker/d</t>
        </is>
      </c>
      <c r="E15" s="4" t="inlineStr">
        <is>
          <t>54 %</t>
        </is>
      </c>
      <c r="F15" s="4" t="inlineStr">
        <is>
          <t>Industrial</t>
        </is>
      </c>
    </row>
    <row r="16">
      <c r="A16" s="2" t="inlineStr">
        <is>
          <t xml:space="preserve">   CRT found: Agricultural (Aynayn farm pumps)</t>
        </is>
      </c>
      <c r="B16" s="3" t="n">
        <v>28</v>
      </c>
      <c r="C16" s="2" t="inlineStr">
        <is>
          <t>Agricultural</t>
        </is>
      </c>
      <c r="D16" s="2" t="inlineStr">
        <is>
          <t>none</t>
        </is>
      </c>
      <c r="E16" s="2" t="inlineStr">
        <is>
          <t>-</t>
        </is>
      </c>
      <c r="F16" s="2" t="inlineStr">
        <is>
          <t>Agricultural</t>
        </is>
      </c>
    </row>
    <row r="17">
      <c r="A17" s="8" t="inlineStr">
        <is>
          <t>All meters</t>
        </is>
      </c>
      <c r="B17" s="9">
        <f>SUM(B2:B12)</f>
        <v/>
      </c>
    </row>
    <row r="18">
      <c r="A18" s="10" t="inlineStr">
        <is>
          <t>(the four CRT lines are the split of the CRT line above them and are not summed)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11" t="inlineStr">
        <is>
          <t>Item</t>
        </is>
      </c>
      <c r="B1" s="11" t="inlineStr">
        <is>
          <t>Note</t>
        </is>
      </c>
    </row>
    <row r="2">
      <c r="A2" s="12" t="inlineStr">
        <is>
          <t>Industrial estates</t>
        </is>
      </c>
      <c r="B2" s="12" t="inlineStr">
        <is>
          <t>Al Tayyeb and Tanam are metered as Commercial (1,035 and 409 meters). Their industrial plots are classed by the estate footprint and carry the special-consumption workforce (4,500 and 1,800 assumed), not the shop share.</t>
        </is>
      </c>
    </row>
    <row r="3">
      <c r="A3" s="12" t="inlineStr">
        <is>
          <t>Heritage</t>
        </is>
      </c>
      <c r="B3" s="12" t="inlineStr">
        <is>
          <t>The old quarters (177 plots) are classed from the cadastre, not the meters, and carry no load.</t>
        </is>
      </c>
    </row>
    <row r="4">
      <c r="A4" s="12" t="inlineStr">
        <is>
          <t>Empty and Proposed plots</t>
        </is>
      </c>
      <c r="B4" s="12" t="inlineStr">
        <is>
          <t>No meter: capacity for future people at 171.3 l/d each (164 x 0.85 + 36 x 0.54 + 23 x 0.54).</t>
        </is>
      </c>
    </row>
    <row r="5">
      <c r="A5" s="12" t="inlineStr">
        <is>
          <t>Meters on no plot</t>
        </is>
      </c>
      <c r="B5" s="12" t="inlineStr">
        <is>
          <t>126 meters lie more than 15 m from any plot and carry nothing until NWS says whether to assign or leave them (Design Basis Report, Section 3.3).</t>
        </is>
      </c>
    </row>
    <row r="6">
      <c r="A6" s="12" t="inlineStr">
        <is>
          <t>Source</t>
        </is>
      </c>
      <c r="B6" s="12" t="inlineStr">
        <is>
          <t>W14/shp/ELE_meters_on_plots.shp (33,971 accounts, 2024); rules in W14/py/plot_class_from_meters.py; categories per PAM-GUD-201 section 7.3; rates Table 11 (p60) and Table 19 (p71).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2026-09-15T06:49:46Z</dcterms:created>
  <dcterms:modified xmlns:dcterms="http://purl.org/dc/terms/" xmlns:xsi="http://www.w3.org/2001/XMLSchema-instance" xsi:type="dcterms:W3CDTF">2026-09-15T06:49:46Z</dcterms:modified>
</cp:coreProperties>
</file>