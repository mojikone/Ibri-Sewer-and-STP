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forouzan\Desktop\"/>
    </mc:Choice>
  </mc:AlternateContent>
  <xr:revisionPtr revIDLastSave="0" documentId="13_ncr:1_{2B59A1BB-E90E-42DC-85F7-827B713546C9}" xr6:coauthVersionLast="47" xr6:coauthVersionMax="47" xr10:uidLastSave="{00000000-0000-0000-0000-000000000000}"/>
  <bookViews>
    <workbookView xWindow="28680" yWindow="-120" windowWidth="29040" windowHeight="15840" tabRatio="860" firstSheet="2" activeTab="9" xr2:uid="{718729CB-893A-48FF-9DEA-C11688F64D66}"/>
  </bookViews>
  <sheets>
    <sheet name="Pop_Wilayat" sheetId="2" r:id="rId1"/>
    <sheet name="Ibri Pop Settlements" sheetId="14" r:id="rId2"/>
    <sheet name="Ibri Tankers" sheetId="19" r:id="rId3"/>
    <sheet name="Water Demand Criteria" sheetId="16" r:id="rId4"/>
    <sheet name="Wastewater Criteria" sheetId="17" r:id="rId5"/>
    <sheet name="Project Pop Settlements" sheetId="12" r:id="rId6"/>
    <sheet name="Project W Pop Connected" sheetId="15" r:id="rId7"/>
    <sheet name="Project Tankers" sheetId="20" r:id="rId8"/>
    <sheet name="Project WW Generation" sheetId="18" r:id="rId9"/>
    <sheet name="Project W Pop Connected (2)" sheetId="22" r:id="rId10"/>
    <sheet name="Project WW Generation (2)" sheetId="21" r:id="rId11"/>
  </sheets>
  <externalReferences>
    <externalReference r:id="rId12"/>
  </externalReferences>
  <definedNames>
    <definedName name="_xlnm._FilterDatabase" localSheetId="1" hidden="1">'Ibri Pop Settlements'!$A$1:$AJ$240</definedName>
    <definedName name="_xlnm._FilterDatabase" localSheetId="2" hidden="1">'Ibri Tankers'!$A$1:$AG$138</definedName>
    <definedName name="demand_comb">'Water Demand Criteria'!$B$26</definedName>
    <definedName name="headroom_percentile">'Water Demand Criteria'!$E$21</definedName>
    <definedName name="outage_range">#REF!</definedName>
    <definedName name="use_outage">'Water Demand Criteria'!$E$22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12" l="1"/>
  <c r="D2" i="12"/>
  <c r="E2" i="12"/>
  <c r="F2" i="12"/>
  <c r="G2" i="12"/>
  <c r="H2" i="12"/>
  <c r="I2" i="12"/>
  <c r="I27" i="12" s="1"/>
  <c r="C3" i="12"/>
  <c r="D3" i="12"/>
  <c r="E3" i="12"/>
  <c r="F3" i="12"/>
  <c r="G3" i="12"/>
  <c r="H3" i="12"/>
  <c r="I3" i="12"/>
  <c r="C4" i="12"/>
  <c r="C27" i="12" s="1"/>
  <c r="D4" i="12"/>
  <c r="E4" i="12"/>
  <c r="F4" i="12"/>
  <c r="G4" i="12"/>
  <c r="H4" i="12"/>
  <c r="I4" i="12"/>
  <c r="C5" i="12"/>
  <c r="D5" i="12"/>
  <c r="E5" i="12"/>
  <c r="F5" i="12"/>
  <c r="G5" i="12"/>
  <c r="H5" i="12"/>
  <c r="I5" i="12"/>
  <c r="C6" i="12"/>
  <c r="D6" i="12"/>
  <c r="E6" i="12"/>
  <c r="E27" i="12" s="1"/>
  <c r="F6" i="12"/>
  <c r="G6" i="12"/>
  <c r="H6" i="12"/>
  <c r="I6" i="12"/>
  <c r="C7" i="12"/>
  <c r="D7" i="12"/>
  <c r="E7" i="12"/>
  <c r="F7" i="12"/>
  <c r="F27" i="12" s="1"/>
  <c r="G7" i="12"/>
  <c r="H7" i="12"/>
  <c r="I7" i="12"/>
  <c r="C8" i="12"/>
  <c r="D8" i="12"/>
  <c r="E8" i="12"/>
  <c r="F8" i="12"/>
  <c r="G8" i="12"/>
  <c r="G27" i="12" s="1"/>
  <c r="H8" i="12"/>
  <c r="I8" i="12"/>
  <c r="C9" i="12"/>
  <c r="D9" i="12"/>
  <c r="E9" i="12"/>
  <c r="F9" i="12"/>
  <c r="G9" i="12"/>
  <c r="H9" i="12"/>
  <c r="H27" i="12" s="1"/>
  <c r="I9" i="12"/>
  <c r="C10" i="12"/>
  <c r="D10" i="12"/>
  <c r="E10" i="12"/>
  <c r="F10" i="12"/>
  <c r="G10" i="12"/>
  <c r="H10" i="12"/>
  <c r="I10" i="12"/>
  <c r="C11" i="12"/>
  <c r="D11" i="12"/>
  <c r="E11" i="12"/>
  <c r="F11" i="12"/>
  <c r="G11" i="12"/>
  <c r="H11" i="12"/>
  <c r="I11" i="12"/>
  <c r="C12" i="12"/>
  <c r="D12" i="12"/>
  <c r="E12" i="12"/>
  <c r="F12" i="12"/>
  <c r="G12" i="12"/>
  <c r="H12" i="12"/>
  <c r="I12" i="12"/>
  <c r="C13" i="12"/>
  <c r="D13" i="12"/>
  <c r="E13" i="12"/>
  <c r="F13" i="12"/>
  <c r="G13" i="12"/>
  <c r="H13" i="12"/>
  <c r="I13" i="12"/>
  <c r="C14" i="12"/>
  <c r="D14" i="12"/>
  <c r="E14" i="12"/>
  <c r="F14" i="12"/>
  <c r="G14" i="12"/>
  <c r="H14" i="12"/>
  <c r="I14" i="12"/>
  <c r="C15" i="12"/>
  <c r="D15" i="12"/>
  <c r="E15" i="12"/>
  <c r="F15" i="12"/>
  <c r="G15" i="12"/>
  <c r="H15" i="12"/>
  <c r="I15" i="12"/>
  <c r="C16" i="12"/>
  <c r="D16" i="12"/>
  <c r="E16" i="12"/>
  <c r="F16" i="12"/>
  <c r="G16" i="12"/>
  <c r="H16" i="12"/>
  <c r="I16" i="12"/>
  <c r="C17" i="12"/>
  <c r="D17" i="12"/>
  <c r="E17" i="12"/>
  <c r="F17" i="12"/>
  <c r="G17" i="12"/>
  <c r="H17" i="12"/>
  <c r="I17" i="12"/>
  <c r="C18" i="12"/>
  <c r="D18" i="12"/>
  <c r="E18" i="12"/>
  <c r="F18" i="12"/>
  <c r="G18" i="12"/>
  <c r="H18" i="12"/>
  <c r="I18" i="12"/>
  <c r="C19" i="12"/>
  <c r="D19" i="12"/>
  <c r="E19" i="12"/>
  <c r="F19" i="12"/>
  <c r="G19" i="12"/>
  <c r="H19" i="12"/>
  <c r="I19" i="12"/>
  <c r="C20" i="12"/>
  <c r="D20" i="12"/>
  <c r="E20" i="12"/>
  <c r="F20" i="12"/>
  <c r="G20" i="12"/>
  <c r="H20" i="12"/>
  <c r="I20" i="12"/>
  <c r="C21" i="12"/>
  <c r="D21" i="12"/>
  <c r="D27" i="12" s="1"/>
  <c r="E21" i="12"/>
  <c r="F21" i="12"/>
  <c r="G21" i="12"/>
  <c r="H21" i="12"/>
  <c r="I21" i="12"/>
  <c r="C22" i="12"/>
  <c r="D22" i="12"/>
  <c r="E22" i="12"/>
  <c r="F22" i="12"/>
  <c r="G22" i="12"/>
  <c r="H22" i="12"/>
  <c r="I22" i="12"/>
  <c r="C23" i="12"/>
  <c r="D23" i="12"/>
  <c r="E23" i="12"/>
  <c r="F23" i="12"/>
  <c r="G23" i="12"/>
  <c r="H23" i="12"/>
  <c r="I23" i="12"/>
  <c r="C24" i="12"/>
  <c r="D24" i="12"/>
  <c r="E24" i="12"/>
  <c r="F24" i="12"/>
  <c r="G24" i="12"/>
  <c r="H24" i="12"/>
  <c r="I24" i="12"/>
  <c r="C25" i="12"/>
  <c r="D25" i="12"/>
  <c r="E25" i="12"/>
  <c r="F25" i="12"/>
  <c r="G25" i="12"/>
  <c r="H25" i="12"/>
  <c r="I25" i="12"/>
  <c r="C26" i="12"/>
  <c r="D26" i="12"/>
  <c r="E26" i="12"/>
  <c r="F26" i="12"/>
  <c r="G26" i="12"/>
  <c r="H26" i="12"/>
  <c r="I26" i="12"/>
  <c r="AD26" i="20" l="1"/>
  <c r="AE26" i="20" s="1"/>
  <c r="AF26" i="20" s="1"/>
  <c r="AG26" i="20" s="1"/>
  <c r="AH26" i="20" s="1"/>
  <c r="AI26" i="20" s="1"/>
  <c r="AJ26" i="20" s="1"/>
  <c r="AK26" i="20" s="1"/>
  <c r="AL26" i="20" s="1"/>
  <c r="AM26" i="20" s="1"/>
  <c r="AN26" i="20" s="1"/>
  <c r="AO26" i="20" s="1"/>
  <c r="AP26" i="20" s="1"/>
  <c r="AQ26" i="20" s="1"/>
  <c r="AR26" i="20" s="1"/>
  <c r="AS26" i="20" s="1"/>
  <c r="AT26" i="20" s="1"/>
  <c r="AU26" i="20" s="1"/>
  <c r="AV26" i="20" s="1"/>
  <c r="AW26" i="20" s="1"/>
  <c r="AX26" i="20" s="1"/>
  <c r="AY26" i="20" s="1"/>
  <c r="AZ26" i="20" s="1"/>
  <c r="BA26" i="20" s="1"/>
  <c r="BB26" i="20" s="1"/>
  <c r="BC26" i="20" s="1"/>
  <c r="BD26" i="20" s="1"/>
  <c r="BE26" i="20" s="1"/>
  <c r="BF26" i="20" s="1"/>
  <c r="BG26" i="20" s="1"/>
  <c r="BH26" i="20" s="1"/>
  <c r="BI26" i="20" s="1"/>
  <c r="BJ26" i="20" s="1"/>
  <c r="BK26" i="20" s="1"/>
  <c r="BL26" i="20" s="1"/>
  <c r="BM26" i="20" s="1"/>
  <c r="BN26" i="20" s="1"/>
  <c r="BO26" i="20" s="1"/>
  <c r="BP26" i="20" s="1"/>
  <c r="BQ26" i="20" s="1"/>
  <c r="BR26" i="20" s="1"/>
  <c r="BS26" i="20" s="1"/>
  <c r="BT26" i="20" s="1"/>
  <c r="BU26" i="20" s="1"/>
  <c r="BV26" i="20" s="1"/>
  <c r="BW26" i="20" s="1"/>
  <c r="BX26" i="20" s="1"/>
  <c r="BY26" i="20" s="1"/>
  <c r="BZ26" i="20" s="1"/>
  <c r="CA26" i="20" s="1"/>
  <c r="AD25" i="20"/>
  <c r="AE25" i="20" s="1"/>
  <c r="AF25" i="20" s="1"/>
  <c r="AG25" i="20" s="1"/>
  <c r="AH25" i="20" s="1"/>
  <c r="AI25" i="20" s="1"/>
  <c r="AJ25" i="20" s="1"/>
  <c r="AK25" i="20" s="1"/>
  <c r="AL25" i="20" s="1"/>
  <c r="AM25" i="20" s="1"/>
  <c r="AN25" i="20" s="1"/>
  <c r="AO25" i="20" s="1"/>
  <c r="AP25" i="20" s="1"/>
  <c r="AQ25" i="20" s="1"/>
  <c r="AR25" i="20" s="1"/>
  <c r="AS25" i="20" s="1"/>
  <c r="AT25" i="20" s="1"/>
  <c r="AU25" i="20" s="1"/>
  <c r="AV25" i="20" s="1"/>
  <c r="AW25" i="20" s="1"/>
  <c r="AX25" i="20" s="1"/>
  <c r="AY25" i="20" s="1"/>
  <c r="AZ25" i="20" s="1"/>
  <c r="BA25" i="20" s="1"/>
  <c r="BB25" i="20" s="1"/>
  <c r="BC25" i="20" s="1"/>
  <c r="BD25" i="20" s="1"/>
  <c r="BE25" i="20" s="1"/>
  <c r="BF25" i="20" s="1"/>
  <c r="BG25" i="20" s="1"/>
  <c r="BH25" i="20" s="1"/>
  <c r="BI25" i="20" s="1"/>
  <c r="BJ25" i="20" s="1"/>
  <c r="BK25" i="20" s="1"/>
  <c r="BL25" i="20" s="1"/>
  <c r="BM25" i="20" s="1"/>
  <c r="BN25" i="20" s="1"/>
  <c r="BO25" i="20" s="1"/>
  <c r="BP25" i="20" s="1"/>
  <c r="BQ25" i="20" s="1"/>
  <c r="BR25" i="20" s="1"/>
  <c r="BS25" i="20" s="1"/>
  <c r="BT25" i="20" s="1"/>
  <c r="BU25" i="20" s="1"/>
  <c r="BV25" i="20" s="1"/>
  <c r="BW25" i="20" s="1"/>
  <c r="BX25" i="20" s="1"/>
  <c r="BY25" i="20" s="1"/>
  <c r="BZ25" i="20" s="1"/>
  <c r="CA25" i="20" s="1"/>
  <c r="AD24" i="20"/>
  <c r="AE24" i="20" s="1"/>
  <c r="AF24" i="20" s="1"/>
  <c r="AG24" i="20" s="1"/>
  <c r="AH24" i="20" s="1"/>
  <c r="AI24" i="20" s="1"/>
  <c r="AJ24" i="20" s="1"/>
  <c r="AK24" i="20" s="1"/>
  <c r="AL24" i="20" s="1"/>
  <c r="AM24" i="20" s="1"/>
  <c r="AN24" i="20" s="1"/>
  <c r="AO24" i="20" s="1"/>
  <c r="AP24" i="20" s="1"/>
  <c r="AQ24" i="20" s="1"/>
  <c r="AR24" i="20" s="1"/>
  <c r="AS24" i="20" s="1"/>
  <c r="AT24" i="20" s="1"/>
  <c r="AU24" i="20" s="1"/>
  <c r="AV24" i="20" s="1"/>
  <c r="AW24" i="20" s="1"/>
  <c r="AX24" i="20" s="1"/>
  <c r="AY24" i="20" s="1"/>
  <c r="AZ24" i="20" s="1"/>
  <c r="BA24" i="20" s="1"/>
  <c r="BB24" i="20" s="1"/>
  <c r="BC24" i="20" s="1"/>
  <c r="BD24" i="20" s="1"/>
  <c r="BE24" i="20" s="1"/>
  <c r="BF24" i="20" s="1"/>
  <c r="BG24" i="20" s="1"/>
  <c r="BH24" i="20" s="1"/>
  <c r="BI24" i="20" s="1"/>
  <c r="BJ24" i="20" s="1"/>
  <c r="BK24" i="20" s="1"/>
  <c r="BL24" i="20" s="1"/>
  <c r="BM24" i="20" s="1"/>
  <c r="BN24" i="20" s="1"/>
  <c r="BO24" i="20" s="1"/>
  <c r="BP24" i="20" s="1"/>
  <c r="BQ24" i="20" s="1"/>
  <c r="BR24" i="20" s="1"/>
  <c r="BS24" i="20" s="1"/>
  <c r="BT24" i="20" s="1"/>
  <c r="BU24" i="20" s="1"/>
  <c r="BV24" i="20" s="1"/>
  <c r="BW24" i="20" s="1"/>
  <c r="BX24" i="20" s="1"/>
  <c r="BY24" i="20" s="1"/>
  <c r="BZ24" i="20" s="1"/>
  <c r="CA24" i="20" s="1"/>
  <c r="AE23" i="20"/>
  <c r="AF23" i="20" s="1"/>
  <c r="AG23" i="20" s="1"/>
  <c r="AH23" i="20" s="1"/>
  <c r="AI23" i="20" s="1"/>
  <c r="AJ23" i="20" s="1"/>
  <c r="AK23" i="20" s="1"/>
  <c r="AL23" i="20" s="1"/>
  <c r="AM23" i="20" s="1"/>
  <c r="AN23" i="20" s="1"/>
  <c r="AO23" i="20" s="1"/>
  <c r="AP23" i="20" s="1"/>
  <c r="AQ23" i="20" s="1"/>
  <c r="AR23" i="20" s="1"/>
  <c r="AS23" i="20" s="1"/>
  <c r="AT23" i="20" s="1"/>
  <c r="AU23" i="20" s="1"/>
  <c r="AV23" i="20" s="1"/>
  <c r="AW23" i="20" s="1"/>
  <c r="AX23" i="20" s="1"/>
  <c r="AY23" i="20" s="1"/>
  <c r="AZ23" i="20" s="1"/>
  <c r="BA23" i="20" s="1"/>
  <c r="BB23" i="20" s="1"/>
  <c r="BC23" i="20" s="1"/>
  <c r="BD23" i="20" s="1"/>
  <c r="BE23" i="20" s="1"/>
  <c r="BF23" i="20" s="1"/>
  <c r="BG23" i="20" s="1"/>
  <c r="BH23" i="20" s="1"/>
  <c r="BI23" i="20" s="1"/>
  <c r="BJ23" i="20" s="1"/>
  <c r="BK23" i="20" s="1"/>
  <c r="BL23" i="20" s="1"/>
  <c r="BM23" i="20" s="1"/>
  <c r="BN23" i="20" s="1"/>
  <c r="BO23" i="20" s="1"/>
  <c r="BP23" i="20" s="1"/>
  <c r="BQ23" i="20" s="1"/>
  <c r="BR23" i="20" s="1"/>
  <c r="BS23" i="20" s="1"/>
  <c r="BT23" i="20" s="1"/>
  <c r="BU23" i="20" s="1"/>
  <c r="BV23" i="20" s="1"/>
  <c r="BW23" i="20" s="1"/>
  <c r="BX23" i="20" s="1"/>
  <c r="BY23" i="20" s="1"/>
  <c r="BZ23" i="20" s="1"/>
  <c r="CA23" i="20" s="1"/>
  <c r="AD23" i="20"/>
  <c r="AD22" i="20"/>
  <c r="AE22" i="20" s="1"/>
  <c r="AF22" i="20" s="1"/>
  <c r="AG22" i="20" s="1"/>
  <c r="AH22" i="20" s="1"/>
  <c r="AI22" i="20" s="1"/>
  <c r="AJ22" i="20" s="1"/>
  <c r="AK22" i="20" s="1"/>
  <c r="AL22" i="20" s="1"/>
  <c r="AM22" i="20" s="1"/>
  <c r="AN22" i="20" s="1"/>
  <c r="AO22" i="20" s="1"/>
  <c r="AP22" i="20" s="1"/>
  <c r="AQ22" i="20" s="1"/>
  <c r="AR22" i="20" s="1"/>
  <c r="AS22" i="20" s="1"/>
  <c r="AT22" i="20" s="1"/>
  <c r="AU22" i="20" s="1"/>
  <c r="AV22" i="20" s="1"/>
  <c r="AW22" i="20" s="1"/>
  <c r="AX22" i="20" s="1"/>
  <c r="AY22" i="20" s="1"/>
  <c r="AZ22" i="20" s="1"/>
  <c r="BA22" i="20" s="1"/>
  <c r="BB22" i="20" s="1"/>
  <c r="BC22" i="20" s="1"/>
  <c r="BD22" i="20" s="1"/>
  <c r="BE22" i="20" s="1"/>
  <c r="BF22" i="20" s="1"/>
  <c r="BG22" i="20" s="1"/>
  <c r="BH22" i="20" s="1"/>
  <c r="BI22" i="20" s="1"/>
  <c r="BJ22" i="20" s="1"/>
  <c r="BK22" i="20" s="1"/>
  <c r="BL22" i="20" s="1"/>
  <c r="BM22" i="20" s="1"/>
  <c r="BN22" i="20" s="1"/>
  <c r="BO22" i="20" s="1"/>
  <c r="BP22" i="20" s="1"/>
  <c r="BQ22" i="20" s="1"/>
  <c r="BR22" i="20" s="1"/>
  <c r="BS22" i="20" s="1"/>
  <c r="BT22" i="20" s="1"/>
  <c r="BU22" i="20" s="1"/>
  <c r="BV22" i="20" s="1"/>
  <c r="BW22" i="20" s="1"/>
  <c r="BX22" i="20" s="1"/>
  <c r="BY22" i="20" s="1"/>
  <c r="BZ22" i="20" s="1"/>
  <c r="CA22" i="20" s="1"/>
  <c r="AD21" i="20"/>
  <c r="AE21" i="20" s="1"/>
  <c r="AF21" i="20" s="1"/>
  <c r="AG21" i="20" s="1"/>
  <c r="AH21" i="20" s="1"/>
  <c r="AI21" i="20" s="1"/>
  <c r="AJ21" i="20" s="1"/>
  <c r="AK21" i="20" s="1"/>
  <c r="AL21" i="20" s="1"/>
  <c r="AM21" i="20" s="1"/>
  <c r="AN21" i="20" s="1"/>
  <c r="AO21" i="20" s="1"/>
  <c r="AP21" i="20" s="1"/>
  <c r="AQ21" i="20" s="1"/>
  <c r="AR21" i="20" s="1"/>
  <c r="AS21" i="20" s="1"/>
  <c r="AT21" i="20" s="1"/>
  <c r="AU21" i="20" s="1"/>
  <c r="AV21" i="20" s="1"/>
  <c r="AW21" i="20" s="1"/>
  <c r="AX21" i="20" s="1"/>
  <c r="AY21" i="20" s="1"/>
  <c r="AZ21" i="20" s="1"/>
  <c r="BA21" i="20" s="1"/>
  <c r="BB21" i="20" s="1"/>
  <c r="BC21" i="20" s="1"/>
  <c r="BD21" i="20" s="1"/>
  <c r="BE21" i="20" s="1"/>
  <c r="BF21" i="20" s="1"/>
  <c r="BG21" i="20" s="1"/>
  <c r="BH21" i="20" s="1"/>
  <c r="BI21" i="20" s="1"/>
  <c r="BJ21" i="20" s="1"/>
  <c r="BK21" i="20" s="1"/>
  <c r="BL21" i="20" s="1"/>
  <c r="BM21" i="20" s="1"/>
  <c r="BN21" i="20" s="1"/>
  <c r="BO21" i="20" s="1"/>
  <c r="BP21" i="20" s="1"/>
  <c r="BQ21" i="20" s="1"/>
  <c r="BR21" i="20" s="1"/>
  <c r="BS21" i="20" s="1"/>
  <c r="BT21" i="20" s="1"/>
  <c r="BU21" i="20" s="1"/>
  <c r="BV21" i="20" s="1"/>
  <c r="BW21" i="20" s="1"/>
  <c r="BX21" i="20" s="1"/>
  <c r="BY21" i="20" s="1"/>
  <c r="BZ21" i="20" s="1"/>
  <c r="CA21" i="20" s="1"/>
  <c r="AE20" i="20"/>
  <c r="AF20" i="20" s="1"/>
  <c r="AG20" i="20" s="1"/>
  <c r="AH20" i="20" s="1"/>
  <c r="AI20" i="20" s="1"/>
  <c r="AJ20" i="20" s="1"/>
  <c r="AK20" i="20" s="1"/>
  <c r="AL20" i="20" s="1"/>
  <c r="AM20" i="20" s="1"/>
  <c r="AN20" i="20" s="1"/>
  <c r="AO20" i="20" s="1"/>
  <c r="AP20" i="20" s="1"/>
  <c r="AQ20" i="20" s="1"/>
  <c r="AR20" i="20" s="1"/>
  <c r="AS20" i="20" s="1"/>
  <c r="AT20" i="20" s="1"/>
  <c r="AU20" i="20" s="1"/>
  <c r="AV20" i="20" s="1"/>
  <c r="AW20" i="20" s="1"/>
  <c r="AX20" i="20" s="1"/>
  <c r="AY20" i="20" s="1"/>
  <c r="AZ20" i="20" s="1"/>
  <c r="BA20" i="20" s="1"/>
  <c r="BB20" i="20" s="1"/>
  <c r="BC20" i="20" s="1"/>
  <c r="BD20" i="20" s="1"/>
  <c r="BE20" i="20" s="1"/>
  <c r="BF20" i="20" s="1"/>
  <c r="BG20" i="20" s="1"/>
  <c r="BH20" i="20" s="1"/>
  <c r="BI20" i="20" s="1"/>
  <c r="BJ20" i="20" s="1"/>
  <c r="BK20" i="20" s="1"/>
  <c r="BL20" i="20" s="1"/>
  <c r="BM20" i="20" s="1"/>
  <c r="BN20" i="20" s="1"/>
  <c r="BO20" i="20" s="1"/>
  <c r="BP20" i="20" s="1"/>
  <c r="BQ20" i="20" s="1"/>
  <c r="BR20" i="20" s="1"/>
  <c r="BS20" i="20" s="1"/>
  <c r="BT20" i="20" s="1"/>
  <c r="BU20" i="20" s="1"/>
  <c r="BV20" i="20" s="1"/>
  <c r="BW20" i="20" s="1"/>
  <c r="BX20" i="20" s="1"/>
  <c r="BY20" i="20" s="1"/>
  <c r="BZ20" i="20" s="1"/>
  <c r="CA20" i="20" s="1"/>
  <c r="AD20" i="20"/>
  <c r="AE19" i="20"/>
  <c r="AF19" i="20" s="1"/>
  <c r="AG19" i="20" s="1"/>
  <c r="AH19" i="20" s="1"/>
  <c r="AI19" i="20" s="1"/>
  <c r="AJ19" i="20" s="1"/>
  <c r="AK19" i="20" s="1"/>
  <c r="AL19" i="20" s="1"/>
  <c r="AM19" i="20" s="1"/>
  <c r="AN19" i="20" s="1"/>
  <c r="AO19" i="20" s="1"/>
  <c r="AP19" i="20" s="1"/>
  <c r="AQ19" i="20" s="1"/>
  <c r="AR19" i="20" s="1"/>
  <c r="AS19" i="20" s="1"/>
  <c r="AT19" i="20" s="1"/>
  <c r="AU19" i="20" s="1"/>
  <c r="AV19" i="20" s="1"/>
  <c r="AW19" i="20" s="1"/>
  <c r="AX19" i="20" s="1"/>
  <c r="AY19" i="20" s="1"/>
  <c r="AZ19" i="20" s="1"/>
  <c r="BA19" i="20" s="1"/>
  <c r="BB19" i="20" s="1"/>
  <c r="BC19" i="20" s="1"/>
  <c r="BD19" i="20" s="1"/>
  <c r="BE19" i="20" s="1"/>
  <c r="BF19" i="20" s="1"/>
  <c r="BG19" i="20" s="1"/>
  <c r="BH19" i="20" s="1"/>
  <c r="BI19" i="20" s="1"/>
  <c r="BJ19" i="20" s="1"/>
  <c r="BK19" i="20" s="1"/>
  <c r="BL19" i="20" s="1"/>
  <c r="BM19" i="20" s="1"/>
  <c r="BN19" i="20" s="1"/>
  <c r="BO19" i="20" s="1"/>
  <c r="BP19" i="20" s="1"/>
  <c r="BQ19" i="20" s="1"/>
  <c r="BR19" i="20" s="1"/>
  <c r="BS19" i="20" s="1"/>
  <c r="BT19" i="20" s="1"/>
  <c r="BU19" i="20" s="1"/>
  <c r="BV19" i="20" s="1"/>
  <c r="BW19" i="20" s="1"/>
  <c r="BX19" i="20" s="1"/>
  <c r="BY19" i="20" s="1"/>
  <c r="BZ19" i="20" s="1"/>
  <c r="CA19" i="20" s="1"/>
  <c r="AD19" i="20"/>
  <c r="AD18" i="20"/>
  <c r="AE18" i="20" s="1"/>
  <c r="AF18" i="20" s="1"/>
  <c r="AG18" i="20" s="1"/>
  <c r="AH18" i="20" s="1"/>
  <c r="AI18" i="20" s="1"/>
  <c r="AJ18" i="20" s="1"/>
  <c r="AK18" i="20" s="1"/>
  <c r="AL18" i="20" s="1"/>
  <c r="AM18" i="20" s="1"/>
  <c r="AN18" i="20" s="1"/>
  <c r="AO18" i="20" s="1"/>
  <c r="AP18" i="20" s="1"/>
  <c r="AQ18" i="20" s="1"/>
  <c r="AR18" i="20" s="1"/>
  <c r="AS18" i="20" s="1"/>
  <c r="AT18" i="20" s="1"/>
  <c r="AU18" i="20" s="1"/>
  <c r="AV18" i="20" s="1"/>
  <c r="AW18" i="20" s="1"/>
  <c r="AX18" i="20" s="1"/>
  <c r="AY18" i="20" s="1"/>
  <c r="AZ18" i="20" s="1"/>
  <c r="BA18" i="20" s="1"/>
  <c r="BB18" i="20" s="1"/>
  <c r="BC18" i="20" s="1"/>
  <c r="BD18" i="20" s="1"/>
  <c r="BE18" i="20" s="1"/>
  <c r="BF18" i="20" s="1"/>
  <c r="BG18" i="20" s="1"/>
  <c r="BH18" i="20" s="1"/>
  <c r="BI18" i="20" s="1"/>
  <c r="BJ18" i="20" s="1"/>
  <c r="BK18" i="20" s="1"/>
  <c r="BL18" i="20" s="1"/>
  <c r="BM18" i="20" s="1"/>
  <c r="BN18" i="20" s="1"/>
  <c r="BO18" i="20" s="1"/>
  <c r="BP18" i="20" s="1"/>
  <c r="BQ18" i="20" s="1"/>
  <c r="BR18" i="20" s="1"/>
  <c r="BS18" i="20" s="1"/>
  <c r="BT18" i="20" s="1"/>
  <c r="BU18" i="20" s="1"/>
  <c r="BV18" i="20" s="1"/>
  <c r="BW18" i="20" s="1"/>
  <c r="BX18" i="20" s="1"/>
  <c r="BY18" i="20" s="1"/>
  <c r="BZ18" i="20" s="1"/>
  <c r="CA18" i="20" s="1"/>
  <c r="AD17" i="20"/>
  <c r="AE17" i="20" s="1"/>
  <c r="AF17" i="20" s="1"/>
  <c r="AG17" i="20" s="1"/>
  <c r="AH17" i="20" s="1"/>
  <c r="AI17" i="20" s="1"/>
  <c r="AJ17" i="20" s="1"/>
  <c r="AK17" i="20" s="1"/>
  <c r="AL17" i="20" s="1"/>
  <c r="AM17" i="20" s="1"/>
  <c r="AN17" i="20" s="1"/>
  <c r="AO17" i="20" s="1"/>
  <c r="AP17" i="20" s="1"/>
  <c r="AQ17" i="20" s="1"/>
  <c r="AR17" i="20" s="1"/>
  <c r="AS17" i="20" s="1"/>
  <c r="AT17" i="20" s="1"/>
  <c r="AU17" i="20" s="1"/>
  <c r="AV17" i="20" s="1"/>
  <c r="AW17" i="20" s="1"/>
  <c r="AX17" i="20" s="1"/>
  <c r="AY17" i="20" s="1"/>
  <c r="AZ17" i="20" s="1"/>
  <c r="BA17" i="20" s="1"/>
  <c r="BB17" i="20" s="1"/>
  <c r="BC17" i="20" s="1"/>
  <c r="BD17" i="20" s="1"/>
  <c r="BE17" i="20" s="1"/>
  <c r="BF17" i="20" s="1"/>
  <c r="BG17" i="20" s="1"/>
  <c r="BH17" i="20" s="1"/>
  <c r="BI17" i="20" s="1"/>
  <c r="BJ17" i="20" s="1"/>
  <c r="BK17" i="20" s="1"/>
  <c r="BL17" i="20" s="1"/>
  <c r="BM17" i="20" s="1"/>
  <c r="BN17" i="20" s="1"/>
  <c r="BO17" i="20" s="1"/>
  <c r="BP17" i="20" s="1"/>
  <c r="BQ17" i="20" s="1"/>
  <c r="BR17" i="20" s="1"/>
  <c r="BS17" i="20" s="1"/>
  <c r="BT17" i="20" s="1"/>
  <c r="BU17" i="20" s="1"/>
  <c r="BV17" i="20" s="1"/>
  <c r="BW17" i="20" s="1"/>
  <c r="BX17" i="20" s="1"/>
  <c r="BY17" i="20" s="1"/>
  <c r="BZ17" i="20" s="1"/>
  <c r="CA17" i="20" s="1"/>
  <c r="AD16" i="20"/>
  <c r="AE16" i="20" s="1"/>
  <c r="AF16" i="20" s="1"/>
  <c r="AG16" i="20" s="1"/>
  <c r="AH16" i="20" s="1"/>
  <c r="AI16" i="20" s="1"/>
  <c r="AJ16" i="20" s="1"/>
  <c r="AK16" i="20" s="1"/>
  <c r="AL16" i="20" s="1"/>
  <c r="AM16" i="20" s="1"/>
  <c r="AN16" i="20" s="1"/>
  <c r="AO16" i="20" s="1"/>
  <c r="AP16" i="20" s="1"/>
  <c r="AQ16" i="20" s="1"/>
  <c r="AR16" i="20" s="1"/>
  <c r="AS16" i="20" s="1"/>
  <c r="AT16" i="20" s="1"/>
  <c r="AU16" i="20" s="1"/>
  <c r="AV16" i="20" s="1"/>
  <c r="AW16" i="20" s="1"/>
  <c r="AX16" i="20" s="1"/>
  <c r="AY16" i="20" s="1"/>
  <c r="AZ16" i="20" s="1"/>
  <c r="BA16" i="20" s="1"/>
  <c r="BB16" i="20" s="1"/>
  <c r="BC16" i="20" s="1"/>
  <c r="BD16" i="20" s="1"/>
  <c r="BE16" i="20" s="1"/>
  <c r="BF16" i="20" s="1"/>
  <c r="BG16" i="20" s="1"/>
  <c r="BH16" i="20" s="1"/>
  <c r="BI16" i="20" s="1"/>
  <c r="BJ16" i="20" s="1"/>
  <c r="BK16" i="20" s="1"/>
  <c r="BL16" i="20" s="1"/>
  <c r="BM16" i="20" s="1"/>
  <c r="BN16" i="20" s="1"/>
  <c r="BO16" i="20" s="1"/>
  <c r="BP16" i="20" s="1"/>
  <c r="BQ16" i="20" s="1"/>
  <c r="BR16" i="20" s="1"/>
  <c r="BS16" i="20" s="1"/>
  <c r="BT16" i="20" s="1"/>
  <c r="BU16" i="20" s="1"/>
  <c r="BV16" i="20" s="1"/>
  <c r="BW16" i="20" s="1"/>
  <c r="BX16" i="20" s="1"/>
  <c r="BY16" i="20" s="1"/>
  <c r="BZ16" i="20" s="1"/>
  <c r="CA16" i="20" s="1"/>
  <c r="AF15" i="20"/>
  <c r="AG15" i="20" s="1"/>
  <c r="AH15" i="20" s="1"/>
  <c r="AI15" i="20" s="1"/>
  <c r="AJ15" i="20" s="1"/>
  <c r="AK15" i="20" s="1"/>
  <c r="AL15" i="20" s="1"/>
  <c r="AM15" i="20" s="1"/>
  <c r="AN15" i="20" s="1"/>
  <c r="AO15" i="20" s="1"/>
  <c r="AP15" i="20" s="1"/>
  <c r="AQ15" i="20" s="1"/>
  <c r="AR15" i="20" s="1"/>
  <c r="AS15" i="20" s="1"/>
  <c r="AT15" i="20" s="1"/>
  <c r="AU15" i="20" s="1"/>
  <c r="AV15" i="20" s="1"/>
  <c r="AW15" i="20" s="1"/>
  <c r="AX15" i="20" s="1"/>
  <c r="AY15" i="20" s="1"/>
  <c r="AZ15" i="20" s="1"/>
  <c r="BA15" i="20" s="1"/>
  <c r="BB15" i="20" s="1"/>
  <c r="BC15" i="20" s="1"/>
  <c r="BD15" i="20" s="1"/>
  <c r="BE15" i="20" s="1"/>
  <c r="BF15" i="20" s="1"/>
  <c r="BG15" i="20" s="1"/>
  <c r="BH15" i="20" s="1"/>
  <c r="BI15" i="20" s="1"/>
  <c r="BJ15" i="20" s="1"/>
  <c r="BK15" i="20" s="1"/>
  <c r="BL15" i="20" s="1"/>
  <c r="BM15" i="20" s="1"/>
  <c r="BN15" i="20" s="1"/>
  <c r="BO15" i="20" s="1"/>
  <c r="BP15" i="20" s="1"/>
  <c r="BQ15" i="20" s="1"/>
  <c r="BR15" i="20" s="1"/>
  <c r="BS15" i="20" s="1"/>
  <c r="BT15" i="20" s="1"/>
  <c r="BU15" i="20" s="1"/>
  <c r="BV15" i="20" s="1"/>
  <c r="BW15" i="20" s="1"/>
  <c r="BX15" i="20" s="1"/>
  <c r="BY15" i="20" s="1"/>
  <c r="BZ15" i="20" s="1"/>
  <c r="CA15" i="20" s="1"/>
  <c r="AE15" i="20"/>
  <c r="AD15" i="20"/>
  <c r="AD14" i="20"/>
  <c r="AE14" i="20" s="1"/>
  <c r="AF14" i="20" s="1"/>
  <c r="AG14" i="20" s="1"/>
  <c r="AH14" i="20" s="1"/>
  <c r="AI14" i="20" s="1"/>
  <c r="AJ14" i="20" s="1"/>
  <c r="AK14" i="20" s="1"/>
  <c r="AL14" i="20" s="1"/>
  <c r="AM14" i="20" s="1"/>
  <c r="AN14" i="20" s="1"/>
  <c r="AO14" i="20" s="1"/>
  <c r="AP14" i="20" s="1"/>
  <c r="AQ14" i="20" s="1"/>
  <c r="AR14" i="20" s="1"/>
  <c r="AS14" i="20" s="1"/>
  <c r="AT14" i="20" s="1"/>
  <c r="AU14" i="20" s="1"/>
  <c r="AV14" i="20" s="1"/>
  <c r="AW14" i="20" s="1"/>
  <c r="AX14" i="20" s="1"/>
  <c r="AY14" i="20" s="1"/>
  <c r="AZ14" i="20" s="1"/>
  <c r="BA14" i="20" s="1"/>
  <c r="BB14" i="20" s="1"/>
  <c r="BC14" i="20" s="1"/>
  <c r="BD14" i="20" s="1"/>
  <c r="BE14" i="20" s="1"/>
  <c r="BF14" i="20" s="1"/>
  <c r="BG14" i="20" s="1"/>
  <c r="BH14" i="20" s="1"/>
  <c r="BI14" i="20" s="1"/>
  <c r="BJ14" i="20" s="1"/>
  <c r="BK14" i="20" s="1"/>
  <c r="BL14" i="20" s="1"/>
  <c r="BM14" i="20" s="1"/>
  <c r="BN14" i="20" s="1"/>
  <c r="BO14" i="20" s="1"/>
  <c r="BP14" i="20" s="1"/>
  <c r="BQ14" i="20" s="1"/>
  <c r="BR14" i="20" s="1"/>
  <c r="BS14" i="20" s="1"/>
  <c r="BT14" i="20" s="1"/>
  <c r="BU14" i="20" s="1"/>
  <c r="BV14" i="20" s="1"/>
  <c r="BW14" i="20" s="1"/>
  <c r="BX14" i="20" s="1"/>
  <c r="BY14" i="20" s="1"/>
  <c r="BZ14" i="20" s="1"/>
  <c r="CA14" i="20" s="1"/>
  <c r="AD13" i="20"/>
  <c r="AE13" i="20" s="1"/>
  <c r="AF13" i="20" s="1"/>
  <c r="AG13" i="20" s="1"/>
  <c r="AH13" i="20" s="1"/>
  <c r="AI13" i="20" s="1"/>
  <c r="AJ13" i="20" s="1"/>
  <c r="AK13" i="20" s="1"/>
  <c r="AL13" i="20" s="1"/>
  <c r="AM13" i="20" s="1"/>
  <c r="AN13" i="20" s="1"/>
  <c r="AO13" i="20" s="1"/>
  <c r="AP13" i="20" s="1"/>
  <c r="AQ13" i="20" s="1"/>
  <c r="AR13" i="20" s="1"/>
  <c r="AS13" i="20" s="1"/>
  <c r="AT13" i="20" s="1"/>
  <c r="AU13" i="20" s="1"/>
  <c r="AV13" i="20" s="1"/>
  <c r="AW13" i="20" s="1"/>
  <c r="AX13" i="20" s="1"/>
  <c r="AY13" i="20" s="1"/>
  <c r="AZ13" i="20" s="1"/>
  <c r="BA13" i="20" s="1"/>
  <c r="BB13" i="20" s="1"/>
  <c r="BC13" i="20" s="1"/>
  <c r="BD13" i="20" s="1"/>
  <c r="BE13" i="20" s="1"/>
  <c r="BF13" i="20" s="1"/>
  <c r="BG13" i="20" s="1"/>
  <c r="BH13" i="20" s="1"/>
  <c r="BI13" i="20" s="1"/>
  <c r="BJ13" i="20" s="1"/>
  <c r="BK13" i="20" s="1"/>
  <c r="BL13" i="20" s="1"/>
  <c r="BM13" i="20" s="1"/>
  <c r="BN13" i="20" s="1"/>
  <c r="BO13" i="20" s="1"/>
  <c r="BP13" i="20" s="1"/>
  <c r="BQ13" i="20" s="1"/>
  <c r="BR13" i="20" s="1"/>
  <c r="BS13" i="20" s="1"/>
  <c r="BT13" i="20" s="1"/>
  <c r="BU13" i="20" s="1"/>
  <c r="BV13" i="20" s="1"/>
  <c r="BW13" i="20" s="1"/>
  <c r="BX13" i="20" s="1"/>
  <c r="BY13" i="20" s="1"/>
  <c r="BZ13" i="20" s="1"/>
  <c r="CA13" i="20" s="1"/>
  <c r="AD12" i="20"/>
  <c r="AE12" i="20" s="1"/>
  <c r="AF12" i="20" s="1"/>
  <c r="AG12" i="20" s="1"/>
  <c r="AH12" i="20" s="1"/>
  <c r="AI12" i="20" s="1"/>
  <c r="AJ12" i="20" s="1"/>
  <c r="AK12" i="20" s="1"/>
  <c r="AL12" i="20" s="1"/>
  <c r="AM12" i="20" s="1"/>
  <c r="AN12" i="20" s="1"/>
  <c r="AO12" i="20" s="1"/>
  <c r="AP12" i="20" s="1"/>
  <c r="AQ12" i="20" s="1"/>
  <c r="AR12" i="20" s="1"/>
  <c r="AS12" i="20" s="1"/>
  <c r="AT12" i="20" s="1"/>
  <c r="AU12" i="20" s="1"/>
  <c r="AV12" i="20" s="1"/>
  <c r="AW12" i="20" s="1"/>
  <c r="AX12" i="20" s="1"/>
  <c r="AY12" i="20" s="1"/>
  <c r="AZ12" i="20" s="1"/>
  <c r="BA12" i="20" s="1"/>
  <c r="BB12" i="20" s="1"/>
  <c r="BC12" i="20" s="1"/>
  <c r="BD12" i="20" s="1"/>
  <c r="BE12" i="20" s="1"/>
  <c r="BF12" i="20" s="1"/>
  <c r="BG12" i="20" s="1"/>
  <c r="BH12" i="20" s="1"/>
  <c r="BI12" i="20" s="1"/>
  <c r="BJ12" i="20" s="1"/>
  <c r="BK12" i="20" s="1"/>
  <c r="BL12" i="20" s="1"/>
  <c r="BM12" i="20" s="1"/>
  <c r="BN12" i="20" s="1"/>
  <c r="BO12" i="20" s="1"/>
  <c r="BP12" i="20" s="1"/>
  <c r="BQ12" i="20" s="1"/>
  <c r="BR12" i="20" s="1"/>
  <c r="BS12" i="20" s="1"/>
  <c r="BT12" i="20" s="1"/>
  <c r="BU12" i="20" s="1"/>
  <c r="BV12" i="20" s="1"/>
  <c r="BW12" i="20" s="1"/>
  <c r="BX12" i="20" s="1"/>
  <c r="BY12" i="20" s="1"/>
  <c r="BZ12" i="20" s="1"/>
  <c r="CA12" i="20" s="1"/>
  <c r="AD11" i="20"/>
  <c r="AE11" i="20" s="1"/>
  <c r="AF11" i="20" s="1"/>
  <c r="AG11" i="20" s="1"/>
  <c r="AH11" i="20" s="1"/>
  <c r="AI11" i="20" s="1"/>
  <c r="AJ11" i="20" s="1"/>
  <c r="AK11" i="20" s="1"/>
  <c r="AL11" i="20" s="1"/>
  <c r="AM11" i="20" s="1"/>
  <c r="AN11" i="20" s="1"/>
  <c r="AO11" i="20" s="1"/>
  <c r="AP11" i="20" s="1"/>
  <c r="AQ11" i="20" s="1"/>
  <c r="AR11" i="20" s="1"/>
  <c r="AS11" i="20" s="1"/>
  <c r="AT11" i="20" s="1"/>
  <c r="AU11" i="20" s="1"/>
  <c r="AV11" i="20" s="1"/>
  <c r="AW11" i="20" s="1"/>
  <c r="AX11" i="20" s="1"/>
  <c r="AY11" i="20" s="1"/>
  <c r="AZ11" i="20" s="1"/>
  <c r="BA11" i="20" s="1"/>
  <c r="BB11" i="20" s="1"/>
  <c r="BC11" i="20" s="1"/>
  <c r="BD11" i="20" s="1"/>
  <c r="BE11" i="20" s="1"/>
  <c r="BF11" i="20" s="1"/>
  <c r="BG11" i="20" s="1"/>
  <c r="BH11" i="20" s="1"/>
  <c r="BI11" i="20" s="1"/>
  <c r="BJ11" i="20" s="1"/>
  <c r="BK11" i="20" s="1"/>
  <c r="BL11" i="20" s="1"/>
  <c r="BM11" i="20" s="1"/>
  <c r="BN11" i="20" s="1"/>
  <c r="BO11" i="20" s="1"/>
  <c r="BP11" i="20" s="1"/>
  <c r="BQ11" i="20" s="1"/>
  <c r="BR11" i="20" s="1"/>
  <c r="BS11" i="20" s="1"/>
  <c r="BT11" i="20" s="1"/>
  <c r="BU11" i="20" s="1"/>
  <c r="BV11" i="20" s="1"/>
  <c r="BW11" i="20" s="1"/>
  <c r="BX11" i="20" s="1"/>
  <c r="BY11" i="20" s="1"/>
  <c r="BZ11" i="20" s="1"/>
  <c r="CA11" i="20" s="1"/>
  <c r="AD10" i="20"/>
  <c r="AE10" i="20" s="1"/>
  <c r="AF10" i="20" s="1"/>
  <c r="AG10" i="20" s="1"/>
  <c r="AH10" i="20" s="1"/>
  <c r="AI10" i="20" s="1"/>
  <c r="AJ10" i="20" s="1"/>
  <c r="AK10" i="20" s="1"/>
  <c r="AL10" i="20" s="1"/>
  <c r="AM10" i="20" s="1"/>
  <c r="AN10" i="20" s="1"/>
  <c r="AO10" i="20" s="1"/>
  <c r="AP10" i="20" s="1"/>
  <c r="AQ10" i="20" s="1"/>
  <c r="AR10" i="20" s="1"/>
  <c r="AS10" i="20" s="1"/>
  <c r="AT10" i="20" s="1"/>
  <c r="AU10" i="20" s="1"/>
  <c r="AV10" i="20" s="1"/>
  <c r="AW10" i="20" s="1"/>
  <c r="AX10" i="20" s="1"/>
  <c r="AY10" i="20" s="1"/>
  <c r="AZ10" i="20" s="1"/>
  <c r="BA10" i="20" s="1"/>
  <c r="BB10" i="20" s="1"/>
  <c r="BC10" i="20" s="1"/>
  <c r="BD10" i="20" s="1"/>
  <c r="BE10" i="20" s="1"/>
  <c r="BF10" i="20" s="1"/>
  <c r="BG10" i="20" s="1"/>
  <c r="BH10" i="20" s="1"/>
  <c r="BI10" i="20" s="1"/>
  <c r="BJ10" i="20" s="1"/>
  <c r="BK10" i="20" s="1"/>
  <c r="BL10" i="20" s="1"/>
  <c r="BM10" i="20" s="1"/>
  <c r="BN10" i="20" s="1"/>
  <c r="BO10" i="20" s="1"/>
  <c r="BP10" i="20" s="1"/>
  <c r="BQ10" i="20" s="1"/>
  <c r="BR10" i="20" s="1"/>
  <c r="BS10" i="20" s="1"/>
  <c r="BT10" i="20" s="1"/>
  <c r="BU10" i="20" s="1"/>
  <c r="BV10" i="20" s="1"/>
  <c r="BW10" i="20" s="1"/>
  <c r="BX10" i="20" s="1"/>
  <c r="BY10" i="20" s="1"/>
  <c r="BZ10" i="20" s="1"/>
  <c r="CA10" i="20" s="1"/>
  <c r="AE9" i="20"/>
  <c r="AF9" i="20" s="1"/>
  <c r="AG9" i="20" s="1"/>
  <c r="AH9" i="20" s="1"/>
  <c r="AI9" i="20" s="1"/>
  <c r="AJ9" i="20" s="1"/>
  <c r="AK9" i="20" s="1"/>
  <c r="AL9" i="20" s="1"/>
  <c r="AM9" i="20" s="1"/>
  <c r="AN9" i="20" s="1"/>
  <c r="AO9" i="20" s="1"/>
  <c r="AP9" i="20" s="1"/>
  <c r="AQ9" i="20" s="1"/>
  <c r="AR9" i="20" s="1"/>
  <c r="AS9" i="20" s="1"/>
  <c r="AT9" i="20" s="1"/>
  <c r="AU9" i="20" s="1"/>
  <c r="AV9" i="20" s="1"/>
  <c r="AW9" i="20" s="1"/>
  <c r="AX9" i="20" s="1"/>
  <c r="AY9" i="20" s="1"/>
  <c r="AZ9" i="20" s="1"/>
  <c r="BA9" i="20" s="1"/>
  <c r="BB9" i="20" s="1"/>
  <c r="BC9" i="20" s="1"/>
  <c r="BD9" i="20" s="1"/>
  <c r="BE9" i="20" s="1"/>
  <c r="BF9" i="20" s="1"/>
  <c r="BG9" i="20" s="1"/>
  <c r="BH9" i="20" s="1"/>
  <c r="BI9" i="20" s="1"/>
  <c r="BJ9" i="20" s="1"/>
  <c r="BK9" i="20" s="1"/>
  <c r="BL9" i="20" s="1"/>
  <c r="BM9" i="20" s="1"/>
  <c r="BN9" i="20" s="1"/>
  <c r="BO9" i="20" s="1"/>
  <c r="BP9" i="20" s="1"/>
  <c r="BQ9" i="20" s="1"/>
  <c r="BR9" i="20" s="1"/>
  <c r="BS9" i="20" s="1"/>
  <c r="BT9" i="20" s="1"/>
  <c r="BU9" i="20" s="1"/>
  <c r="BV9" i="20" s="1"/>
  <c r="BW9" i="20" s="1"/>
  <c r="BX9" i="20" s="1"/>
  <c r="BY9" i="20" s="1"/>
  <c r="BZ9" i="20" s="1"/>
  <c r="CA9" i="20" s="1"/>
  <c r="AD9" i="20"/>
  <c r="AD8" i="20"/>
  <c r="AE8" i="20" s="1"/>
  <c r="AF8" i="20" s="1"/>
  <c r="AG8" i="20" s="1"/>
  <c r="AH8" i="20" s="1"/>
  <c r="AI8" i="20" s="1"/>
  <c r="AJ8" i="20" s="1"/>
  <c r="AK8" i="20" s="1"/>
  <c r="AL8" i="20" s="1"/>
  <c r="AM8" i="20" s="1"/>
  <c r="AN8" i="20" s="1"/>
  <c r="AO8" i="20" s="1"/>
  <c r="AP8" i="20" s="1"/>
  <c r="AQ8" i="20" s="1"/>
  <c r="AR8" i="20" s="1"/>
  <c r="AS8" i="20" s="1"/>
  <c r="AT8" i="20" s="1"/>
  <c r="AU8" i="20" s="1"/>
  <c r="AV8" i="20" s="1"/>
  <c r="AW8" i="20" s="1"/>
  <c r="AX8" i="20" s="1"/>
  <c r="AY8" i="20" s="1"/>
  <c r="AZ8" i="20" s="1"/>
  <c r="BA8" i="20" s="1"/>
  <c r="BB8" i="20" s="1"/>
  <c r="BC8" i="20" s="1"/>
  <c r="BD8" i="20" s="1"/>
  <c r="BE8" i="20" s="1"/>
  <c r="BF8" i="20" s="1"/>
  <c r="BG8" i="20" s="1"/>
  <c r="BH8" i="20" s="1"/>
  <c r="BI8" i="20" s="1"/>
  <c r="BJ8" i="20" s="1"/>
  <c r="BK8" i="20" s="1"/>
  <c r="BL8" i="20" s="1"/>
  <c r="BM8" i="20" s="1"/>
  <c r="BN8" i="20" s="1"/>
  <c r="BO8" i="20" s="1"/>
  <c r="BP8" i="20" s="1"/>
  <c r="BQ8" i="20" s="1"/>
  <c r="BR8" i="20" s="1"/>
  <c r="BS8" i="20" s="1"/>
  <c r="BT8" i="20" s="1"/>
  <c r="BU8" i="20" s="1"/>
  <c r="BV8" i="20" s="1"/>
  <c r="BW8" i="20" s="1"/>
  <c r="BX8" i="20" s="1"/>
  <c r="BY8" i="20" s="1"/>
  <c r="BZ8" i="20" s="1"/>
  <c r="CA8" i="20" s="1"/>
  <c r="AD7" i="20"/>
  <c r="AE7" i="20" s="1"/>
  <c r="AF7" i="20" s="1"/>
  <c r="AG7" i="20" s="1"/>
  <c r="AH7" i="20" s="1"/>
  <c r="AI7" i="20" s="1"/>
  <c r="AJ7" i="20" s="1"/>
  <c r="AK7" i="20" s="1"/>
  <c r="AL7" i="20" s="1"/>
  <c r="AM7" i="20" s="1"/>
  <c r="AN7" i="20" s="1"/>
  <c r="AO7" i="20" s="1"/>
  <c r="AP7" i="20" s="1"/>
  <c r="AQ7" i="20" s="1"/>
  <c r="AR7" i="20" s="1"/>
  <c r="AS7" i="20" s="1"/>
  <c r="AT7" i="20" s="1"/>
  <c r="AU7" i="20" s="1"/>
  <c r="AV7" i="20" s="1"/>
  <c r="AW7" i="20" s="1"/>
  <c r="AX7" i="20" s="1"/>
  <c r="AY7" i="20" s="1"/>
  <c r="AZ7" i="20" s="1"/>
  <c r="BA7" i="20" s="1"/>
  <c r="BB7" i="20" s="1"/>
  <c r="BC7" i="20" s="1"/>
  <c r="BD7" i="20" s="1"/>
  <c r="BE7" i="20" s="1"/>
  <c r="BF7" i="20" s="1"/>
  <c r="BG7" i="20" s="1"/>
  <c r="BH7" i="20" s="1"/>
  <c r="BI7" i="20" s="1"/>
  <c r="BJ7" i="20" s="1"/>
  <c r="BK7" i="20" s="1"/>
  <c r="BL7" i="20" s="1"/>
  <c r="BM7" i="20" s="1"/>
  <c r="BN7" i="20" s="1"/>
  <c r="BO7" i="20" s="1"/>
  <c r="BP7" i="20" s="1"/>
  <c r="BQ7" i="20" s="1"/>
  <c r="BR7" i="20" s="1"/>
  <c r="BS7" i="20" s="1"/>
  <c r="BT7" i="20" s="1"/>
  <c r="BU7" i="20" s="1"/>
  <c r="BV7" i="20" s="1"/>
  <c r="BW7" i="20" s="1"/>
  <c r="BX7" i="20" s="1"/>
  <c r="BY7" i="20" s="1"/>
  <c r="BZ7" i="20" s="1"/>
  <c r="CA7" i="20" s="1"/>
  <c r="AE6" i="20"/>
  <c r="AF6" i="20" s="1"/>
  <c r="AG6" i="20" s="1"/>
  <c r="AH6" i="20" s="1"/>
  <c r="AI6" i="20" s="1"/>
  <c r="AJ6" i="20" s="1"/>
  <c r="AK6" i="20" s="1"/>
  <c r="AL6" i="20" s="1"/>
  <c r="AM6" i="20" s="1"/>
  <c r="AN6" i="20" s="1"/>
  <c r="AO6" i="20" s="1"/>
  <c r="AP6" i="20" s="1"/>
  <c r="AQ6" i="20" s="1"/>
  <c r="AR6" i="20" s="1"/>
  <c r="AS6" i="20" s="1"/>
  <c r="AT6" i="20" s="1"/>
  <c r="AU6" i="20" s="1"/>
  <c r="AV6" i="20" s="1"/>
  <c r="AW6" i="20" s="1"/>
  <c r="AX6" i="20" s="1"/>
  <c r="AY6" i="20" s="1"/>
  <c r="AZ6" i="20" s="1"/>
  <c r="BA6" i="20" s="1"/>
  <c r="BB6" i="20" s="1"/>
  <c r="BC6" i="20" s="1"/>
  <c r="BD6" i="20" s="1"/>
  <c r="BE6" i="20" s="1"/>
  <c r="BF6" i="20" s="1"/>
  <c r="BG6" i="20" s="1"/>
  <c r="BH6" i="20" s="1"/>
  <c r="BI6" i="20" s="1"/>
  <c r="BJ6" i="20" s="1"/>
  <c r="BK6" i="20" s="1"/>
  <c r="BL6" i="20" s="1"/>
  <c r="BM6" i="20" s="1"/>
  <c r="BN6" i="20" s="1"/>
  <c r="BO6" i="20" s="1"/>
  <c r="BP6" i="20" s="1"/>
  <c r="BQ6" i="20" s="1"/>
  <c r="BR6" i="20" s="1"/>
  <c r="BS6" i="20" s="1"/>
  <c r="BT6" i="20" s="1"/>
  <c r="BU6" i="20" s="1"/>
  <c r="BV6" i="20" s="1"/>
  <c r="BW6" i="20" s="1"/>
  <c r="BX6" i="20" s="1"/>
  <c r="BY6" i="20" s="1"/>
  <c r="BZ6" i="20" s="1"/>
  <c r="CA6" i="20" s="1"/>
  <c r="AD6" i="20"/>
  <c r="AE5" i="20"/>
  <c r="AF5" i="20" s="1"/>
  <c r="AG5" i="20" s="1"/>
  <c r="AH5" i="20" s="1"/>
  <c r="AI5" i="20" s="1"/>
  <c r="AJ5" i="20" s="1"/>
  <c r="AK5" i="20" s="1"/>
  <c r="AL5" i="20" s="1"/>
  <c r="AM5" i="20" s="1"/>
  <c r="AN5" i="20" s="1"/>
  <c r="AO5" i="20" s="1"/>
  <c r="AP5" i="20" s="1"/>
  <c r="AQ5" i="20" s="1"/>
  <c r="AR5" i="20" s="1"/>
  <c r="AS5" i="20" s="1"/>
  <c r="AT5" i="20" s="1"/>
  <c r="AU5" i="20" s="1"/>
  <c r="AV5" i="20" s="1"/>
  <c r="AW5" i="20" s="1"/>
  <c r="AX5" i="20" s="1"/>
  <c r="AY5" i="20" s="1"/>
  <c r="AZ5" i="20" s="1"/>
  <c r="BA5" i="20" s="1"/>
  <c r="BB5" i="20" s="1"/>
  <c r="BC5" i="20" s="1"/>
  <c r="BD5" i="20" s="1"/>
  <c r="BE5" i="20" s="1"/>
  <c r="BF5" i="20" s="1"/>
  <c r="BG5" i="20" s="1"/>
  <c r="BH5" i="20" s="1"/>
  <c r="BI5" i="20" s="1"/>
  <c r="BJ5" i="20" s="1"/>
  <c r="BK5" i="20" s="1"/>
  <c r="BL5" i="20" s="1"/>
  <c r="BM5" i="20" s="1"/>
  <c r="BN5" i="20" s="1"/>
  <c r="BO5" i="20" s="1"/>
  <c r="BP5" i="20" s="1"/>
  <c r="BQ5" i="20" s="1"/>
  <c r="BR5" i="20" s="1"/>
  <c r="BS5" i="20" s="1"/>
  <c r="BT5" i="20" s="1"/>
  <c r="BU5" i="20" s="1"/>
  <c r="BV5" i="20" s="1"/>
  <c r="BW5" i="20" s="1"/>
  <c r="BX5" i="20" s="1"/>
  <c r="BY5" i="20" s="1"/>
  <c r="BZ5" i="20" s="1"/>
  <c r="CA5" i="20" s="1"/>
  <c r="AD5" i="20"/>
  <c r="AD4" i="20"/>
  <c r="AE4" i="20" s="1"/>
  <c r="AF4" i="20" s="1"/>
  <c r="AG4" i="20" s="1"/>
  <c r="AH4" i="20" s="1"/>
  <c r="AI4" i="20" s="1"/>
  <c r="AJ4" i="20" s="1"/>
  <c r="AK4" i="20" s="1"/>
  <c r="AL4" i="20" s="1"/>
  <c r="AM4" i="20" s="1"/>
  <c r="AN4" i="20" s="1"/>
  <c r="AO4" i="20" s="1"/>
  <c r="AP4" i="20" s="1"/>
  <c r="AQ4" i="20" s="1"/>
  <c r="AR4" i="20" s="1"/>
  <c r="AS4" i="20" s="1"/>
  <c r="AT4" i="20" s="1"/>
  <c r="AU4" i="20" s="1"/>
  <c r="AV4" i="20" s="1"/>
  <c r="AW4" i="20" s="1"/>
  <c r="AX4" i="20" s="1"/>
  <c r="AY4" i="20" s="1"/>
  <c r="AZ4" i="20" s="1"/>
  <c r="BA4" i="20" s="1"/>
  <c r="BB4" i="20" s="1"/>
  <c r="BC4" i="20" s="1"/>
  <c r="BD4" i="20" s="1"/>
  <c r="BE4" i="20" s="1"/>
  <c r="BF4" i="20" s="1"/>
  <c r="BG4" i="20" s="1"/>
  <c r="BH4" i="20" s="1"/>
  <c r="BI4" i="20" s="1"/>
  <c r="BJ4" i="20" s="1"/>
  <c r="BK4" i="20" s="1"/>
  <c r="BL4" i="20" s="1"/>
  <c r="BM4" i="20" s="1"/>
  <c r="BN4" i="20" s="1"/>
  <c r="BO4" i="20" s="1"/>
  <c r="BP4" i="20" s="1"/>
  <c r="BQ4" i="20" s="1"/>
  <c r="BR4" i="20" s="1"/>
  <c r="BS4" i="20" s="1"/>
  <c r="BT4" i="20" s="1"/>
  <c r="BU4" i="20" s="1"/>
  <c r="BV4" i="20" s="1"/>
  <c r="BW4" i="20" s="1"/>
  <c r="BX4" i="20" s="1"/>
  <c r="BY4" i="20" s="1"/>
  <c r="BZ4" i="20" s="1"/>
  <c r="CA4" i="20" s="1"/>
  <c r="AD3" i="20"/>
  <c r="AE3" i="20" s="1"/>
  <c r="AF3" i="20" s="1"/>
  <c r="AG3" i="20" s="1"/>
  <c r="AH3" i="20" s="1"/>
  <c r="AI3" i="20" s="1"/>
  <c r="AJ3" i="20" s="1"/>
  <c r="AK3" i="20" s="1"/>
  <c r="AL3" i="20" s="1"/>
  <c r="AM3" i="20" s="1"/>
  <c r="AN3" i="20" s="1"/>
  <c r="AO3" i="20" s="1"/>
  <c r="AP3" i="20" s="1"/>
  <c r="AQ3" i="20" s="1"/>
  <c r="AR3" i="20" s="1"/>
  <c r="AS3" i="20" s="1"/>
  <c r="AT3" i="20" s="1"/>
  <c r="AU3" i="20" s="1"/>
  <c r="AV3" i="20" s="1"/>
  <c r="AW3" i="20" s="1"/>
  <c r="AX3" i="20" s="1"/>
  <c r="AY3" i="20" s="1"/>
  <c r="AZ3" i="20" s="1"/>
  <c r="BA3" i="20" s="1"/>
  <c r="BB3" i="20" s="1"/>
  <c r="BC3" i="20" s="1"/>
  <c r="BD3" i="20" s="1"/>
  <c r="BE3" i="20" s="1"/>
  <c r="BF3" i="20" s="1"/>
  <c r="BG3" i="20" s="1"/>
  <c r="BH3" i="20" s="1"/>
  <c r="BI3" i="20" s="1"/>
  <c r="BJ3" i="20" s="1"/>
  <c r="BK3" i="20" s="1"/>
  <c r="BL3" i="20" s="1"/>
  <c r="BM3" i="20" s="1"/>
  <c r="BN3" i="20" s="1"/>
  <c r="BO3" i="20" s="1"/>
  <c r="BP3" i="20" s="1"/>
  <c r="BQ3" i="20" s="1"/>
  <c r="BR3" i="20" s="1"/>
  <c r="BS3" i="20" s="1"/>
  <c r="BT3" i="20" s="1"/>
  <c r="BU3" i="20" s="1"/>
  <c r="BV3" i="20" s="1"/>
  <c r="BW3" i="20" s="1"/>
  <c r="BX3" i="20" s="1"/>
  <c r="BY3" i="20" s="1"/>
  <c r="BZ3" i="20" s="1"/>
  <c r="CA3" i="20" s="1"/>
  <c r="AF2" i="20"/>
  <c r="AG2" i="20" s="1"/>
  <c r="AH2" i="20" s="1"/>
  <c r="AI2" i="20" s="1"/>
  <c r="AJ2" i="20" s="1"/>
  <c r="AK2" i="20" s="1"/>
  <c r="AL2" i="20" s="1"/>
  <c r="AM2" i="20" s="1"/>
  <c r="AN2" i="20" s="1"/>
  <c r="AO2" i="20" s="1"/>
  <c r="AP2" i="20" s="1"/>
  <c r="AQ2" i="20" s="1"/>
  <c r="AR2" i="20" s="1"/>
  <c r="AS2" i="20" s="1"/>
  <c r="AT2" i="20" s="1"/>
  <c r="AU2" i="20" s="1"/>
  <c r="AV2" i="20" s="1"/>
  <c r="AW2" i="20" s="1"/>
  <c r="AX2" i="20" s="1"/>
  <c r="AY2" i="20" s="1"/>
  <c r="AZ2" i="20" s="1"/>
  <c r="BA2" i="20" s="1"/>
  <c r="BB2" i="20" s="1"/>
  <c r="BC2" i="20" s="1"/>
  <c r="BD2" i="20" s="1"/>
  <c r="BE2" i="20" s="1"/>
  <c r="BF2" i="20" s="1"/>
  <c r="BG2" i="20" s="1"/>
  <c r="BH2" i="20" s="1"/>
  <c r="BI2" i="20" s="1"/>
  <c r="BJ2" i="20" s="1"/>
  <c r="BK2" i="20" s="1"/>
  <c r="BL2" i="20" s="1"/>
  <c r="BM2" i="20" s="1"/>
  <c r="BN2" i="20" s="1"/>
  <c r="BO2" i="20" s="1"/>
  <c r="BP2" i="20" s="1"/>
  <c r="BQ2" i="20" s="1"/>
  <c r="BR2" i="20" s="1"/>
  <c r="BS2" i="20" s="1"/>
  <c r="BT2" i="20" s="1"/>
  <c r="BU2" i="20" s="1"/>
  <c r="BV2" i="20" s="1"/>
  <c r="BW2" i="20" s="1"/>
  <c r="BX2" i="20" s="1"/>
  <c r="BY2" i="20" s="1"/>
  <c r="BZ2" i="20" s="1"/>
  <c r="CA2" i="20" s="1"/>
  <c r="AE2" i="20"/>
  <c r="AD2" i="20"/>
  <c r="AC26" i="20"/>
  <c r="AB26" i="20"/>
  <c r="AA26" i="20"/>
  <c r="Z26" i="20"/>
  <c r="Y26" i="20"/>
  <c r="X26" i="20"/>
  <c r="W26" i="20"/>
  <c r="V26" i="20"/>
  <c r="U26" i="20"/>
  <c r="T26" i="20"/>
  <c r="S26" i="20"/>
  <c r="R26" i="20"/>
  <c r="Q26" i="20"/>
  <c r="P26" i="20"/>
  <c r="O26" i="20"/>
  <c r="N26" i="20"/>
  <c r="M26" i="20"/>
  <c r="L26" i="20"/>
  <c r="K26" i="20"/>
  <c r="J26" i="20"/>
  <c r="I26" i="20"/>
  <c r="H26" i="20"/>
  <c r="G26" i="20"/>
  <c r="F26" i="20"/>
  <c r="E26" i="20"/>
  <c r="D26" i="20"/>
  <c r="C26" i="20"/>
  <c r="AC25" i="20"/>
  <c r="AB25" i="20"/>
  <c r="AA25" i="20"/>
  <c r="Z25" i="20"/>
  <c r="Y25" i="20"/>
  <c r="X25" i="20"/>
  <c r="W25" i="20"/>
  <c r="V25" i="20"/>
  <c r="U25" i="20"/>
  <c r="T25" i="20"/>
  <c r="S25" i="20"/>
  <c r="R25" i="20"/>
  <c r="Q25" i="20"/>
  <c r="P25" i="20"/>
  <c r="O25" i="20"/>
  <c r="N25" i="20"/>
  <c r="M25" i="20"/>
  <c r="L25" i="20"/>
  <c r="K25" i="20"/>
  <c r="J25" i="20"/>
  <c r="I25" i="20"/>
  <c r="H25" i="20"/>
  <c r="G25" i="20"/>
  <c r="F25" i="20"/>
  <c r="E25" i="20"/>
  <c r="D25" i="20"/>
  <c r="C25" i="20"/>
  <c r="AC24" i="20"/>
  <c r="AB24" i="20"/>
  <c r="AA24" i="20"/>
  <c r="Z24" i="20"/>
  <c r="Y24" i="20"/>
  <c r="X24" i="20"/>
  <c r="W24" i="20"/>
  <c r="V24" i="20"/>
  <c r="U24" i="20"/>
  <c r="T24" i="20"/>
  <c r="S24" i="20"/>
  <c r="R24" i="20"/>
  <c r="Q24" i="20"/>
  <c r="P24" i="20"/>
  <c r="O24" i="20"/>
  <c r="N24" i="20"/>
  <c r="M24" i="20"/>
  <c r="L24" i="20"/>
  <c r="K24" i="20"/>
  <c r="J24" i="20"/>
  <c r="I24" i="20"/>
  <c r="H24" i="20"/>
  <c r="G24" i="20"/>
  <c r="F24" i="20"/>
  <c r="E24" i="20"/>
  <c r="D24" i="20"/>
  <c r="C24" i="20"/>
  <c r="AC23" i="20"/>
  <c r="AB23" i="20"/>
  <c r="AA23" i="20"/>
  <c r="Z23" i="20"/>
  <c r="Y23" i="20"/>
  <c r="X23" i="20"/>
  <c r="W23" i="20"/>
  <c r="V23" i="20"/>
  <c r="U23" i="20"/>
  <c r="T23" i="20"/>
  <c r="S23" i="20"/>
  <c r="R23" i="20"/>
  <c r="Q23" i="20"/>
  <c r="P23" i="20"/>
  <c r="O23" i="20"/>
  <c r="N23" i="20"/>
  <c r="M23" i="20"/>
  <c r="L23" i="20"/>
  <c r="K23" i="20"/>
  <c r="J23" i="20"/>
  <c r="I23" i="20"/>
  <c r="H23" i="20"/>
  <c r="G23" i="20"/>
  <c r="F23" i="20"/>
  <c r="E23" i="20"/>
  <c r="D23" i="20"/>
  <c r="C23" i="20"/>
  <c r="AC22" i="20"/>
  <c r="AB22" i="20"/>
  <c r="AA22" i="20"/>
  <c r="Z22" i="20"/>
  <c r="Y22" i="20"/>
  <c r="X22" i="20"/>
  <c r="W22" i="20"/>
  <c r="V22" i="20"/>
  <c r="U22" i="20"/>
  <c r="T22" i="20"/>
  <c r="S22" i="20"/>
  <c r="R22" i="20"/>
  <c r="Q22" i="20"/>
  <c r="P22" i="20"/>
  <c r="O22" i="20"/>
  <c r="N22" i="20"/>
  <c r="M22" i="20"/>
  <c r="L22" i="20"/>
  <c r="K22" i="20"/>
  <c r="J22" i="20"/>
  <c r="I22" i="20"/>
  <c r="H22" i="20"/>
  <c r="G22" i="20"/>
  <c r="F22" i="20"/>
  <c r="E22" i="20"/>
  <c r="D22" i="20"/>
  <c r="C22" i="20"/>
  <c r="AC21" i="20"/>
  <c r="AB21" i="20"/>
  <c r="AA21" i="20"/>
  <c r="Z21" i="20"/>
  <c r="Y21" i="20"/>
  <c r="X21" i="20"/>
  <c r="W21" i="20"/>
  <c r="V21" i="20"/>
  <c r="U21" i="20"/>
  <c r="T21" i="20"/>
  <c r="S21" i="20"/>
  <c r="R21" i="20"/>
  <c r="Q21" i="20"/>
  <c r="P21" i="20"/>
  <c r="O21" i="20"/>
  <c r="N21" i="20"/>
  <c r="M21" i="20"/>
  <c r="L21" i="20"/>
  <c r="K21" i="20"/>
  <c r="J21" i="20"/>
  <c r="I21" i="20"/>
  <c r="H21" i="20"/>
  <c r="G21" i="20"/>
  <c r="F21" i="20"/>
  <c r="E21" i="20"/>
  <c r="D21" i="20"/>
  <c r="C21" i="20"/>
  <c r="AC20" i="20"/>
  <c r="AB20" i="20"/>
  <c r="AA20" i="20"/>
  <c r="Z20" i="20"/>
  <c r="Y20" i="20"/>
  <c r="X20" i="20"/>
  <c r="W20" i="20"/>
  <c r="V20" i="20"/>
  <c r="U20" i="20"/>
  <c r="T20" i="20"/>
  <c r="S20" i="20"/>
  <c r="R20" i="20"/>
  <c r="Q20" i="20"/>
  <c r="P20" i="20"/>
  <c r="O20" i="20"/>
  <c r="N20" i="20"/>
  <c r="M20" i="20"/>
  <c r="L20" i="20"/>
  <c r="K20" i="20"/>
  <c r="J20" i="20"/>
  <c r="I20" i="20"/>
  <c r="H20" i="20"/>
  <c r="G20" i="20"/>
  <c r="F20" i="20"/>
  <c r="E20" i="20"/>
  <c r="D20" i="20"/>
  <c r="C20" i="20"/>
  <c r="AC19" i="20"/>
  <c r="AB19" i="20"/>
  <c r="AA19" i="20"/>
  <c r="Z19" i="20"/>
  <c r="Y19" i="20"/>
  <c r="X19" i="20"/>
  <c r="W19" i="20"/>
  <c r="V19" i="20"/>
  <c r="U19" i="20"/>
  <c r="T19" i="20"/>
  <c r="S19" i="20"/>
  <c r="R19" i="20"/>
  <c r="Q19" i="20"/>
  <c r="P19" i="20"/>
  <c r="O19" i="20"/>
  <c r="N19" i="20"/>
  <c r="M19" i="20"/>
  <c r="L19" i="20"/>
  <c r="K19" i="20"/>
  <c r="J19" i="20"/>
  <c r="I19" i="20"/>
  <c r="H19" i="20"/>
  <c r="G19" i="20"/>
  <c r="F19" i="20"/>
  <c r="E19" i="20"/>
  <c r="D19" i="20"/>
  <c r="C19" i="20"/>
  <c r="AC18" i="20"/>
  <c r="AB18" i="20"/>
  <c r="AA18" i="20"/>
  <c r="Z18" i="20"/>
  <c r="Y18" i="20"/>
  <c r="X18" i="20"/>
  <c r="W18" i="20"/>
  <c r="V18" i="20"/>
  <c r="U18" i="20"/>
  <c r="T18" i="20"/>
  <c r="S18" i="20"/>
  <c r="R18" i="20"/>
  <c r="Q18" i="20"/>
  <c r="P18" i="20"/>
  <c r="O18" i="20"/>
  <c r="N18" i="20"/>
  <c r="M18" i="20"/>
  <c r="L18" i="20"/>
  <c r="K18" i="20"/>
  <c r="J18" i="20"/>
  <c r="I18" i="20"/>
  <c r="H18" i="20"/>
  <c r="G18" i="20"/>
  <c r="F18" i="20"/>
  <c r="E18" i="20"/>
  <c r="D18" i="20"/>
  <c r="C18" i="20"/>
  <c r="AC17" i="20"/>
  <c r="AB17" i="20"/>
  <c r="AA17" i="20"/>
  <c r="Z17" i="20"/>
  <c r="Y17" i="20"/>
  <c r="X17" i="20"/>
  <c r="W17" i="20"/>
  <c r="V17" i="20"/>
  <c r="U17" i="20"/>
  <c r="T17" i="20"/>
  <c r="S17" i="20"/>
  <c r="R17" i="20"/>
  <c r="Q17" i="20"/>
  <c r="P17" i="20"/>
  <c r="O17" i="20"/>
  <c r="N17" i="20"/>
  <c r="M17" i="20"/>
  <c r="L17" i="20"/>
  <c r="K17" i="20"/>
  <c r="J17" i="20"/>
  <c r="I17" i="20"/>
  <c r="H17" i="20"/>
  <c r="G17" i="20"/>
  <c r="F17" i="20"/>
  <c r="E17" i="20"/>
  <c r="D17" i="20"/>
  <c r="C17" i="20"/>
  <c r="AC16" i="20"/>
  <c r="AB16" i="20"/>
  <c r="AA16" i="20"/>
  <c r="Z16" i="20"/>
  <c r="Y16" i="20"/>
  <c r="X16" i="20"/>
  <c r="W16" i="20"/>
  <c r="V16" i="20"/>
  <c r="U16" i="20"/>
  <c r="T16" i="20"/>
  <c r="S16" i="20"/>
  <c r="R16" i="20"/>
  <c r="Q16" i="20"/>
  <c r="P16" i="20"/>
  <c r="O16" i="20"/>
  <c r="N16" i="20"/>
  <c r="M16" i="20"/>
  <c r="L16" i="20"/>
  <c r="K16" i="20"/>
  <c r="J16" i="20"/>
  <c r="I16" i="20"/>
  <c r="H16" i="20"/>
  <c r="G16" i="20"/>
  <c r="F16" i="20"/>
  <c r="E16" i="20"/>
  <c r="D16" i="20"/>
  <c r="C16" i="20"/>
  <c r="AC15" i="20"/>
  <c r="AB15" i="20"/>
  <c r="AA15" i="20"/>
  <c r="Z15" i="20"/>
  <c r="Y15" i="20"/>
  <c r="X15" i="20"/>
  <c r="W15" i="20"/>
  <c r="V15" i="20"/>
  <c r="U15" i="20"/>
  <c r="T15" i="20"/>
  <c r="S15" i="20"/>
  <c r="R15" i="20"/>
  <c r="Q15" i="20"/>
  <c r="P15" i="20"/>
  <c r="O15" i="20"/>
  <c r="N15" i="20"/>
  <c r="M15" i="20"/>
  <c r="L15" i="20"/>
  <c r="K15" i="20"/>
  <c r="J15" i="20"/>
  <c r="I15" i="20"/>
  <c r="H15" i="20"/>
  <c r="G15" i="20"/>
  <c r="F15" i="20"/>
  <c r="E15" i="20"/>
  <c r="D15" i="20"/>
  <c r="C15" i="20"/>
  <c r="AC14" i="20"/>
  <c r="AB14" i="20"/>
  <c r="AA14" i="20"/>
  <c r="Z14" i="20"/>
  <c r="Y14" i="20"/>
  <c r="X14" i="20"/>
  <c r="W14" i="20"/>
  <c r="V14" i="20"/>
  <c r="U14" i="20"/>
  <c r="T14" i="20"/>
  <c r="S14" i="20"/>
  <c r="R14" i="20"/>
  <c r="Q14" i="20"/>
  <c r="P14" i="20"/>
  <c r="O14" i="20"/>
  <c r="N14" i="20"/>
  <c r="M14" i="20"/>
  <c r="L14" i="20"/>
  <c r="K14" i="20"/>
  <c r="J14" i="20"/>
  <c r="I14" i="20"/>
  <c r="H14" i="20"/>
  <c r="G14" i="20"/>
  <c r="F14" i="20"/>
  <c r="E14" i="20"/>
  <c r="D14" i="20"/>
  <c r="C14" i="20"/>
  <c r="AC13" i="20"/>
  <c r="AB13" i="20"/>
  <c r="AA13" i="20"/>
  <c r="Z13" i="20"/>
  <c r="Y13" i="20"/>
  <c r="X13" i="20"/>
  <c r="W13" i="20"/>
  <c r="V13" i="20"/>
  <c r="U13" i="20"/>
  <c r="T13" i="20"/>
  <c r="S13" i="20"/>
  <c r="R13" i="20"/>
  <c r="Q13" i="20"/>
  <c r="P13" i="20"/>
  <c r="O13" i="20"/>
  <c r="N13" i="20"/>
  <c r="M13" i="20"/>
  <c r="L13" i="20"/>
  <c r="K13" i="20"/>
  <c r="J13" i="20"/>
  <c r="I13" i="20"/>
  <c r="H13" i="20"/>
  <c r="G13" i="20"/>
  <c r="F13" i="20"/>
  <c r="E13" i="20"/>
  <c r="D13" i="20"/>
  <c r="C13" i="20"/>
  <c r="AC12" i="20"/>
  <c r="AB12" i="20"/>
  <c r="AA12" i="20"/>
  <c r="Z12" i="20"/>
  <c r="Y12" i="20"/>
  <c r="X12" i="20"/>
  <c r="W12" i="20"/>
  <c r="V12" i="20"/>
  <c r="U12" i="20"/>
  <c r="T12" i="20"/>
  <c r="S12" i="20"/>
  <c r="R12" i="20"/>
  <c r="Q12" i="20"/>
  <c r="P12" i="20"/>
  <c r="O12" i="20"/>
  <c r="N12" i="20"/>
  <c r="M12" i="20"/>
  <c r="L12" i="20"/>
  <c r="K12" i="20"/>
  <c r="J12" i="20"/>
  <c r="I12" i="20"/>
  <c r="H12" i="20"/>
  <c r="G12" i="20"/>
  <c r="F12" i="20"/>
  <c r="E12" i="20"/>
  <c r="D12" i="20"/>
  <c r="C12" i="20"/>
  <c r="AC11" i="20"/>
  <c r="AB11" i="20"/>
  <c r="AA11" i="20"/>
  <c r="Z11" i="20"/>
  <c r="Y11" i="20"/>
  <c r="X11" i="20"/>
  <c r="W11" i="20"/>
  <c r="V11" i="20"/>
  <c r="U11" i="20"/>
  <c r="T11" i="20"/>
  <c r="S11" i="20"/>
  <c r="R11" i="20"/>
  <c r="Q11" i="20"/>
  <c r="P11" i="20"/>
  <c r="O11" i="20"/>
  <c r="N11" i="20"/>
  <c r="M11" i="20"/>
  <c r="L11" i="20"/>
  <c r="K11" i="20"/>
  <c r="J11" i="20"/>
  <c r="I11" i="20"/>
  <c r="H11" i="20"/>
  <c r="G11" i="20"/>
  <c r="F11" i="20"/>
  <c r="E11" i="20"/>
  <c r="D11" i="20"/>
  <c r="C11" i="20"/>
  <c r="AC10" i="20"/>
  <c r="AB10" i="20"/>
  <c r="AA10" i="20"/>
  <c r="Z10" i="20"/>
  <c r="Y10" i="20"/>
  <c r="X10" i="20"/>
  <c r="W10" i="20"/>
  <c r="V10" i="20"/>
  <c r="U10" i="20"/>
  <c r="T10" i="20"/>
  <c r="S10" i="20"/>
  <c r="R10" i="20"/>
  <c r="Q10" i="20"/>
  <c r="P10" i="20"/>
  <c r="O10" i="20"/>
  <c r="N10" i="20"/>
  <c r="M10" i="20"/>
  <c r="L10" i="20"/>
  <c r="K10" i="20"/>
  <c r="J10" i="20"/>
  <c r="I10" i="20"/>
  <c r="H10" i="20"/>
  <c r="G10" i="20"/>
  <c r="F10" i="20"/>
  <c r="E10" i="20"/>
  <c r="D10" i="20"/>
  <c r="C10" i="20"/>
  <c r="AC9" i="20"/>
  <c r="AB9" i="20"/>
  <c r="AA9" i="20"/>
  <c r="Z9" i="20"/>
  <c r="Y9" i="20"/>
  <c r="X9" i="20"/>
  <c r="W9" i="20"/>
  <c r="V9" i="20"/>
  <c r="U9" i="20"/>
  <c r="T9" i="20"/>
  <c r="S9" i="20"/>
  <c r="R9" i="20"/>
  <c r="Q9" i="20"/>
  <c r="P9" i="20"/>
  <c r="O9" i="20"/>
  <c r="N9" i="20"/>
  <c r="M9" i="20"/>
  <c r="L9" i="20"/>
  <c r="K9" i="20"/>
  <c r="J9" i="20"/>
  <c r="I9" i="20"/>
  <c r="H9" i="20"/>
  <c r="G9" i="20"/>
  <c r="F9" i="20"/>
  <c r="E9" i="20"/>
  <c r="D9" i="20"/>
  <c r="C9" i="20"/>
  <c r="AC8" i="20"/>
  <c r="AB8" i="20"/>
  <c r="AA8" i="20"/>
  <c r="Z8" i="20"/>
  <c r="Y8" i="20"/>
  <c r="X8" i="20"/>
  <c r="W8" i="20"/>
  <c r="V8" i="20"/>
  <c r="U8" i="20"/>
  <c r="T8" i="20"/>
  <c r="S8" i="20"/>
  <c r="R8" i="20"/>
  <c r="Q8" i="20"/>
  <c r="P8" i="20"/>
  <c r="O8" i="20"/>
  <c r="N8" i="20"/>
  <c r="M8" i="20"/>
  <c r="L8" i="20"/>
  <c r="K8" i="20"/>
  <c r="J8" i="20"/>
  <c r="I8" i="20"/>
  <c r="H8" i="20"/>
  <c r="G8" i="20"/>
  <c r="F8" i="20"/>
  <c r="E8" i="20"/>
  <c r="D8" i="20"/>
  <c r="C8" i="20"/>
  <c r="AC7" i="20"/>
  <c r="AB7" i="20"/>
  <c r="AA7" i="20"/>
  <c r="Z7" i="20"/>
  <c r="Y7" i="20"/>
  <c r="X7" i="20"/>
  <c r="W7" i="20"/>
  <c r="V7" i="20"/>
  <c r="U7" i="20"/>
  <c r="T7" i="20"/>
  <c r="S7" i="20"/>
  <c r="R7" i="20"/>
  <c r="Q7" i="20"/>
  <c r="P7" i="20"/>
  <c r="O7" i="20"/>
  <c r="N7" i="20"/>
  <c r="M7" i="20"/>
  <c r="L7" i="20"/>
  <c r="K7" i="20"/>
  <c r="J7" i="20"/>
  <c r="I7" i="20"/>
  <c r="H7" i="20"/>
  <c r="G7" i="20"/>
  <c r="F7" i="20"/>
  <c r="E7" i="20"/>
  <c r="D7" i="20"/>
  <c r="C7" i="20"/>
  <c r="AC6" i="20"/>
  <c r="AB6" i="20"/>
  <c r="AA6" i="20"/>
  <c r="Z6" i="20"/>
  <c r="Y6" i="20"/>
  <c r="X6" i="20"/>
  <c r="W6" i="20"/>
  <c r="V6" i="20"/>
  <c r="U6" i="20"/>
  <c r="T6" i="20"/>
  <c r="S6" i="20"/>
  <c r="R6" i="20"/>
  <c r="Q6" i="20"/>
  <c r="P6" i="20"/>
  <c r="O6" i="20"/>
  <c r="N6" i="20"/>
  <c r="M6" i="20"/>
  <c r="L6" i="20"/>
  <c r="K6" i="20"/>
  <c r="J6" i="20"/>
  <c r="I6" i="20"/>
  <c r="H6" i="20"/>
  <c r="G6" i="20"/>
  <c r="F6" i="20"/>
  <c r="E6" i="20"/>
  <c r="D6" i="20"/>
  <c r="C6" i="20"/>
  <c r="AC5" i="20"/>
  <c r="AB5" i="20"/>
  <c r="AA5" i="20"/>
  <c r="Z5" i="20"/>
  <c r="Y5" i="20"/>
  <c r="X5" i="20"/>
  <c r="W5" i="20"/>
  <c r="V5" i="20"/>
  <c r="U5" i="20"/>
  <c r="T5" i="20"/>
  <c r="S5" i="20"/>
  <c r="R5" i="20"/>
  <c r="Q5" i="20"/>
  <c r="P5" i="20"/>
  <c r="O5" i="20"/>
  <c r="N5" i="20"/>
  <c r="M5" i="20"/>
  <c r="L5" i="20"/>
  <c r="K5" i="20"/>
  <c r="J5" i="20"/>
  <c r="I5" i="20"/>
  <c r="H5" i="20"/>
  <c r="G5" i="20"/>
  <c r="F5" i="20"/>
  <c r="E5" i="20"/>
  <c r="D5" i="20"/>
  <c r="C5" i="20"/>
  <c r="AC4" i="20"/>
  <c r="AB4" i="20"/>
  <c r="AA4" i="20"/>
  <c r="Z4" i="20"/>
  <c r="Y4" i="20"/>
  <c r="X4" i="20"/>
  <c r="W4" i="20"/>
  <c r="V4" i="20"/>
  <c r="U4" i="20"/>
  <c r="T4" i="20"/>
  <c r="S4" i="20"/>
  <c r="R4" i="20"/>
  <c r="Q4" i="20"/>
  <c r="P4" i="20"/>
  <c r="O4" i="20"/>
  <c r="N4" i="20"/>
  <c r="M4" i="20"/>
  <c r="L4" i="20"/>
  <c r="K4" i="20"/>
  <c r="J4" i="20"/>
  <c r="I4" i="20"/>
  <c r="H4" i="20"/>
  <c r="G4" i="20"/>
  <c r="F4" i="20"/>
  <c r="E4" i="20"/>
  <c r="D4" i="20"/>
  <c r="C4" i="20"/>
  <c r="AC3" i="20"/>
  <c r="AB3" i="20"/>
  <c r="AA3" i="20"/>
  <c r="Z3" i="20"/>
  <c r="Y3" i="20"/>
  <c r="X3" i="20"/>
  <c r="W3" i="20"/>
  <c r="V3" i="20"/>
  <c r="U3" i="20"/>
  <c r="T3" i="20"/>
  <c r="S3" i="20"/>
  <c r="R3" i="20"/>
  <c r="Q3" i="20"/>
  <c r="P3" i="20"/>
  <c r="O3" i="20"/>
  <c r="N3" i="20"/>
  <c r="M3" i="20"/>
  <c r="L3" i="20"/>
  <c r="K3" i="20"/>
  <c r="J3" i="20"/>
  <c r="I3" i="20"/>
  <c r="H3" i="20"/>
  <c r="G3" i="20"/>
  <c r="F3" i="20"/>
  <c r="E3" i="20"/>
  <c r="D3" i="20"/>
  <c r="C3" i="20"/>
  <c r="AC2" i="20"/>
  <c r="AB2" i="20"/>
  <c r="AA2" i="20"/>
  <c r="Z2" i="20"/>
  <c r="Y2" i="20"/>
  <c r="X2" i="20"/>
  <c r="W2" i="20"/>
  <c r="V2" i="20"/>
  <c r="U2" i="20"/>
  <c r="T2" i="20"/>
  <c r="S2" i="20"/>
  <c r="R2" i="20"/>
  <c r="Q2" i="20"/>
  <c r="P2" i="20"/>
  <c r="O2" i="20"/>
  <c r="N2" i="20"/>
  <c r="M2" i="20"/>
  <c r="L2" i="20"/>
  <c r="K2" i="20"/>
  <c r="J2" i="20"/>
  <c r="I2" i="20"/>
  <c r="H2" i="20"/>
  <c r="G2" i="20"/>
  <c r="F2" i="20"/>
  <c r="E2" i="20"/>
  <c r="D2" i="20"/>
  <c r="C2" i="20"/>
  <c r="C99" i="17"/>
  <c r="H56" i="17"/>
  <c r="I56" i="17" s="1"/>
  <c r="J56" i="17" s="1"/>
  <c r="K56" i="17" s="1"/>
  <c r="L56" i="17" s="1"/>
  <c r="M56" i="17" s="1"/>
  <c r="N56" i="17" s="1"/>
  <c r="O56" i="17" s="1"/>
  <c r="P56" i="17" s="1"/>
  <c r="Q56" i="17" s="1"/>
  <c r="R56" i="17" s="1"/>
  <c r="S56" i="17" s="1"/>
  <c r="T56" i="17" s="1"/>
  <c r="U56" i="17" s="1"/>
  <c r="V56" i="17" s="1"/>
  <c r="W56" i="17" s="1"/>
  <c r="X56" i="17" s="1"/>
  <c r="Y56" i="17" s="1"/>
  <c r="Z56" i="17" s="1"/>
  <c r="AA56" i="17" s="1"/>
  <c r="AB56" i="17" s="1"/>
  <c r="AC56" i="17" s="1"/>
  <c r="AD56" i="17" s="1"/>
  <c r="AE56" i="17" s="1"/>
  <c r="AF56" i="17" s="1"/>
  <c r="AG56" i="17" s="1"/>
  <c r="I55" i="17"/>
  <c r="J55" i="17" s="1"/>
  <c r="K55" i="17" s="1"/>
  <c r="L55" i="17" s="1"/>
  <c r="M55" i="17" s="1"/>
  <c r="N55" i="17" s="1"/>
  <c r="O55" i="17" s="1"/>
  <c r="P55" i="17" s="1"/>
  <c r="Q55" i="17" s="1"/>
  <c r="R55" i="17" s="1"/>
  <c r="S55" i="17" s="1"/>
  <c r="T55" i="17" s="1"/>
  <c r="U55" i="17" s="1"/>
  <c r="V55" i="17" s="1"/>
  <c r="W55" i="17" s="1"/>
  <c r="X55" i="17" s="1"/>
  <c r="Y55" i="17" s="1"/>
  <c r="Z55" i="17" s="1"/>
  <c r="AA55" i="17" s="1"/>
  <c r="AB55" i="17" s="1"/>
  <c r="AC55" i="17" s="1"/>
  <c r="AD55" i="17" s="1"/>
  <c r="AE55" i="17" s="1"/>
  <c r="AF55" i="17" s="1"/>
  <c r="AG55" i="17" s="1"/>
  <c r="H55" i="17"/>
  <c r="H54" i="17"/>
  <c r="I54" i="17" s="1"/>
  <c r="J54" i="17" s="1"/>
  <c r="K54" i="17" s="1"/>
  <c r="L54" i="17" s="1"/>
  <c r="M54" i="17" s="1"/>
  <c r="N54" i="17" s="1"/>
  <c r="O54" i="17" s="1"/>
  <c r="P54" i="17" s="1"/>
  <c r="Q54" i="17" s="1"/>
  <c r="R54" i="17" s="1"/>
  <c r="S54" i="17" s="1"/>
  <c r="T54" i="17" s="1"/>
  <c r="U54" i="17" s="1"/>
  <c r="V54" i="17" s="1"/>
  <c r="W54" i="17" s="1"/>
  <c r="X54" i="17" s="1"/>
  <c r="Y54" i="17" s="1"/>
  <c r="Z54" i="17" s="1"/>
  <c r="AA54" i="17" s="1"/>
  <c r="AB54" i="17" s="1"/>
  <c r="AC54" i="17" s="1"/>
  <c r="AD54" i="17" s="1"/>
  <c r="AE54" i="17" s="1"/>
  <c r="AF54" i="17" s="1"/>
  <c r="AG54" i="17" s="1"/>
  <c r="I53" i="17"/>
  <c r="J53" i="17" s="1"/>
  <c r="K53" i="17" s="1"/>
  <c r="L53" i="17" s="1"/>
  <c r="M53" i="17" s="1"/>
  <c r="N53" i="17" s="1"/>
  <c r="O53" i="17" s="1"/>
  <c r="P53" i="17" s="1"/>
  <c r="Q53" i="17" s="1"/>
  <c r="R53" i="17" s="1"/>
  <c r="S53" i="17" s="1"/>
  <c r="T53" i="17" s="1"/>
  <c r="U53" i="17" s="1"/>
  <c r="V53" i="17" s="1"/>
  <c r="W53" i="17" s="1"/>
  <c r="X53" i="17" s="1"/>
  <c r="Y53" i="17" s="1"/>
  <c r="Z53" i="17" s="1"/>
  <c r="AA53" i="17" s="1"/>
  <c r="AB53" i="17" s="1"/>
  <c r="AC53" i="17" s="1"/>
  <c r="AD53" i="17" s="1"/>
  <c r="AE53" i="17" s="1"/>
  <c r="AF53" i="17" s="1"/>
  <c r="AG53" i="17" s="1"/>
  <c r="H53" i="17"/>
  <c r="H52" i="17"/>
  <c r="I52" i="17" s="1"/>
  <c r="J52" i="17" s="1"/>
  <c r="K52" i="17" s="1"/>
  <c r="L52" i="17" s="1"/>
  <c r="M52" i="17" s="1"/>
  <c r="N52" i="17" s="1"/>
  <c r="O52" i="17" s="1"/>
  <c r="P52" i="17" s="1"/>
  <c r="Q52" i="17" s="1"/>
  <c r="R52" i="17" s="1"/>
  <c r="S52" i="17" s="1"/>
  <c r="T52" i="17" s="1"/>
  <c r="U52" i="17" s="1"/>
  <c r="V52" i="17" s="1"/>
  <c r="W52" i="17" s="1"/>
  <c r="X52" i="17" s="1"/>
  <c r="Y52" i="17" s="1"/>
  <c r="Z52" i="17" s="1"/>
  <c r="AA52" i="17" s="1"/>
  <c r="AB52" i="17" s="1"/>
  <c r="AC52" i="17" s="1"/>
  <c r="AD52" i="17" s="1"/>
  <c r="AE52" i="17" s="1"/>
  <c r="AF52" i="17" s="1"/>
  <c r="AG52" i="17" s="1"/>
  <c r="H51" i="17"/>
  <c r="I51" i="17" s="1"/>
  <c r="J51" i="17" s="1"/>
  <c r="K51" i="17" s="1"/>
  <c r="L51" i="17" s="1"/>
  <c r="M51" i="17" s="1"/>
  <c r="N51" i="17" s="1"/>
  <c r="O51" i="17" s="1"/>
  <c r="P51" i="17" s="1"/>
  <c r="Q51" i="17" s="1"/>
  <c r="R51" i="17" s="1"/>
  <c r="S51" i="17" s="1"/>
  <c r="T51" i="17" s="1"/>
  <c r="U51" i="17" s="1"/>
  <c r="V51" i="17" s="1"/>
  <c r="W51" i="17" s="1"/>
  <c r="X51" i="17" s="1"/>
  <c r="Y51" i="17" s="1"/>
  <c r="Z51" i="17" s="1"/>
  <c r="AA51" i="17" s="1"/>
  <c r="AB51" i="17" s="1"/>
  <c r="AC51" i="17" s="1"/>
  <c r="AD51" i="17" s="1"/>
  <c r="AE51" i="17" s="1"/>
  <c r="AF51" i="17" s="1"/>
  <c r="AG51" i="17" s="1"/>
  <c r="H50" i="17"/>
  <c r="I50" i="17" s="1"/>
  <c r="J50" i="17" s="1"/>
  <c r="K50" i="17" s="1"/>
  <c r="L50" i="17" s="1"/>
  <c r="M50" i="17" s="1"/>
  <c r="N50" i="17" s="1"/>
  <c r="O50" i="17" s="1"/>
  <c r="P50" i="17" s="1"/>
  <c r="Q50" i="17" s="1"/>
  <c r="R50" i="17" s="1"/>
  <c r="S50" i="17" s="1"/>
  <c r="T50" i="17" s="1"/>
  <c r="U50" i="17" s="1"/>
  <c r="V50" i="17" s="1"/>
  <c r="W50" i="17" s="1"/>
  <c r="X50" i="17" s="1"/>
  <c r="Y50" i="17" s="1"/>
  <c r="Z50" i="17" s="1"/>
  <c r="AA50" i="17" s="1"/>
  <c r="AB50" i="17" s="1"/>
  <c r="AC50" i="17" s="1"/>
  <c r="AD50" i="17" s="1"/>
  <c r="AE50" i="17" s="1"/>
  <c r="AF50" i="17" s="1"/>
  <c r="AG50" i="17" s="1"/>
  <c r="H49" i="17"/>
  <c r="I49" i="17" s="1"/>
  <c r="J49" i="17" s="1"/>
  <c r="K49" i="17" s="1"/>
  <c r="L49" i="17" s="1"/>
  <c r="M49" i="17" s="1"/>
  <c r="N49" i="17" s="1"/>
  <c r="O49" i="17" s="1"/>
  <c r="P49" i="17" s="1"/>
  <c r="Q49" i="17" s="1"/>
  <c r="R49" i="17" s="1"/>
  <c r="S49" i="17" s="1"/>
  <c r="T49" i="17" s="1"/>
  <c r="U49" i="17" s="1"/>
  <c r="V49" i="17" s="1"/>
  <c r="W49" i="17" s="1"/>
  <c r="X49" i="17" s="1"/>
  <c r="Y49" i="17" s="1"/>
  <c r="Z49" i="17" s="1"/>
  <c r="AA49" i="17" s="1"/>
  <c r="AB49" i="17" s="1"/>
  <c r="AC49" i="17" s="1"/>
  <c r="AD49" i="17" s="1"/>
  <c r="AE49" i="17" s="1"/>
  <c r="AF49" i="17" s="1"/>
  <c r="AG49" i="17" s="1"/>
  <c r="H48" i="17"/>
  <c r="I48" i="17" s="1"/>
  <c r="J48" i="17" s="1"/>
  <c r="K48" i="17" s="1"/>
  <c r="L48" i="17" s="1"/>
  <c r="M48" i="17" s="1"/>
  <c r="N48" i="17" s="1"/>
  <c r="O48" i="17" s="1"/>
  <c r="P48" i="17" s="1"/>
  <c r="Q48" i="17" s="1"/>
  <c r="R48" i="17" s="1"/>
  <c r="S48" i="17" s="1"/>
  <c r="T48" i="17" s="1"/>
  <c r="U48" i="17" s="1"/>
  <c r="V48" i="17" s="1"/>
  <c r="W48" i="17" s="1"/>
  <c r="X48" i="17" s="1"/>
  <c r="Y48" i="17" s="1"/>
  <c r="Z48" i="17" s="1"/>
  <c r="AA48" i="17" s="1"/>
  <c r="AB48" i="17" s="1"/>
  <c r="AC48" i="17" s="1"/>
  <c r="AD48" i="17" s="1"/>
  <c r="AE48" i="17" s="1"/>
  <c r="AF48" i="17" s="1"/>
  <c r="AG48" i="17" s="1"/>
  <c r="H47" i="17"/>
  <c r="I47" i="17" s="1"/>
  <c r="J47" i="17" s="1"/>
  <c r="K47" i="17" s="1"/>
  <c r="L47" i="17" s="1"/>
  <c r="M47" i="17" s="1"/>
  <c r="N47" i="17" s="1"/>
  <c r="O47" i="17" s="1"/>
  <c r="P47" i="17" s="1"/>
  <c r="Q47" i="17" s="1"/>
  <c r="R47" i="17" s="1"/>
  <c r="S47" i="17" s="1"/>
  <c r="T47" i="17" s="1"/>
  <c r="U47" i="17" s="1"/>
  <c r="V47" i="17" s="1"/>
  <c r="W47" i="17" s="1"/>
  <c r="X47" i="17" s="1"/>
  <c r="Y47" i="17" s="1"/>
  <c r="Z47" i="17" s="1"/>
  <c r="AA47" i="17" s="1"/>
  <c r="AB47" i="17" s="1"/>
  <c r="AC47" i="17" s="1"/>
  <c r="AD47" i="17" s="1"/>
  <c r="AE47" i="17" s="1"/>
  <c r="AF47" i="17" s="1"/>
  <c r="AG47" i="17" s="1"/>
  <c r="I46" i="17"/>
  <c r="J46" i="17" s="1"/>
  <c r="K46" i="17" s="1"/>
  <c r="L46" i="17" s="1"/>
  <c r="M46" i="17" s="1"/>
  <c r="N46" i="17" s="1"/>
  <c r="O46" i="17" s="1"/>
  <c r="P46" i="17" s="1"/>
  <c r="Q46" i="17" s="1"/>
  <c r="R46" i="17" s="1"/>
  <c r="S46" i="17" s="1"/>
  <c r="T46" i="17" s="1"/>
  <c r="U46" i="17" s="1"/>
  <c r="V46" i="17" s="1"/>
  <c r="W46" i="17" s="1"/>
  <c r="X46" i="17" s="1"/>
  <c r="Y46" i="17" s="1"/>
  <c r="Z46" i="17" s="1"/>
  <c r="AA46" i="17" s="1"/>
  <c r="AB46" i="17" s="1"/>
  <c r="AC46" i="17" s="1"/>
  <c r="AD46" i="17" s="1"/>
  <c r="AE46" i="17" s="1"/>
  <c r="AF46" i="17" s="1"/>
  <c r="AG46" i="17" s="1"/>
  <c r="H46" i="17"/>
  <c r="AC151" i="16"/>
  <c r="AD151" i="16" s="1"/>
  <c r="AE151" i="16" s="1"/>
  <c r="AF151" i="16" s="1"/>
  <c r="AG151" i="16" s="1"/>
  <c r="AC150" i="16"/>
  <c r="AD150" i="16" s="1"/>
  <c r="AE150" i="16" s="1"/>
  <c r="AF150" i="16" s="1"/>
  <c r="AG150" i="16" s="1"/>
  <c r="AC149" i="16"/>
  <c r="AD149" i="16" s="1"/>
  <c r="AE149" i="16" s="1"/>
  <c r="AF149" i="16" s="1"/>
  <c r="AG149" i="16" s="1"/>
  <c r="AF148" i="16"/>
  <c r="AG148" i="16" s="1"/>
  <c r="AE148" i="16"/>
  <c r="AD148" i="16"/>
  <c r="AC148" i="16"/>
  <c r="AC147" i="16"/>
  <c r="AD147" i="16" s="1"/>
  <c r="AE147" i="16" s="1"/>
  <c r="AF147" i="16" s="1"/>
  <c r="AG147" i="16" s="1"/>
  <c r="AF146" i="16"/>
  <c r="AG146" i="16" s="1"/>
  <c r="AE146" i="16"/>
  <c r="AC146" i="16"/>
  <c r="AD146" i="16" s="1"/>
  <c r="AC145" i="16"/>
  <c r="AD145" i="16" s="1"/>
  <c r="AE145" i="16" s="1"/>
  <c r="AF145" i="16" s="1"/>
  <c r="AG145" i="16" s="1"/>
  <c r="AC144" i="16"/>
  <c r="AD144" i="16" s="1"/>
  <c r="AE144" i="16" s="1"/>
  <c r="AF144" i="16" s="1"/>
  <c r="AG144" i="16" s="1"/>
  <c r="AC143" i="16"/>
  <c r="AD143" i="16" s="1"/>
  <c r="AE143" i="16" s="1"/>
  <c r="AF143" i="16" s="1"/>
  <c r="AG143" i="16" s="1"/>
  <c r="AG142" i="16"/>
  <c r="AC142" i="16"/>
  <c r="AD142" i="16" s="1"/>
  <c r="AE142" i="16" s="1"/>
  <c r="AF142" i="16" s="1"/>
  <c r="AC141" i="16"/>
  <c r="AD141" i="16" s="1"/>
  <c r="AE141" i="16" s="1"/>
  <c r="AF141" i="16" s="1"/>
  <c r="AG141" i="16" s="1"/>
  <c r="AE140" i="16"/>
  <c r="AF140" i="16" s="1"/>
  <c r="AG140" i="16" s="1"/>
  <c r="AD140" i="16"/>
  <c r="AC140" i="16"/>
  <c r="AC139" i="16"/>
  <c r="AD139" i="16" s="1"/>
  <c r="AE139" i="16" s="1"/>
  <c r="AF139" i="16" s="1"/>
  <c r="AG139" i="16" s="1"/>
  <c r="AD138" i="16"/>
  <c r="AE138" i="16" s="1"/>
  <c r="AF138" i="16" s="1"/>
  <c r="AG138" i="16" s="1"/>
  <c r="AC138" i="16"/>
  <c r="AE137" i="16"/>
  <c r="AF137" i="16" s="1"/>
  <c r="AG137" i="16" s="1"/>
  <c r="AD137" i="16"/>
  <c r="AC137" i="16"/>
  <c r="AC136" i="16"/>
  <c r="AD136" i="16" s="1"/>
  <c r="AE136" i="16" s="1"/>
  <c r="AF136" i="16" s="1"/>
  <c r="AG136" i="16" s="1"/>
  <c r="AD135" i="16"/>
  <c r="AE135" i="16" s="1"/>
  <c r="AF135" i="16" s="1"/>
  <c r="AG135" i="16" s="1"/>
  <c r="AC135" i="16"/>
  <c r="F127" i="16"/>
  <c r="E127" i="16"/>
  <c r="D127" i="16"/>
  <c r="G127" i="16" s="1"/>
  <c r="H127" i="16" s="1"/>
  <c r="I127" i="16" s="1"/>
  <c r="J127" i="16" s="1"/>
  <c r="K127" i="16" s="1"/>
  <c r="L127" i="16" s="1"/>
  <c r="M127" i="16" s="1"/>
  <c r="N127" i="16" s="1"/>
  <c r="O127" i="16" s="1"/>
  <c r="P127" i="16" s="1"/>
  <c r="Q127" i="16" s="1"/>
  <c r="R127" i="16" s="1"/>
  <c r="S127" i="16" s="1"/>
  <c r="T127" i="16" s="1"/>
  <c r="U127" i="16" s="1"/>
  <c r="V127" i="16" s="1"/>
  <c r="W127" i="16" s="1"/>
  <c r="X127" i="16" s="1"/>
  <c r="Y127" i="16" s="1"/>
  <c r="Z127" i="16" s="1"/>
  <c r="AA127" i="16" s="1"/>
  <c r="AB127" i="16" s="1"/>
  <c r="AC127" i="16" s="1"/>
  <c r="AD127" i="16" s="1"/>
  <c r="AE127" i="16" s="1"/>
  <c r="AF127" i="16" s="1"/>
  <c r="AG127" i="16" s="1"/>
  <c r="F126" i="16"/>
  <c r="G126" i="16" s="1"/>
  <c r="H126" i="16" s="1"/>
  <c r="I126" i="16" s="1"/>
  <c r="J126" i="16" s="1"/>
  <c r="K126" i="16" s="1"/>
  <c r="L126" i="16" s="1"/>
  <c r="M126" i="16" s="1"/>
  <c r="N126" i="16" s="1"/>
  <c r="O126" i="16" s="1"/>
  <c r="P126" i="16" s="1"/>
  <c r="Q126" i="16" s="1"/>
  <c r="R126" i="16" s="1"/>
  <c r="S126" i="16" s="1"/>
  <c r="T126" i="16" s="1"/>
  <c r="U126" i="16" s="1"/>
  <c r="V126" i="16" s="1"/>
  <c r="W126" i="16" s="1"/>
  <c r="X126" i="16" s="1"/>
  <c r="Y126" i="16" s="1"/>
  <c r="Z126" i="16" s="1"/>
  <c r="AA126" i="16" s="1"/>
  <c r="AB126" i="16" s="1"/>
  <c r="AC126" i="16" s="1"/>
  <c r="AD126" i="16" s="1"/>
  <c r="AE126" i="16" s="1"/>
  <c r="AF126" i="16" s="1"/>
  <c r="AG126" i="16" s="1"/>
  <c r="E126" i="16"/>
  <c r="D126" i="16"/>
  <c r="F125" i="16"/>
  <c r="E125" i="16"/>
  <c r="D125" i="16"/>
  <c r="G125" i="16" s="1"/>
  <c r="H125" i="16" s="1"/>
  <c r="I125" i="16" s="1"/>
  <c r="J125" i="16" s="1"/>
  <c r="K125" i="16" s="1"/>
  <c r="L125" i="16" s="1"/>
  <c r="M125" i="16" s="1"/>
  <c r="N125" i="16" s="1"/>
  <c r="O125" i="16" s="1"/>
  <c r="P125" i="16" s="1"/>
  <c r="Q125" i="16" s="1"/>
  <c r="R125" i="16" s="1"/>
  <c r="S125" i="16" s="1"/>
  <c r="T125" i="16" s="1"/>
  <c r="U125" i="16" s="1"/>
  <c r="V125" i="16" s="1"/>
  <c r="W125" i="16" s="1"/>
  <c r="X125" i="16" s="1"/>
  <c r="Y125" i="16" s="1"/>
  <c r="Z125" i="16" s="1"/>
  <c r="AA125" i="16" s="1"/>
  <c r="AB125" i="16" s="1"/>
  <c r="AC125" i="16" s="1"/>
  <c r="AD125" i="16" s="1"/>
  <c r="AE125" i="16" s="1"/>
  <c r="AF125" i="16" s="1"/>
  <c r="AG125" i="16" s="1"/>
  <c r="F124" i="16"/>
  <c r="E124" i="16"/>
  <c r="D124" i="16"/>
  <c r="F123" i="16"/>
  <c r="E123" i="16"/>
  <c r="D123" i="16"/>
  <c r="G123" i="16" s="1"/>
  <c r="H123" i="16" s="1"/>
  <c r="I123" i="16" s="1"/>
  <c r="J123" i="16" s="1"/>
  <c r="K123" i="16" s="1"/>
  <c r="L123" i="16" s="1"/>
  <c r="M123" i="16" s="1"/>
  <c r="N123" i="16" s="1"/>
  <c r="O123" i="16" s="1"/>
  <c r="P123" i="16" s="1"/>
  <c r="Q123" i="16" s="1"/>
  <c r="R123" i="16" s="1"/>
  <c r="S123" i="16" s="1"/>
  <c r="T123" i="16" s="1"/>
  <c r="U123" i="16" s="1"/>
  <c r="V123" i="16" s="1"/>
  <c r="W123" i="16" s="1"/>
  <c r="X123" i="16" s="1"/>
  <c r="Y123" i="16" s="1"/>
  <c r="Z123" i="16" s="1"/>
  <c r="AA123" i="16" s="1"/>
  <c r="AB123" i="16" s="1"/>
  <c r="AC123" i="16" s="1"/>
  <c r="AD123" i="16" s="1"/>
  <c r="AE123" i="16" s="1"/>
  <c r="AF123" i="16" s="1"/>
  <c r="AG123" i="16" s="1"/>
  <c r="F122" i="16"/>
  <c r="E122" i="16"/>
  <c r="D122" i="16"/>
  <c r="G122" i="16" s="1"/>
  <c r="H122" i="16" s="1"/>
  <c r="I122" i="16" s="1"/>
  <c r="J122" i="16" s="1"/>
  <c r="K122" i="16" s="1"/>
  <c r="L122" i="16" s="1"/>
  <c r="M122" i="16" s="1"/>
  <c r="N122" i="16" s="1"/>
  <c r="O122" i="16" s="1"/>
  <c r="P122" i="16" s="1"/>
  <c r="Q122" i="16" s="1"/>
  <c r="R122" i="16" s="1"/>
  <c r="S122" i="16" s="1"/>
  <c r="T122" i="16" s="1"/>
  <c r="U122" i="16" s="1"/>
  <c r="V122" i="16" s="1"/>
  <c r="W122" i="16" s="1"/>
  <c r="X122" i="16" s="1"/>
  <c r="Y122" i="16" s="1"/>
  <c r="Z122" i="16" s="1"/>
  <c r="AA122" i="16" s="1"/>
  <c r="AB122" i="16" s="1"/>
  <c r="AC122" i="16" s="1"/>
  <c r="AD122" i="16" s="1"/>
  <c r="AE122" i="16" s="1"/>
  <c r="AF122" i="16" s="1"/>
  <c r="AG122" i="16" s="1"/>
  <c r="F121" i="16"/>
  <c r="E121" i="16"/>
  <c r="D121" i="16"/>
  <c r="F120" i="16"/>
  <c r="E120" i="16"/>
  <c r="D120" i="16"/>
  <c r="F119" i="16"/>
  <c r="E119" i="16"/>
  <c r="G119" i="16" s="1"/>
  <c r="H119" i="16" s="1"/>
  <c r="I119" i="16" s="1"/>
  <c r="J119" i="16" s="1"/>
  <c r="K119" i="16" s="1"/>
  <c r="L119" i="16" s="1"/>
  <c r="M119" i="16" s="1"/>
  <c r="N119" i="16" s="1"/>
  <c r="O119" i="16" s="1"/>
  <c r="P119" i="16" s="1"/>
  <c r="Q119" i="16" s="1"/>
  <c r="R119" i="16" s="1"/>
  <c r="S119" i="16" s="1"/>
  <c r="T119" i="16" s="1"/>
  <c r="U119" i="16" s="1"/>
  <c r="V119" i="16" s="1"/>
  <c r="W119" i="16" s="1"/>
  <c r="X119" i="16" s="1"/>
  <c r="Y119" i="16" s="1"/>
  <c r="Z119" i="16" s="1"/>
  <c r="AA119" i="16" s="1"/>
  <c r="AB119" i="16" s="1"/>
  <c r="AC119" i="16" s="1"/>
  <c r="AD119" i="16" s="1"/>
  <c r="AE119" i="16" s="1"/>
  <c r="AF119" i="16" s="1"/>
  <c r="AG119" i="16" s="1"/>
  <c r="D119" i="16"/>
  <c r="F118" i="16"/>
  <c r="E118" i="16"/>
  <c r="D118" i="16"/>
  <c r="F117" i="16"/>
  <c r="E117" i="16"/>
  <c r="D117" i="16"/>
  <c r="AI76" i="16"/>
  <c r="T76" i="16"/>
  <c r="U76" i="16" s="1"/>
  <c r="V76" i="16" s="1"/>
  <c r="W76" i="16" s="1"/>
  <c r="X76" i="16" s="1"/>
  <c r="Y76" i="16" s="1"/>
  <c r="Z76" i="16" s="1"/>
  <c r="AA76" i="16" s="1"/>
  <c r="AB76" i="16" s="1"/>
  <c r="AC76" i="16" s="1"/>
  <c r="AD76" i="16" s="1"/>
  <c r="AE76" i="16" s="1"/>
  <c r="AF76" i="16" s="1"/>
  <c r="AG76" i="16" s="1"/>
  <c r="S76" i="16"/>
  <c r="H76" i="16"/>
  <c r="I76" i="16" s="1"/>
  <c r="J76" i="16" s="1"/>
  <c r="K76" i="16" s="1"/>
  <c r="L76" i="16" s="1"/>
  <c r="M76" i="16" s="1"/>
  <c r="N76" i="16" s="1"/>
  <c r="O76" i="16" s="1"/>
  <c r="P76" i="16" s="1"/>
  <c r="Q76" i="16" s="1"/>
  <c r="F76" i="16"/>
  <c r="E76" i="16"/>
  <c r="D76" i="16"/>
  <c r="S75" i="16"/>
  <c r="T75" i="16" s="1"/>
  <c r="U75" i="16" s="1"/>
  <c r="V75" i="16" s="1"/>
  <c r="W75" i="16" s="1"/>
  <c r="X75" i="16" s="1"/>
  <c r="Y75" i="16" s="1"/>
  <c r="Z75" i="16" s="1"/>
  <c r="AA75" i="16" s="1"/>
  <c r="AB75" i="16" s="1"/>
  <c r="AC75" i="16" s="1"/>
  <c r="AD75" i="16" s="1"/>
  <c r="AE75" i="16" s="1"/>
  <c r="AF75" i="16" s="1"/>
  <c r="AG75" i="16" s="1"/>
  <c r="F75" i="16"/>
  <c r="E75" i="16"/>
  <c r="D75" i="16"/>
  <c r="T74" i="16"/>
  <c r="U74" i="16" s="1"/>
  <c r="V74" i="16" s="1"/>
  <c r="W74" i="16" s="1"/>
  <c r="X74" i="16" s="1"/>
  <c r="Y74" i="16" s="1"/>
  <c r="Z74" i="16" s="1"/>
  <c r="AA74" i="16" s="1"/>
  <c r="AB74" i="16" s="1"/>
  <c r="AC74" i="16" s="1"/>
  <c r="AD74" i="16" s="1"/>
  <c r="AE74" i="16" s="1"/>
  <c r="AF74" i="16" s="1"/>
  <c r="AG74" i="16" s="1"/>
  <c r="S74" i="16"/>
  <c r="F74" i="16"/>
  <c r="G74" i="16" s="1"/>
  <c r="E74" i="16"/>
  <c r="D74" i="16"/>
  <c r="V73" i="16"/>
  <c r="W73" i="16" s="1"/>
  <c r="X73" i="16" s="1"/>
  <c r="Y73" i="16" s="1"/>
  <c r="Z73" i="16" s="1"/>
  <c r="AA73" i="16" s="1"/>
  <c r="AB73" i="16" s="1"/>
  <c r="AC73" i="16" s="1"/>
  <c r="AD73" i="16" s="1"/>
  <c r="AE73" i="16" s="1"/>
  <c r="AF73" i="16" s="1"/>
  <c r="AG73" i="16" s="1"/>
  <c r="T73" i="16"/>
  <c r="U73" i="16" s="1"/>
  <c r="S73" i="16"/>
  <c r="G73" i="16"/>
  <c r="AI73" i="16" s="1"/>
  <c r="F73" i="16"/>
  <c r="E73" i="16"/>
  <c r="D73" i="16"/>
  <c r="S72" i="16"/>
  <c r="T72" i="16" s="1"/>
  <c r="U72" i="16" s="1"/>
  <c r="V72" i="16" s="1"/>
  <c r="W72" i="16" s="1"/>
  <c r="X72" i="16" s="1"/>
  <c r="Y72" i="16" s="1"/>
  <c r="Z72" i="16" s="1"/>
  <c r="AA72" i="16" s="1"/>
  <c r="AB72" i="16" s="1"/>
  <c r="AC72" i="16" s="1"/>
  <c r="AD72" i="16" s="1"/>
  <c r="AE72" i="16" s="1"/>
  <c r="AF72" i="16" s="1"/>
  <c r="AG72" i="16" s="1"/>
  <c r="F72" i="16"/>
  <c r="E72" i="16"/>
  <c r="D72" i="16"/>
  <c r="T71" i="16"/>
  <c r="U71" i="16" s="1"/>
  <c r="V71" i="16" s="1"/>
  <c r="W71" i="16" s="1"/>
  <c r="X71" i="16" s="1"/>
  <c r="Y71" i="16" s="1"/>
  <c r="Z71" i="16" s="1"/>
  <c r="AA71" i="16" s="1"/>
  <c r="AB71" i="16" s="1"/>
  <c r="AC71" i="16" s="1"/>
  <c r="AD71" i="16" s="1"/>
  <c r="AE71" i="16" s="1"/>
  <c r="AF71" i="16" s="1"/>
  <c r="AG71" i="16" s="1"/>
  <c r="S71" i="16"/>
  <c r="F71" i="16"/>
  <c r="G71" i="16" s="1"/>
  <c r="E71" i="16"/>
  <c r="D71" i="16"/>
  <c r="T70" i="16"/>
  <c r="U70" i="16" s="1"/>
  <c r="V70" i="16" s="1"/>
  <c r="W70" i="16" s="1"/>
  <c r="X70" i="16" s="1"/>
  <c r="Y70" i="16" s="1"/>
  <c r="Z70" i="16" s="1"/>
  <c r="AA70" i="16" s="1"/>
  <c r="AB70" i="16" s="1"/>
  <c r="AC70" i="16" s="1"/>
  <c r="AD70" i="16" s="1"/>
  <c r="AE70" i="16" s="1"/>
  <c r="AF70" i="16" s="1"/>
  <c r="AG70" i="16" s="1"/>
  <c r="S70" i="16"/>
  <c r="F70" i="16"/>
  <c r="E70" i="16"/>
  <c r="G70" i="16" s="1"/>
  <c r="AI70" i="16" s="1"/>
  <c r="D70" i="16"/>
  <c r="S69" i="16"/>
  <c r="T69" i="16" s="1"/>
  <c r="U69" i="16" s="1"/>
  <c r="V69" i="16" s="1"/>
  <c r="W69" i="16" s="1"/>
  <c r="X69" i="16" s="1"/>
  <c r="Y69" i="16" s="1"/>
  <c r="Z69" i="16" s="1"/>
  <c r="AA69" i="16" s="1"/>
  <c r="AB69" i="16" s="1"/>
  <c r="AC69" i="16" s="1"/>
  <c r="AD69" i="16" s="1"/>
  <c r="AE69" i="16" s="1"/>
  <c r="AF69" i="16" s="1"/>
  <c r="AG69" i="16" s="1"/>
  <c r="G69" i="16"/>
  <c r="F69" i="16"/>
  <c r="E69" i="16"/>
  <c r="D69" i="16"/>
  <c r="T68" i="16"/>
  <c r="U68" i="16" s="1"/>
  <c r="V68" i="16" s="1"/>
  <c r="W68" i="16" s="1"/>
  <c r="X68" i="16" s="1"/>
  <c r="Y68" i="16" s="1"/>
  <c r="Z68" i="16" s="1"/>
  <c r="AA68" i="16" s="1"/>
  <c r="AB68" i="16" s="1"/>
  <c r="AC68" i="16" s="1"/>
  <c r="AD68" i="16" s="1"/>
  <c r="AE68" i="16" s="1"/>
  <c r="AF68" i="16" s="1"/>
  <c r="AG68" i="16" s="1"/>
  <c r="S68" i="16"/>
  <c r="F68" i="16"/>
  <c r="G68" i="16" s="1"/>
  <c r="E68" i="16"/>
  <c r="D68" i="16"/>
  <c r="S67" i="16"/>
  <c r="T67" i="16" s="1"/>
  <c r="U67" i="16" s="1"/>
  <c r="V67" i="16" s="1"/>
  <c r="W67" i="16" s="1"/>
  <c r="X67" i="16" s="1"/>
  <c r="Y67" i="16" s="1"/>
  <c r="Z67" i="16" s="1"/>
  <c r="AA67" i="16" s="1"/>
  <c r="AB67" i="16" s="1"/>
  <c r="AC67" i="16" s="1"/>
  <c r="AD67" i="16" s="1"/>
  <c r="AE67" i="16" s="1"/>
  <c r="AF67" i="16" s="1"/>
  <c r="AG67" i="16" s="1"/>
  <c r="F67" i="16"/>
  <c r="E67" i="16"/>
  <c r="D67" i="16"/>
  <c r="G58" i="16"/>
  <c r="H58" i="16" s="1"/>
  <c r="I58" i="16" s="1"/>
  <c r="J58" i="16" s="1"/>
  <c r="K58" i="16" s="1"/>
  <c r="L58" i="16" s="1"/>
  <c r="M58" i="16" s="1"/>
  <c r="N58" i="16" s="1"/>
  <c r="O58" i="16" s="1"/>
  <c r="P58" i="16" s="1"/>
  <c r="Q58" i="16" s="1"/>
  <c r="R58" i="16" s="1"/>
  <c r="S58" i="16" s="1"/>
  <c r="T58" i="16" s="1"/>
  <c r="U58" i="16" s="1"/>
  <c r="V58" i="16" s="1"/>
  <c r="W58" i="16" s="1"/>
  <c r="X58" i="16" s="1"/>
  <c r="Y58" i="16" s="1"/>
  <c r="Z58" i="16" s="1"/>
  <c r="AA58" i="16" s="1"/>
  <c r="AB58" i="16" s="1"/>
  <c r="AC58" i="16" s="1"/>
  <c r="AD58" i="16" s="1"/>
  <c r="AE58" i="16" s="1"/>
  <c r="AF58" i="16" s="1"/>
  <c r="AG58" i="16" s="1"/>
  <c r="F58" i="16"/>
  <c r="E58" i="16"/>
  <c r="G57" i="16"/>
  <c r="H57" i="16" s="1"/>
  <c r="I57" i="16" s="1"/>
  <c r="J57" i="16" s="1"/>
  <c r="K57" i="16" s="1"/>
  <c r="L57" i="16" s="1"/>
  <c r="M57" i="16" s="1"/>
  <c r="N57" i="16" s="1"/>
  <c r="O57" i="16" s="1"/>
  <c r="P57" i="16" s="1"/>
  <c r="Q57" i="16" s="1"/>
  <c r="R57" i="16" s="1"/>
  <c r="S57" i="16" s="1"/>
  <c r="T57" i="16" s="1"/>
  <c r="U57" i="16" s="1"/>
  <c r="V57" i="16" s="1"/>
  <c r="W57" i="16" s="1"/>
  <c r="X57" i="16" s="1"/>
  <c r="Y57" i="16" s="1"/>
  <c r="Z57" i="16" s="1"/>
  <c r="AA57" i="16" s="1"/>
  <c r="AB57" i="16" s="1"/>
  <c r="AC57" i="16" s="1"/>
  <c r="AD57" i="16" s="1"/>
  <c r="AE57" i="16" s="1"/>
  <c r="AF57" i="16" s="1"/>
  <c r="AG57" i="16" s="1"/>
  <c r="F57" i="16"/>
  <c r="E57" i="16"/>
  <c r="G56" i="16"/>
  <c r="H56" i="16" s="1"/>
  <c r="I56" i="16" s="1"/>
  <c r="J56" i="16" s="1"/>
  <c r="K56" i="16" s="1"/>
  <c r="L56" i="16" s="1"/>
  <c r="M56" i="16" s="1"/>
  <c r="N56" i="16" s="1"/>
  <c r="O56" i="16" s="1"/>
  <c r="P56" i="16" s="1"/>
  <c r="Q56" i="16" s="1"/>
  <c r="R56" i="16" s="1"/>
  <c r="S56" i="16" s="1"/>
  <c r="T56" i="16" s="1"/>
  <c r="U56" i="16" s="1"/>
  <c r="V56" i="16" s="1"/>
  <c r="W56" i="16" s="1"/>
  <c r="X56" i="16" s="1"/>
  <c r="Y56" i="16" s="1"/>
  <c r="Z56" i="16" s="1"/>
  <c r="AA56" i="16" s="1"/>
  <c r="AB56" i="16" s="1"/>
  <c r="AC56" i="16" s="1"/>
  <c r="AD56" i="16" s="1"/>
  <c r="AE56" i="16" s="1"/>
  <c r="AF56" i="16" s="1"/>
  <c r="AG56" i="16" s="1"/>
  <c r="AH56" i="16" s="1"/>
  <c r="F56" i="16"/>
  <c r="E56" i="16"/>
  <c r="G55" i="16"/>
  <c r="H55" i="16" s="1"/>
  <c r="I55" i="16" s="1"/>
  <c r="J55" i="16" s="1"/>
  <c r="K55" i="16" s="1"/>
  <c r="L55" i="16" s="1"/>
  <c r="M55" i="16" s="1"/>
  <c r="N55" i="16" s="1"/>
  <c r="O55" i="16" s="1"/>
  <c r="P55" i="16" s="1"/>
  <c r="Q55" i="16" s="1"/>
  <c r="R55" i="16" s="1"/>
  <c r="S55" i="16" s="1"/>
  <c r="T55" i="16" s="1"/>
  <c r="U55" i="16" s="1"/>
  <c r="V55" i="16" s="1"/>
  <c r="W55" i="16" s="1"/>
  <c r="X55" i="16" s="1"/>
  <c r="Y55" i="16" s="1"/>
  <c r="Z55" i="16" s="1"/>
  <c r="AA55" i="16" s="1"/>
  <c r="AB55" i="16" s="1"/>
  <c r="AC55" i="16" s="1"/>
  <c r="AD55" i="16" s="1"/>
  <c r="AE55" i="16" s="1"/>
  <c r="AF55" i="16" s="1"/>
  <c r="AG55" i="16" s="1"/>
  <c r="F55" i="16"/>
  <c r="E55" i="16"/>
  <c r="G54" i="16"/>
  <c r="H54" i="16" s="1"/>
  <c r="I54" i="16" s="1"/>
  <c r="J54" i="16" s="1"/>
  <c r="K54" i="16" s="1"/>
  <c r="L54" i="16" s="1"/>
  <c r="M54" i="16" s="1"/>
  <c r="N54" i="16" s="1"/>
  <c r="O54" i="16" s="1"/>
  <c r="P54" i="16" s="1"/>
  <c r="Q54" i="16" s="1"/>
  <c r="R54" i="16" s="1"/>
  <c r="S54" i="16" s="1"/>
  <c r="T54" i="16" s="1"/>
  <c r="U54" i="16" s="1"/>
  <c r="V54" i="16" s="1"/>
  <c r="W54" i="16" s="1"/>
  <c r="X54" i="16" s="1"/>
  <c r="Y54" i="16" s="1"/>
  <c r="Z54" i="16" s="1"/>
  <c r="AA54" i="16" s="1"/>
  <c r="AB54" i="16" s="1"/>
  <c r="AC54" i="16" s="1"/>
  <c r="AD54" i="16" s="1"/>
  <c r="AE54" i="16" s="1"/>
  <c r="AF54" i="16" s="1"/>
  <c r="AG54" i="16" s="1"/>
  <c r="F54" i="16"/>
  <c r="E54" i="16"/>
  <c r="G53" i="16"/>
  <c r="H53" i="16" s="1"/>
  <c r="I53" i="16" s="1"/>
  <c r="J53" i="16" s="1"/>
  <c r="K53" i="16" s="1"/>
  <c r="L53" i="16" s="1"/>
  <c r="M53" i="16" s="1"/>
  <c r="N53" i="16" s="1"/>
  <c r="O53" i="16" s="1"/>
  <c r="P53" i="16" s="1"/>
  <c r="Q53" i="16" s="1"/>
  <c r="R53" i="16" s="1"/>
  <c r="S53" i="16" s="1"/>
  <c r="T53" i="16" s="1"/>
  <c r="U53" i="16" s="1"/>
  <c r="V53" i="16" s="1"/>
  <c r="W53" i="16" s="1"/>
  <c r="X53" i="16" s="1"/>
  <c r="Y53" i="16" s="1"/>
  <c r="Z53" i="16" s="1"/>
  <c r="AA53" i="16" s="1"/>
  <c r="AB53" i="16" s="1"/>
  <c r="AC53" i="16" s="1"/>
  <c r="AD53" i="16" s="1"/>
  <c r="AE53" i="16" s="1"/>
  <c r="AF53" i="16" s="1"/>
  <c r="AG53" i="16" s="1"/>
  <c r="F53" i="16"/>
  <c r="E53" i="16"/>
  <c r="G52" i="16"/>
  <c r="H52" i="16" s="1"/>
  <c r="I52" i="16" s="1"/>
  <c r="J52" i="16" s="1"/>
  <c r="K52" i="16" s="1"/>
  <c r="L52" i="16" s="1"/>
  <c r="M52" i="16" s="1"/>
  <c r="N52" i="16" s="1"/>
  <c r="O52" i="16" s="1"/>
  <c r="P52" i="16" s="1"/>
  <c r="Q52" i="16" s="1"/>
  <c r="R52" i="16" s="1"/>
  <c r="S52" i="16" s="1"/>
  <c r="T52" i="16" s="1"/>
  <c r="U52" i="16" s="1"/>
  <c r="V52" i="16" s="1"/>
  <c r="W52" i="16" s="1"/>
  <c r="X52" i="16" s="1"/>
  <c r="Y52" i="16" s="1"/>
  <c r="Z52" i="16" s="1"/>
  <c r="AA52" i="16" s="1"/>
  <c r="AB52" i="16" s="1"/>
  <c r="AC52" i="16" s="1"/>
  <c r="AD52" i="16" s="1"/>
  <c r="AE52" i="16" s="1"/>
  <c r="AF52" i="16" s="1"/>
  <c r="AG52" i="16" s="1"/>
  <c r="F52" i="16"/>
  <c r="E52" i="16"/>
  <c r="G51" i="16"/>
  <c r="H51" i="16" s="1"/>
  <c r="I51" i="16" s="1"/>
  <c r="J51" i="16" s="1"/>
  <c r="K51" i="16" s="1"/>
  <c r="L51" i="16" s="1"/>
  <c r="M51" i="16" s="1"/>
  <c r="N51" i="16" s="1"/>
  <c r="O51" i="16" s="1"/>
  <c r="P51" i="16" s="1"/>
  <c r="Q51" i="16" s="1"/>
  <c r="R51" i="16" s="1"/>
  <c r="S51" i="16" s="1"/>
  <c r="T51" i="16" s="1"/>
  <c r="U51" i="16" s="1"/>
  <c r="V51" i="16" s="1"/>
  <c r="W51" i="16" s="1"/>
  <c r="X51" i="16" s="1"/>
  <c r="Y51" i="16" s="1"/>
  <c r="Z51" i="16" s="1"/>
  <c r="AA51" i="16" s="1"/>
  <c r="AB51" i="16" s="1"/>
  <c r="AC51" i="16" s="1"/>
  <c r="AD51" i="16" s="1"/>
  <c r="AE51" i="16" s="1"/>
  <c r="AF51" i="16" s="1"/>
  <c r="AG51" i="16" s="1"/>
  <c r="F51" i="16"/>
  <c r="E51" i="16"/>
  <c r="G50" i="16"/>
  <c r="H50" i="16" s="1"/>
  <c r="I50" i="16" s="1"/>
  <c r="J50" i="16" s="1"/>
  <c r="K50" i="16" s="1"/>
  <c r="L50" i="16" s="1"/>
  <c r="M50" i="16" s="1"/>
  <c r="N50" i="16" s="1"/>
  <c r="O50" i="16" s="1"/>
  <c r="P50" i="16" s="1"/>
  <c r="Q50" i="16" s="1"/>
  <c r="R50" i="16" s="1"/>
  <c r="S50" i="16" s="1"/>
  <c r="T50" i="16" s="1"/>
  <c r="U50" i="16" s="1"/>
  <c r="V50" i="16" s="1"/>
  <c r="W50" i="16" s="1"/>
  <c r="X50" i="16" s="1"/>
  <c r="Y50" i="16" s="1"/>
  <c r="Z50" i="16" s="1"/>
  <c r="AA50" i="16" s="1"/>
  <c r="AB50" i="16" s="1"/>
  <c r="AC50" i="16" s="1"/>
  <c r="AD50" i="16" s="1"/>
  <c r="AE50" i="16" s="1"/>
  <c r="AF50" i="16" s="1"/>
  <c r="AG50" i="16" s="1"/>
  <c r="F50" i="16"/>
  <c r="E50" i="16"/>
  <c r="G49" i="16"/>
  <c r="H49" i="16" s="1"/>
  <c r="I49" i="16" s="1"/>
  <c r="J49" i="16" s="1"/>
  <c r="K49" i="16" s="1"/>
  <c r="L49" i="16" s="1"/>
  <c r="M49" i="16" s="1"/>
  <c r="N49" i="16" s="1"/>
  <c r="O49" i="16" s="1"/>
  <c r="P49" i="16" s="1"/>
  <c r="Q49" i="16" s="1"/>
  <c r="R49" i="16" s="1"/>
  <c r="S49" i="16" s="1"/>
  <c r="T49" i="16" s="1"/>
  <c r="U49" i="16" s="1"/>
  <c r="V49" i="16" s="1"/>
  <c r="W49" i="16" s="1"/>
  <c r="X49" i="16" s="1"/>
  <c r="Y49" i="16" s="1"/>
  <c r="Z49" i="16" s="1"/>
  <c r="AA49" i="16" s="1"/>
  <c r="AB49" i="16" s="1"/>
  <c r="AC49" i="16" s="1"/>
  <c r="AD49" i="16" s="1"/>
  <c r="AE49" i="16" s="1"/>
  <c r="AF49" i="16" s="1"/>
  <c r="AG49" i="16" s="1"/>
  <c r="F49" i="16"/>
  <c r="E49" i="16"/>
  <c r="G48" i="16"/>
  <c r="H48" i="16" s="1"/>
  <c r="I48" i="16" s="1"/>
  <c r="J48" i="16" s="1"/>
  <c r="K48" i="16" s="1"/>
  <c r="L48" i="16" s="1"/>
  <c r="M48" i="16" s="1"/>
  <c r="N48" i="16" s="1"/>
  <c r="O48" i="16" s="1"/>
  <c r="P48" i="16" s="1"/>
  <c r="Q48" i="16" s="1"/>
  <c r="R48" i="16" s="1"/>
  <c r="S48" i="16" s="1"/>
  <c r="T48" i="16" s="1"/>
  <c r="U48" i="16" s="1"/>
  <c r="V48" i="16" s="1"/>
  <c r="W48" i="16" s="1"/>
  <c r="X48" i="16" s="1"/>
  <c r="Y48" i="16" s="1"/>
  <c r="Z48" i="16" s="1"/>
  <c r="AA48" i="16" s="1"/>
  <c r="AB48" i="16" s="1"/>
  <c r="AC48" i="16" s="1"/>
  <c r="AD48" i="16" s="1"/>
  <c r="AE48" i="16" s="1"/>
  <c r="AF48" i="16" s="1"/>
  <c r="AG48" i="16" s="1"/>
  <c r="F48" i="16"/>
  <c r="E48" i="16"/>
  <c r="G39" i="16"/>
  <c r="H39" i="16" s="1"/>
  <c r="I39" i="16" s="1"/>
  <c r="J39" i="16" s="1"/>
  <c r="K39" i="16" s="1"/>
  <c r="L39" i="16" s="1"/>
  <c r="M39" i="16" s="1"/>
  <c r="N39" i="16" s="1"/>
  <c r="O39" i="16" s="1"/>
  <c r="P39" i="16" s="1"/>
  <c r="Q39" i="16" s="1"/>
  <c r="R39" i="16" s="1"/>
  <c r="S39" i="16" s="1"/>
  <c r="T39" i="16" s="1"/>
  <c r="U39" i="16" s="1"/>
  <c r="V39" i="16" s="1"/>
  <c r="W39" i="16" s="1"/>
  <c r="X39" i="16" s="1"/>
  <c r="Y39" i="16" s="1"/>
  <c r="Z39" i="16" s="1"/>
  <c r="AA39" i="16" s="1"/>
  <c r="AB39" i="16" s="1"/>
  <c r="AC39" i="16" s="1"/>
  <c r="AD39" i="16" s="1"/>
  <c r="AE39" i="16" s="1"/>
  <c r="AF39" i="16" s="1"/>
  <c r="AG39" i="16" s="1"/>
  <c r="F39" i="16"/>
  <c r="E39" i="16"/>
  <c r="G38" i="16"/>
  <c r="H38" i="16" s="1"/>
  <c r="I38" i="16" s="1"/>
  <c r="J38" i="16" s="1"/>
  <c r="K38" i="16" s="1"/>
  <c r="L38" i="16" s="1"/>
  <c r="M38" i="16" s="1"/>
  <c r="N38" i="16" s="1"/>
  <c r="O38" i="16" s="1"/>
  <c r="P38" i="16" s="1"/>
  <c r="Q38" i="16" s="1"/>
  <c r="R38" i="16" s="1"/>
  <c r="S38" i="16" s="1"/>
  <c r="T38" i="16" s="1"/>
  <c r="U38" i="16" s="1"/>
  <c r="V38" i="16" s="1"/>
  <c r="W38" i="16" s="1"/>
  <c r="X38" i="16" s="1"/>
  <c r="Y38" i="16" s="1"/>
  <c r="Z38" i="16" s="1"/>
  <c r="AA38" i="16" s="1"/>
  <c r="AB38" i="16" s="1"/>
  <c r="AC38" i="16" s="1"/>
  <c r="AD38" i="16" s="1"/>
  <c r="AE38" i="16" s="1"/>
  <c r="AF38" i="16" s="1"/>
  <c r="AG38" i="16" s="1"/>
  <c r="F38" i="16"/>
  <c r="E38" i="16"/>
  <c r="G37" i="16"/>
  <c r="H37" i="16" s="1"/>
  <c r="I37" i="16" s="1"/>
  <c r="J37" i="16" s="1"/>
  <c r="K37" i="16" s="1"/>
  <c r="L37" i="16" s="1"/>
  <c r="M37" i="16" s="1"/>
  <c r="N37" i="16" s="1"/>
  <c r="O37" i="16" s="1"/>
  <c r="P37" i="16" s="1"/>
  <c r="Q37" i="16" s="1"/>
  <c r="R37" i="16" s="1"/>
  <c r="S37" i="16" s="1"/>
  <c r="T37" i="16" s="1"/>
  <c r="U37" i="16" s="1"/>
  <c r="V37" i="16" s="1"/>
  <c r="W37" i="16" s="1"/>
  <c r="X37" i="16" s="1"/>
  <c r="Y37" i="16" s="1"/>
  <c r="Z37" i="16" s="1"/>
  <c r="AA37" i="16" s="1"/>
  <c r="AB37" i="16" s="1"/>
  <c r="AC37" i="16" s="1"/>
  <c r="AD37" i="16" s="1"/>
  <c r="AE37" i="16" s="1"/>
  <c r="AF37" i="16" s="1"/>
  <c r="AG37" i="16" s="1"/>
  <c r="AH37" i="16" s="1"/>
  <c r="AI37" i="16" s="1"/>
  <c r="F37" i="16"/>
  <c r="E37" i="16"/>
  <c r="G36" i="16"/>
  <c r="H36" i="16" s="1"/>
  <c r="I36" i="16" s="1"/>
  <c r="J36" i="16" s="1"/>
  <c r="K36" i="16" s="1"/>
  <c r="L36" i="16" s="1"/>
  <c r="M36" i="16" s="1"/>
  <c r="N36" i="16" s="1"/>
  <c r="O36" i="16" s="1"/>
  <c r="P36" i="16" s="1"/>
  <c r="Q36" i="16" s="1"/>
  <c r="R36" i="16" s="1"/>
  <c r="S36" i="16" s="1"/>
  <c r="T36" i="16" s="1"/>
  <c r="U36" i="16" s="1"/>
  <c r="V36" i="16" s="1"/>
  <c r="W36" i="16" s="1"/>
  <c r="X36" i="16" s="1"/>
  <c r="Y36" i="16" s="1"/>
  <c r="Z36" i="16" s="1"/>
  <c r="AA36" i="16" s="1"/>
  <c r="AB36" i="16" s="1"/>
  <c r="AC36" i="16" s="1"/>
  <c r="AD36" i="16" s="1"/>
  <c r="AE36" i="16" s="1"/>
  <c r="AF36" i="16" s="1"/>
  <c r="AG36" i="16" s="1"/>
  <c r="F36" i="16"/>
  <c r="E36" i="16"/>
  <c r="G35" i="16"/>
  <c r="H35" i="16" s="1"/>
  <c r="I35" i="16" s="1"/>
  <c r="J35" i="16" s="1"/>
  <c r="K35" i="16" s="1"/>
  <c r="L35" i="16" s="1"/>
  <c r="M35" i="16" s="1"/>
  <c r="N35" i="16" s="1"/>
  <c r="O35" i="16" s="1"/>
  <c r="P35" i="16" s="1"/>
  <c r="Q35" i="16" s="1"/>
  <c r="R35" i="16" s="1"/>
  <c r="S35" i="16" s="1"/>
  <c r="T35" i="16" s="1"/>
  <c r="U35" i="16" s="1"/>
  <c r="V35" i="16" s="1"/>
  <c r="W35" i="16" s="1"/>
  <c r="X35" i="16" s="1"/>
  <c r="Y35" i="16" s="1"/>
  <c r="Z35" i="16" s="1"/>
  <c r="AA35" i="16" s="1"/>
  <c r="AB35" i="16" s="1"/>
  <c r="AC35" i="16" s="1"/>
  <c r="AD35" i="16" s="1"/>
  <c r="AE35" i="16" s="1"/>
  <c r="AF35" i="16" s="1"/>
  <c r="AG35" i="16" s="1"/>
  <c r="F35" i="16"/>
  <c r="E35" i="16"/>
  <c r="G34" i="16"/>
  <c r="H34" i="16" s="1"/>
  <c r="I34" i="16" s="1"/>
  <c r="J34" i="16" s="1"/>
  <c r="K34" i="16" s="1"/>
  <c r="L34" i="16" s="1"/>
  <c r="M34" i="16" s="1"/>
  <c r="N34" i="16" s="1"/>
  <c r="O34" i="16" s="1"/>
  <c r="P34" i="16" s="1"/>
  <c r="Q34" i="16" s="1"/>
  <c r="R34" i="16" s="1"/>
  <c r="S34" i="16" s="1"/>
  <c r="T34" i="16" s="1"/>
  <c r="U34" i="16" s="1"/>
  <c r="V34" i="16" s="1"/>
  <c r="W34" i="16" s="1"/>
  <c r="X34" i="16" s="1"/>
  <c r="Y34" i="16" s="1"/>
  <c r="Z34" i="16" s="1"/>
  <c r="AA34" i="16" s="1"/>
  <c r="AB34" i="16" s="1"/>
  <c r="AC34" i="16" s="1"/>
  <c r="AD34" i="16" s="1"/>
  <c r="AE34" i="16" s="1"/>
  <c r="AF34" i="16" s="1"/>
  <c r="AG34" i="16" s="1"/>
  <c r="F34" i="16"/>
  <c r="E34" i="16"/>
  <c r="G33" i="16"/>
  <c r="H33" i="16" s="1"/>
  <c r="I33" i="16" s="1"/>
  <c r="J33" i="16" s="1"/>
  <c r="K33" i="16" s="1"/>
  <c r="L33" i="16" s="1"/>
  <c r="M33" i="16" s="1"/>
  <c r="N33" i="16" s="1"/>
  <c r="O33" i="16" s="1"/>
  <c r="P33" i="16" s="1"/>
  <c r="Q33" i="16" s="1"/>
  <c r="R33" i="16" s="1"/>
  <c r="S33" i="16" s="1"/>
  <c r="T33" i="16" s="1"/>
  <c r="U33" i="16" s="1"/>
  <c r="V33" i="16" s="1"/>
  <c r="W33" i="16" s="1"/>
  <c r="X33" i="16" s="1"/>
  <c r="Y33" i="16" s="1"/>
  <c r="Z33" i="16" s="1"/>
  <c r="AA33" i="16" s="1"/>
  <c r="AB33" i="16" s="1"/>
  <c r="AC33" i="16" s="1"/>
  <c r="AD33" i="16" s="1"/>
  <c r="AE33" i="16" s="1"/>
  <c r="AF33" i="16" s="1"/>
  <c r="AG33" i="16" s="1"/>
  <c r="F33" i="16"/>
  <c r="E33" i="16"/>
  <c r="G32" i="16"/>
  <c r="H32" i="16" s="1"/>
  <c r="I32" i="16" s="1"/>
  <c r="J32" i="16" s="1"/>
  <c r="K32" i="16" s="1"/>
  <c r="L32" i="16" s="1"/>
  <c r="M32" i="16" s="1"/>
  <c r="N32" i="16" s="1"/>
  <c r="O32" i="16" s="1"/>
  <c r="P32" i="16" s="1"/>
  <c r="Q32" i="16" s="1"/>
  <c r="R32" i="16" s="1"/>
  <c r="S32" i="16" s="1"/>
  <c r="T32" i="16" s="1"/>
  <c r="U32" i="16" s="1"/>
  <c r="V32" i="16" s="1"/>
  <c r="W32" i="16" s="1"/>
  <c r="X32" i="16" s="1"/>
  <c r="Y32" i="16" s="1"/>
  <c r="Z32" i="16" s="1"/>
  <c r="AA32" i="16" s="1"/>
  <c r="AB32" i="16" s="1"/>
  <c r="AC32" i="16" s="1"/>
  <c r="AD32" i="16" s="1"/>
  <c r="AE32" i="16" s="1"/>
  <c r="AF32" i="16" s="1"/>
  <c r="AG32" i="16" s="1"/>
  <c r="F32" i="16"/>
  <c r="E32" i="16"/>
  <c r="G31" i="16"/>
  <c r="H31" i="16" s="1"/>
  <c r="I31" i="16" s="1"/>
  <c r="J31" i="16" s="1"/>
  <c r="K31" i="16" s="1"/>
  <c r="L31" i="16" s="1"/>
  <c r="M31" i="16" s="1"/>
  <c r="N31" i="16" s="1"/>
  <c r="O31" i="16" s="1"/>
  <c r="P31" i="16" s="1"/>
  <c r="Q31" i="16" s="1"/>
  <c r="R31" i="16" s="1"/>
  <c r="S31" i="16" s="1"/>
  <c r="T31" i="16" s="1"/>
  <c r="U31" i="16" s="1"/>
  <c r="V31" i="16" s="1"/>
  <c r="W31" i="16" s="1"/>
  <c r="X31" i="16" s="1"/>
  <c r="Y31" i="16" s="1"/>
  <c r="Z31" i="16" s="1"/>
  <c r="AA31" i="16" s="1"/>
  <c r="AB31" i="16" s="1"/>
  <c r="AC31" i="16" s="1"/>
  <c r="AD31" i="16" s="1"/>
  <c r="AE31" i="16" s="1"/>
  <c r="AF31" i="16" s="1"/>
  <c r="AG31" i="16" s="1"/>
  <c r="F31" i="16"/>
  <c r="E31" i="16"/>
  <c r="G30" i="16"/>
  <c r="H30" i="16" s="1"/>
  <c r="I30" i="16" s="1"/>
  <c r="J30" i="16" s="1"/>
  <c r="K30" i="16" s="1"/>
  <c r="L30" i="16" s="1"/>
  <c r="M30" i="16" s="1"/>
  <c r="N30" i="16" s="1"/>
  <c r="O30" i="16" s="1"/>
  <c r="P30" i="16" s="1"/>
  <c r="Q30" i="16" s="1"/>
  <c r="R30" i="16" s="1"/>
  <c r="S30" i="16" s="1"/>
  <c r="T30" i="16" s="1"/>
  <c r="U30" i="16" s="1"/>
  <c r="V30" i="16" s="1"/>
  <c r="W30" i="16" s="1"/>
  <c r="X30" i="16" s="1"/>
  <c r="Y30" i="16" s="1"/>
  <c r="Z30" i="16" s="1"/>
  <c r="AA30" i="16" s="1"/>
  <c r="AB30" i="16" s="1"/>
  <c r="AC30" i="16" s="1"/>
  <c r="AD30" i="16" s="1"/>
  <c r="AE30" i="16" s="1"/>
  <c r="AF30" i="16" s="1"/>
  <c r="AG30" i="16" s="1"/>
  <c r="F30" i="16"/>
  <c r="E30" i="16"/>
  <c r="H29" i="16"/>
  <c r="I29" i="16" s="1"/>
  <c r="J29" i="16" s="1"/>
  <c r="K29" i="16" s="1"/>
  <c r="L29" i="16" s="1"/>
  <c r="M29" i="16" s="1"/>
  <c r="N29" i="16" s="1"/>
  <c r="O29" i="16" s="1"/>
  <c r="P29" i="16" s="1"/>
  <c r="Q29" i="16" s="1"/>
  <c r="R29" i="16" s="1"/>
  <c r="S29" i="16" s="1"/>
  <c r="T29" i="16" s="1"/>
  <c r="U29" i="16" s="1"/>
  <c r="V29" i="16" s="1"/>
  <c r="W29" i="16" s="1"/>
  <c r="X29" i="16" s="1"/>
  <c r="Y29" i="16" s="1"/>
  <c r="Z29" i="16" s="1"/>
  <c r="AA29" i="16" s="1"/>
  <c r="AB29" i="16" s="1"/>
  <c r="AC29" i="16" s="1"/>
  <c r="AD29" i="16" s="1"/>
  <c r="AE29" i="16" s="1"/>
  <c r="AF29" i="16" s="1"/>
  <c r="AG29" i="16" s="1"/>
  <c r="G29" i="16"/>
  <c r="F29" i="16"/>
  <c r="E29" i="16"/>
  <c r="F19" i="16"/>
  <c r="E19" i="16"/>
  <c r="D19" i="16"/>
  <c r="F18" i="16"/>
  <c r="E18" i="16"/>
  <c r="D18" i="16"/>
  <c r="G18" i="16" s="1"/>
  <c r="H18" i="16" s="1"/>
  <c r="I18" i="16" s="1"/>
  <c r="J18" i="16" s="1"/>
  <c r="K18" i="16" s="1"/>
  <c r="L18" i="16" s="1"/>
  <c r="M18" i="16" s="1"/>
  <c r="N18" i="16" s="1"/>
  <c r="O18" i="16" s="1"/>
  <c r="P18" i="16" s="1"/>
  <c r="Q18" i="16" s="1"/>
  <c r="R18" i="16" s="1"/>
  <c r="S18" i="16" s="1"/>
  <c r="T18" i="16" s="1"/>
  <c r="U18" i="16" s="1"/>
  <c r="V18" i="16" s="1"/>
  <c r="W18" i="16" s="1"/>
  <c r="X18" i="16" s="1"/>
  <c r="Y18" i="16" s="1"/>
  <c r="Z18" i="16" s="1"/>
  <c r="AA18" i="16" s="1"/>
  <c r="AB18" i="16" s="1"/>
  <c r="AC18" i="16" s="1"/>
  <c r="AD18" i="16" s="1"/>
  <c r="AE18" i="16" s="1"/>
  <c r="AF18" i="16" s="1"/>
  <c r="AG18" i="16" s="1"/>
  <c r="F17" i="16"/>
  <c r="E17" i="16"/>
  <c r="D17" i="16"/>
  <c r="F16" i="16"/>
  <c r="E16" i="16"/>
  <c r="D16" i="16"/>
  <c r="F15" i="16"/>
  <c r="E15" i="16"/>
  <c r="D15" i="16"/>
  <c r="G15" i="16" s="1"/>
  <c r="H15" i="16" s="1"/>
  <c r="I15" i="16" s="1"/>
  <c r="J15" i="16" s="1"/>
  <c r="K15" i="16" s="1"/>
  <c r="L15" i="16" s="1"/>
  <c r="M15" i="16" s="1"/>
  <c r="N15" i="16" s="1"/>
  <c r="O15" i="16" s="1"/>
  <c r="P15" i="16" s="1"/>
  <c r="Q15" i="16" s="1"/>
  <c r="R15" i="16" s="1"/>
  <c r="S15" i="16" s="1"/>
  <c r="T15" i="16" s="1"/>
  <c r="U15" i="16" s="1"/>
  <c r="V15" i="16" s="1"/>
  <c r="W15" i="16" s="1"/>
  <c r="X15" i="16" s="1"/>
  <c r="Y15" i="16" s="1"/>
  <c r="Z15" i="16" s="1"/>
  <c r="AA15" i="16" s="1"/>
  <c r="AB15" i="16" s="1"/>
  <c r="AC15" i="16" s="1"/>
  <c r="AD15" i="16" s="1"/>
  <c r="AE15" i="16" s="1"/>
  <c r="AF15" i="16" s="1"/>
  <c r="AG15" i="16" s="1"/>
  <c r="F14" i="16"/>
  <c r="E14" i="16"/>
  <c r="D14" i="16"/>
  <c r="G14" i="16" s="1"/>
  <c r="H14" i="16" s="1"/>
  <c r="I14" i="16" s="1"/>
  <c r="J14" i="16" s="1"/>
  <c r="K14" i="16" s="1"/>
  <c r="L14" i="16" s="1"/>
  <c r="M14" i="16" s="1"/>
  <c r="N14" i="16" s="1"/>
  <c r="O14" i="16" s="1"/>
  <c r="P14" i="16" s="1"/>
  <c r="Q14" i="16" s="1"/>
  <c r="R14" i="16" s="1"/>
  <c r="S14" i="16" s="1"/>
  <c r="T14" i="16" s="1"/>
  <c r="U14" i="16" s="1"/>
  <c r="V14" i="16" s="1"/>
  <c r="W14" i="16" s="1"/>
  <c r="X14" i="16" s="1"/>
  <c r="Y14" i="16" s="1"/>
  <c r="Z14" i="16" s="1"/>
  <c r="AA14" i="16" s="1"/>
  <c r="AB14" i="16" s="1"/>
  <c r="AC14" i="16" s="1"/>
  <c r="AD14" i="16" s="1"/>
  <c r="AE14" i="16" s="1"/>
  <c r="AF14" i="16" s="1"/>
  <c r="AG14" i="16" s="1"/>
  <c r="F13" i="16"/>
  <c r="E13" i="16"/>
  <c r="D13" i="16"/>
  <c r="F12" i="16"/>
  <c r="E12" i="16"/>
  <c r="D12" i="16"/>
  <c r="F11" i="16"/>
  <c r="E11" i="16"/>
  <c r="D11" i="16"/>
  <c r="F10" i="16"/>
  <c r="E10" i="16"/>
  <c r="D10" i="16"/>
  <c r="F9" i="16"/>
  <c r="E9" i="16"/>
  <c r="D9" i="16"/>
  <c r="I26" i="15"/>
  <c r="H26" i="15"/>
  <c r="G26" i="15"/>
  <c r="F26" i="15"/>
  <c r="E26" i="15"/>
  <c r="D26" i="15"/>
  <c r="C26" i="15"/>
  <c r="I25" i="15"/>
  <c r="H25" i="15"/>
  <c r="G25" i="15"/>
  <c r="F25" i="15"/>
  <c r="E25" i="15"/>
  <c r="D25" i="15"/>
  <c r="C25" i="15"/>
  <c r="I24" i="15"/>
  <c r="H24" i="15"/>
  <c r="G24" i="15"/>
  <c r="F24" i="15"/>
  <c r="E24" i="15"/>
  <c r="D24" i="15"/>
  <c r="C24" i="15"/>
  <c r="I23" i="15"/>
  <c r="H23" i="15"/>
  <c r="G23" i="15"/>
  <c r="F23" i="15"/>
  <c r="E23" i="15"/>
  <c r="D23" i="15"/>
  <c r="C23" i="15"/>
  <c r="I22" i="15"/>
  <c r="H22" i="15"/>
  <c r="G22" i="15"/>
  <c r="F22" i="15"/>
  <c r="E22" i="15"/>
  <c r="D22" i="15"/>
  <c r="C22" i="15"/>
  <c r="I21" i="15"/>
  <c r="H21" i="15"/>
  <c r="G21" i="15"/>
  <c r="F21" i="15"/>
  <c r="E21" i="15"/>
  <c r="D21" i="15"/>
  <c r="C21" i="15"/>
  <c r="I20" i="15"/>
  <c r="H20" i="15"/>
  <c r="G20" i="15"/>
  <c r="F20" i="15"/>
  <c r="E20" i="15"/>
  <c r="D20" i="15"/>
  <c r="C20" i="15"/>
  <c r="I19" i="15"/>
  <c r="H19" i="15"/>
  <c r="G19" i="15"/>
  <c r="F19" i="15"/>
  <c r="E19" i="15"/>
  <c r="D19" i="15"/>
  <c r="C19" i="15"/>
  <c r="I18" i="15"/>
  <c r="H18" i="15"/>
  <c r="G18" i="15"/>
  <c r="F18" i="15"/>
  <c r="E18" i="15"/>
  <c r="D18" i="15"/>
  <c r="C18" i="15"/>
  <c r="I17" i="15"/>
  <c r="H17" i="15"/>
  <c r="G17" i="15"/>
  <c r="F17" i="15"/>
  <c r="E17" i="15"/>
  <c r="D17" i="15"/>
  <c r="C17" i="15"/>
  <c r="I16" i="15"/>
  <c r="H16" i="15"/>
  <c r="G16" i="15"/>
  <c r="F16" i="15"/>
  <c r="E16" i="15"/>
  <c r="D16" i="15"/>
  <c r="C16" i="15"/>
  <c r="I15" i="15"/>
  <c r="H15" i="15"/>
  <c r="G15" i="15"/>
  <c r="F15" i="15"/>
  <c r="E15" i="15"/>
  <c r="D15" i="15"/>
  <c r="C15" i="15"/>
  <c r="I14" i="15"/>
  <c r="H14" i="15"/>
  <c r="G14" i="15"/>
  <c r="F14" i="15"/>
  <c r="E14" i="15"/>
  <c r="D14" i="15"/>
  <c r="C14" i="15"/>
  <c r="I13" i="15"/>
  <c r="H13" i="15"/>
  <c r="G13" i="15"/>
  <c r="F13" i="15"/>
  <c r="E13" i="15"/>
  <c r="D13" i="15"/>
  <c r="C13" i="15"/>
  <c r="I12" i="15"/>
  <c r="H12" i="15"/>
  <c r="G12" i="15"/>
  <c r="F12" i="15"/>
  <c r="E12" i="15"/>
  <c r="D12" i="15"/>
  <c r="C12" i="15"/>
  <c r="I11" i="15"/>
  <c r="H11" i="15"/>
  <c r="G11" i="15"/>
  <c r="F11" i="15"/>
  <c r="E11" i="15"/>
  <c r="D11" i="15"/>
  <c r="C11" i="15"/>
  <c r="I10" i="15"/>
  <c r="H10" i="15"/>
  <c r="G10" i="15"/>
  <c r="F10" i="15"/>
  <c r="E10" i="15"/>
  <c r="D10" i="15"/>
  <c r="C10" i="15"/>
  <c r="I9" i="15"/>
  <c r="H9" i="15"/>
  <c r="G9" i="15"/>
  <c r="F9" i="15"/>
  <c r="E9" i="15"/>
  <c r="D9" i="15"/>
  <c r="C9" i="15"/>
  <c r="I8" i="15"/>
  <c r="H8" i="15"/>
  <c r="G8" i="15"/>
  <c r="F8" i="15"/>
  <c r="E8" i="15"/>
  <c r="D8" i="15"/>
  <c r="C8" i="15"/>
  <c r="I7" i="15"/>
  <c r="H7" i="15"/>
  <c r="G7" i="15"/>
  <c r="F7" i="15"/>
  <c r="E7" i="15"/>
  <c r="D7" i="15"/>
  <c r="C7" i="15"/>
  <c r="I6" i="15"/>
  <c r="H6" i="15"/>
  <c r="G6" i="15"/>
  <c r="F6" i="15"/>
  <c r="E6" i="15"/>
  <c r="D6" i="15"/>
  <c r="C6" i="15"/>
  <c r="I5" i="15"/>
  <c r="H5" i="15"/>
  <c r="G5" i="15"/>
  <c r="F5" i="15"/>
  <c r="E5" i="15"/>
  <c r="D5" i="15"/>
  <c r="C5" i="15"/>
  <c r="I4" i="15"/>
  <c r="H4" i="15"/>
  <c r="G4" i="15"/>
  <c r="F4" i="15"/>
  <c r="E4" i="15"/>
  <c r="D4" i="15"/>
  <c r="C4" i="15"/>
  <c r="I3" i="15"/>
  <c r="H3" i="15"/>
  <c r="G3" i="15"/>
  <c r="F3" i="15"/>
  <c r="E3" i="15"/>
  <c r="D3" i="15"/>
  <c r="C3" i="15"/>
  <c r="I2" i="15"/>
  <c r="H2" i="15"/>
  <c r="G2" i="15"/>
  <c r="F2" i="15"/>
  <c r="E2" i="15"/>
  <c r="E27" i="15" s="1"/>
  <c r="D2" i="15"/>
  <c r="C2" i="15"/>
  <c r="AD26" i="12"/>
  <c r="AD26" i="15" s="1"/>
  <c r="AC26" i="12"/>
  <c r="AC26" i="15" s="1"/>
  <c r="AB26" i="12"/>
  <c r="AB26" i="15" s="1"/>
  <c r="AA26" i="12"/>
  <c r="AA26" i="15" s="1"/>
  <c r="Z26" i="12"/>
  <c r="Z26" i="15" s="1"/>
  <c r="Y26" i="12"/>
  <c r="Y26" i="15" s="1"/>
  <c r="X26" i="12"/>
  <c r="X26" i="15" s="1"/>
  <c r="W26" i="12"/>
  <c r="W26" i="15" s="1"/>
  <c r="V26" i="12"/>
  <c r="V26" i="15" s="1"/>
  <c r="U26" i="12"/>
  <c r="U26" i="15" s="1"/>
  <c r="T26" i="12"/>
  <c r="T26" i="15" s="1"/>
  <c r="S26" i="12"/>
  <c r="S26" i="15" s="1"/>
  <c r="R26" i="12"/>
  <c r="R26" i="15" s="1"/>
  <c r="Q26" i="12"/>
  <c r="Q26" i="15" s="1"/>
  <c r="P26" i="12"/>
  <c r="P26" i="15" s="1"/>
  <c r="O26" i="12"/>
  <c r="O26" i="15" s="1"/>
  <c r="N26" i="12"/>
  <c r="N26" i="15" s="1"/>
  <c r="M26" i="12"/>
  <c r="M26" i="15" s="1"/>
  <c r="L26" i="12"/>
  <c r="L26" i="15" s="1"/>
  <c r="K26" i="12"/>
  <c r="K26" i="15" s="1"/>
  <c r="J26" i="12"/>
  <c r="J26" i="15" s="1"/>
  <c r="AD25" i="12"/>
  <c r="AD25" i="15" s="1"/>
  <c r="AC25" i="12"/>
  <c r="AC25" i="15" s="1"/>
  <c r="AB25" i="12"/>
  <c r="AB25" i="15" s="1"/>
  <c r="AA25" i="12"/>
  <c r="AA25" i="15" s="1"/>
  <c r="Z25" i="12"/>
  <c r="Z25" i="15" s="1"/>
  <c r="Y25" i="12"/>
  <c r="Y25" i="15" s="1"/>
  <c r="X25" i="12"/>
  <c r="X25" i="15" s="1"/>
  <c r="W25" i="12"/>
  <c r="W25" i="15" s="1"/>
  <c r="V25" i="12"/>
  <c r="V25" i="15" s="1"/>
  <c r="U25" i="12"/>
  <c r="U25" i="15" s="1"/>
  <c r="T25" i="12"/>
  <c r="T25" i="15" s="1"/>
  <c r="S25" i="12"/>
  <c r="S25" i="15" s="1"/>
  <c r="R25" i="12"/>
  <c r="R25" i="15" s="1"/>
  <c r="Q25" i="12"/>
  <c r="Q25" i="15" s="1"/>
  <c r="P25" i="12"/>
  <c r="P25" i="15" s="1"/>
  <c r="O25" i="12"/>
  <c r="O25" i="15" s="1"/>
  <c r="N25" i="12"/>
  <c r="N25" i="15" s="1"/>
  <c r="M25" i="12"/>
  <c r="M25" i="15" s="1"/>
  <c r="L25" i="12"/>
  <c r="L25" i="15" s="1"/>
  <c r="K25" i="12"/>
  <c r="K25" i="15" s="1"/>
  <c r="J25" i="12"/>
  <c r="J25" i="15" s="1"/>
  <c r="AD24" i="12"/>
  <c r="AD24" i="15" s="1"/>
  <c r="AC24" i="12"/>
  <c r="AC24" i="15" s="1"/>
  <c r="AB24" i="12"/>
  <c r="AB24" i="15" s="1"/>
  <c r="AA24" i="12"/>
  <c r="AA24" i="15" s="1"/>
  <c r="Z24" i="12"/>
  <c r="Z24" i="15" s="1"/>
  <c r="Y24" i="12"/>
  <c r="Y24" i="15" s="1"/>
  <c r="X24" i="12"/>
  <c r="X24" i="15" s="1"/>
  <c r="W24" i="12"/>
  <c r="W24" i="15" s="1"/>
  <c r="V24" i="12"/>
  <c r="V24" i="15" s="1"/>
  <c r="U24" i="12"/>
  <c r="U24" i="15" s="1"/>
  <c r="T24" i="12"/>
  <c r="T24" i="15" s="1"/>
  <c r="S24" i="12"/>
  <c r="S24" i="15" s="1"/>
  <c r="R24" i="12"/>
  <c r="R24" i="15" s="1"/>
  <c r="Q24" i="12"/>
  <c r="Q24" i="15" s="1"/>
  <c r="P24" i="12"/>
  <c r="P24" i="15" s="1"/>
  <c r="O24" i="12"/>
  <c r="O24" i="15" s="1"/>
  <c r="N24" i="12"/>
  <c r="N24" i="15" s="1"/>
  <c r="M24" i="12"/>
  <c r="M24" i="15" s="1"/>
  <c r="L24" i="12"/>
  <c r="L24" i="15" s="1"/>
  <c r="K24" i="12"/>
  <c r="K24" i="15" s="1"/>
  <c r="J24" i="12"/>
  <c r="J24" i="15" s="1"/>
  <c r="AD23" i="12"/>
  <c r="AD23" i="15" s="1"/>
  <c r="AC23" i="12"/>
  <c r="AC23" i="15" s="1"/>
  <c r="AB23" i="12"/>
  <c r="AB23" i="15" s="1"/>
  <c r="AA23" i="12"/>
  <c r="AA23" i="15" s="1"/>
  <c r="Z23" i="12"/>
  <c r="Z23" i="15" s="1"/>
  <c r="Y23" i="12"/>
  <c r="Y23" i="15" s="1"/>
  <c r="X23" i="12"/>
  <c r="X23" i="15" s="1"/>
  <c r="W23" i="12"/>
  <c r="W23" i="15" s="1"/>
  <c r="V23" i="12"/>
  <c r="V23" i="15" s="1"/>
  <c r="U23" i="12"/>
  <c r="U23" i="15" s="1"/>
  <c r="T23" i="12"/>
  <c r="T23" i="15" s="1"/>
  <c r="S23" i="12"/>
  <c r="S23" i="15" s="1"/>
  <c r="R23" i="12"/>
  <c r="R23" i="15" s="1"/>
  <c r="Q23" i="12"/>
  <c r="Q23" i="15" s="1"/>
  <c r="P23" i="12"/>
  <c r="P23" i="15" s="1"/>
  <c r="O23" i="12"/>
  <c r="O23" i="15" s="1"/>
  <c r="N23" i="12"/>
  <c r="N23" i="15" s="1"/>
  <c r="M23" i="12"/>
  <c r="M23" i="15" s="1"/>
  <c r="L23" i="12"/>
  <c r="L23" i="15" s="1"/>
  <c r="K23" i="12"/>
  <c r="K23" i="15" s="1"/>
  <c r="J23" i="12"/>
  <c r="J23" i="15" s="1"/>
  <c r="AD22" i="12"/>
  <c r="AD22" i="15" s="1"/>
  <c r="AC22" i="12"/>
  <c r="AC22" i="15" s="1"/>
  <c r="AB22" i="12"/>
  <c r="AB22" i="15" s="1"/>
  <c r="AA22" i="12"/>
  <c r="AA22" i="15" s="1"/>
  <c r="Z22" i="12"/>
  <c r="Z22" i="15" s="1"/>
  <c r="Y22" i="12"/>
  <c r="Y22" i="15" s="1"/>
  <c r="X22" i="12"/>
  <c r="X22" i="15" s="1"/>
  <c r="W22" i="12"/>
  <c r="W22" i="15" s="1"/>
  <c r="V22" i="12"/>
  <c r="V22" i="15" s="1"/>
  <c r="U22" i="12"/>
  <c r="U22" i="15" s="1"/>
  <c r="T22" i="12"/>
  <c r="T22" i="15" s="1"/>
  <c r="S22" i="12"/>
  <c r="S22" i="15" s="1"/>
  <c r="R22" i="12"/>
  <c r="R22" i="15" s="1"/>
  <c r="Q22" i="12"/>
  <c r="Q22" i="15" s="1"/>
  <c r="P22" i="12"/>
  <c r="P22" i="15" s="1"/>
  <c r="O22" i="12"/>
  <c r="O22" i="15" s="1"/>
  <c r="N22" i="12"/>
  <c r="N22" i="15" s="1"/>
  <c r="M22" i="12"/>
  <c r="M22" i="15" s="1"/>
  <c r="L22" i="12"/>
  <c r="L22" i="15" s="1"/>
  <c r="K22" i="12"/>
  <c r="K22" i="15" s="1"/>
  <c r="J22" i="12"/>
  <c r="J22" i="15" s="1"/>
  <c r="AD21" i="12"/>
  <c r="AD21" i="15" s="1"/>
  <c r="AC21" i="12"/>
  <c r="AC21" i="15" s="1"/>
  <c r="AB21" i="12"/>
  <c r="AB21" i="15" s="1"/>
  <c r="AA21" i="12"/>
  <c r="AA21" i="15" s="1"/>
  <c r="Z21" i="12"/>
  <c r="Z21" i="15" s="1"/>
  <c r="Y21" i="12"/>
  <c r="Y21" i="15" s="1"/>
  <c r="X21" i="12"/>
  <c r="X21" i="15" s="1"/>
  <c r="W21" i="12"/>
  <c r="W21" i="15" s="1"/>
  <c r="V21" i="12"/>
  <c r="V21" i="15" s="1"/>
  <c r="U21" i="12"/>
  <c r="U21" i="15" s="1"/>
  <c r="T21" i="12"/>
  <c r="T21" i="15" s="1"/>
  <c r="S21" i="12"/>
  <c r="S21" i="15" s="1"/>
  <c r="R21" i="12"/>
  <c r="R21" i="15" s="1"/>
  <c r="Q21" i="12"/>
  <c r="Q21" i="15" s="1"/>
  <c r="P21" i="12"/>
  <c r="P21" i="15" s="1"/>
  <c r="O21" i="12"/>
  <c r="O21" i="15" s="1"/>
  <c r="N21" i="12"/>
  <c r="N21" i="15" s="1"/>
  <c r="M21" i="12"/>
  <c r="M21" i="15" s="1"/>
  <c r="L21" i="12"/>
  <c r="L21" i="15" s="1"/>
  <c r="K21" i="12"/>
  <c r="K21" i="15" s="1"/>
  <c r="J21" i="12"/>
  <c r="J21" i="15" s="1"/>
  <c r="AD20" i="12"/>
  <c r="AD20" i="15" s="1"/>
  <c r="AC20" i="12"/>
  <c r="AC20" i="15" s="1"/>
  <c r="AB20" i="12"/>
  <c r="AB20" i="15" s="1"/>
  <c r="AA20" i="12"/>
  <c r="AA20" i="15" s="1"/>
  <c r="Z20" i="12"/>
  <c r="Z20" i="15" s="1"/>
  <c r="Y20" i="12"/>
  <c r="Y20" i="15" s="1"/>
  <c r="X20" i="12"/>
  <c r="X20" i="15" s="1"/>
  <c r="W20" i="12"/>
  <c r="W20" i="15" s="1"/>
  <c r="V20" i="12"/>
  <c r="V20" i="15" s="1"/>
  <c r="U20" i="12"/>
  <c r="U20" i="15" s="1"/>
  <c r="T20" i="12"/>
  <c r="T20" i="15" s="1"/>
  <c r="S20" i="12"/>
  <c r="S20" i="15" s="1"/>
  <c r="R20" i="12"/>
  <c r="R20" i="15" s="1"/>
  <c r="Q20" i="12"/>
  <c r="Q20" i="15" s="1"/>
  <c r="P20" i="12"/>
  <c r="P20" i="15" s="1"/>
  <c r="O20" i="12"/>
  <c r="O20" i="15" s="1"/>
  <c r="N20" i="12"/>
  <c r="N20" i="15" s="1"/>
  <c r="M20" i="12"/>
  <c r="M20" i="15" s="1"/>
  <c r="L20" i="12"/>
  <c r="L20" i="15" s="1"/>
  <c r="K20" i="12"/>
  <c r="K20" i="15" s="1"/>
  <c r="J20" i="12"/>
  <c r="J20" i="15" s="1"/>
  <c r="AD19" i="12"/>
  <c r="AD19" i="15" s="1"/>
  <c r="AC19" i="12"/>
  <c r="AC19" i="15" s="1"/>
  <c r="AB19" i="12"/>
  <c r="AB19" i="15" s="1"/>
  <c r="AA19" i="12"/>
  <c r="AA19" i="15" s="1"/>
  <c r="Z19" i="12"/>
  <c r="Z19" i="15" s="1"/>
  <c r="Y19" i="12"/>
  <c r="Y19" i="15" s="1"/>
  <c r="X19" i="12"/>
  <c r="X19" i="15" s="1"/>
  <c r="W19" i="12"/>
  <c r="W19" i="15" s="1"/>
  <c r="V19" i="12"/>
  <c r="V19" i="15" s="1"/>
  <c r="U19" i="12"/>
  <c r="U19" i="15" s="1"/>
  <c r="T19" i="12"/>
  <c r="T19" i="15" s="1"/>
  <c r="S19" i="12"/>
  <c r="S19" i="15" s="1"/>
  <c r="R19" i="12"/>
  <c r="R19" i="15" s="1"/>
  <c r="Q19" i="12"/>
  <c r="Q19" i="15" s="1"/>
  <c r="P19" i="12"/>
  <c r="P19" i="15" s="1"/>
  <c r="O19" i="12"/>
  <c r="O19" i="15" s="1"/>
  <c r="N19" i="12"/>
  <c r="N19" i="15" s="1"/>
  <c r="M19" i="12"/>
  <c r="M19" i="15" s="1"/>
  <c r="L19" i="12"/>
  <c r="L19" i="15" s="1"/>
  <c r="K19" i="12"/>
  <c r="K19" i="15" s="1"/>
  <c r="J19" i="12"/>
  <c r="J19" i="15" s="1"/>
  <c r="AD18" i="12"/>
  <c r="AD18" i="15" s="1"/>
  <c r="AC18" i="12"/>
  <c r="AC18" i="15" s="1"/>
  <c r="AB18" i="12"/>
  <c r="AB18" i="15" s="1"/>
  <c r="AA18" i="12"/>
  <c r="AA18" i="15" s="1"/>
  <c r="Z18" i="12"/>
  <c r="Z18" i="15" s="1"/>
  <c r="Y18" i="12"/>
  <c r="Y18" i="15" s="1"/>
  <c r="X18" i="12"/>
  <c r="X18" i="15" s="1"/>
  <c r="W18" i="12"/>
  <c r="W18" i="15" s="1"/>
  <c r="V18" i="12"/>
  <c r="V18" i="15" s="1"/>
  <c r="U18" i="12"/>
  <c r="U18" i="15" s="1"/>
  <c r="T18" i="12"/>
  <c r="T18" i="15" s="1"/>
  <c r="S18" i="12"/>
  <c r="S18" i="15" s="1"/>
  <c r="R18" i="12"/>
  <c r="R18" i="15" s="1"/>
  <c r="Q18" i="12"/>
  <c r="Q18" i="15" s="1"/>
  <c r="P18" i="12"/>
  <c r="P18" i="15" s="1"/>
  <c r="O18" i="12"/>
  <c r="O18" i="15" s="1"/>
  <c r="N18" i="12"/>
  <c r="N18" i="15" s="1"/>
  <c r="M18" i="12"/>
  <c r="M18" i="15" s="1"/>
  <c r="L18" i="12"/>
  <c r="L18" i="15" s="1"/>
  <c r="K18" i="12"/>
  <c r="K18" i="15" s="1"/>
  <c r="J18" i="12"/>
  <c r="J18" i="15" s="1"/>
  <c r="AD17" i="12"/>
  <c r="AD17" i="15" s="1"/>
  <c r="AC17" i="12"/>
  <c r="AC17" i="15" s="1"/>
  <c r="AB17" i="12"/>
  <c r="AB17" i="15" s="1"/>
  <c r="AA17" i="12"/>
  <c r="AA17" i="15" s="1"/>
  <c r="Z17" i="12"/>
  <c r="Z17" i="15" s="1"/>
  <c r="Y17" i="12"/>
  <c r="Y17" i="15" s="1"/>
  <c r="X17" i="12"/>
  <c r="X17" i="15" s="1"/>
  <c r="W17" i="12"/>
  <c r="W17" i="15" s="1"/>
  <c r="V17" i="12"/>
  <c r="V17" i="15" s="1"/>
  <c r="U17" i="12"/>
  <c r="U17" i="15" s="1"/>
  <c r="T17" i="12"/>
  <c r="T17" i="15" s="1"/>
  <c r="S17" i="12"/>
  <c r="S17" i="15" s="1"/>
  <c r="R17" i="12"/>
  <c r="R17" i="15" s="1"/>
  <c r="Q17" i="12"/>
  <c r="Q17" i="15" s="1"/>
  <c r="P17" i="12"/>
  <c r="P17" i="15" s="1"/>
  <c r="O17" i="12"/>
  <c r="O17" i="15" s="1"/>
  <c r="N17" i="12"/>
  <c r="N17" i="15" s="1"/>
  <c r="M17" i="12"/>
  <c r="M17" i="15" s="1"/>
  <c r="L17" i="12"/>
  <c r="L17" i="15" s="1"/>
  <c r="K17" i="12"/>
  <c r="K17" i="15" s="1"/>
  <c r="J17" i="12"/>
  <c r="J17" i="15" s="1"/>
  <c r="AD16" i="12"/>
  <c r="AD16" i="15" s="1"/>
  <c r="AC16" i="12"/>
  <c r="AC16" i="15" s="1"/>
  <c r="AB16" i="12"/>
  <c r="AB16" i="15" s="1"/>
  <c r="AA16" i="12"/>
  <c r="AA16" i="15" s="1"/>
  <c r="Z16" i="12"/>
  <c r="Z16" i="15" s="1"/>
  <c r="Y16" i="12"/>
  <c r="Y16" i="15" s="1"/>
  <c r="X16" i="12"/>
  <c r="X16" i="15" s="1"/>
  <c r="W16" i="12"/>
  <c r="W16" i="15" s="1"/>
  <c r="V16" i="12"/>
  <c r="V16" i="15" s="1"/>
  <c r="U16" i="12"/>
  <c r="U16" i="15" s="1"/>
  <c r="T16" i="12"/>
  <c r="T16" i="15" s="1"/>
  <c r="S16" i="12"/>
  <c r="S16" i="15" s="1"/>
  <c r="R16" i="12"/>
  <c r="R16" i="15" s="1"/>
  <c r="Q16" i="12"/>
  <c r="Q16" i="15" s="1"/>
  <c r="P16" i="12"/>
  <c r="P16" i="15" s="1"/>
  <c r="O16" i="12"/>
  <c r="O16" i="15" s="1"/>
  <c r="N16" i="12"/>
  <c r="N16" i="15" s="1"/>
  <c r="M16" i="12"/>
  <c r="M16" i="15" s="1"/>
  <c r="L16" i="12"/>
  <c r="L16" i="15" s="1"/>
  <c r="K16" i="12"/>
  <c r="K16" i="15" s="1"/>
  <c r="J16" i="12"/>
  <c r="J16" i="15" s="1"/>
  <c r="AD15" i="12"/>
  <c r="AD15" i="15" s="1"/>
  <c r="AC15" i="12"/>
  <c r="AC15" i="15" s="1"/>
  <c r="AB15" i="12"/>
  <c r="AB15" i="15" s="1"/>
  <c r="AA15" i="12"/>
  <c r="AA15" i="15" s="1"/>
  <c r="Z15" i="12"/>
  <c r="Z15" i="15" s="1"/>
  <c r="Y15" i="12"/>
  <c r="Y15" i="15" s="1"/>
  <c r="X15" i="12"/>
  <c r="X15" i="15" s="1"/>
  <c r="W15" i="12"/>
  <c r="W15" i="15" s="1"/>
  <c r="V15" i="12"/>
  <c r="V15" i="15" s="1"/>
  <c r="U15" i="12"/>
  <c r="U15" i="15" s="1"/>
  <c r="T15" i="12"/>
  <c r="T15" i="15" s="1"/>
  <c r="S15" i="12"/>
  <c r="S15" i="15" s="1"/>
  <c r="R15" i="12"/>
  <c r="R15" i="15" s="1"/>
  <c r="Q15" i="12"/>
  <c r="Q15" i="15" s="1"/>
  <c r="P15" i="12"/>
  <c r="P15" i="15" s="1"/>
  <c r="O15" i="12"/>
  <c r="O15" i="15" s="1"/>
  <c r="N15" i="12"/>
  <c r="N15" i="15" s="1"/>
  <c r="M15" i="12"/>
  <c r="M15" i="15" s="1"/>
  <c r="L15" i="12"/>
  <c r="L15" i="15" s="1"/>
  <c r="K15" i="12"/>
  <c r="K15" i="15" s="1"/>
  <c r="J15" i="12"/>
  <c r="J15" i="15" s="1"/>
  <c r="AD14" i="12"/>
  <c r="AD14" i="15" s="1"/>
  <c r="AC14" i="12"/>
  <c r="AC14" i="15" s="1"/>
  <c r="AB14" i="12"/>
  <c r="AB14" i="15" s="1"/>
  <c r="AA14" i="12"/>
  <c r="AA14" i="15" s="1"/>
  <c r="Z14" i="12"/>
  <c r="Z14" i="15" s="1"/>
  <c r="Y14" i="12"/>
  <c r="Y14" i="15" s="1"/>
  <c r="X14" i="12"/>
  <c r="X14" i="15" s="1"/>
  <c r="W14" i="12"/>
  <c r="W14" i="15" s="1"/>
  <c r="V14" i="12"/>
  <c r="V14" i="15" s="1"/>
  <c r="U14" i="12"/>
  <c r="U14" i="15" s="1"/>
  <c r="T14" i="12"/>
  <c r="T14" i="15" s="1"/>
  <c r="S14" i="12"/>
  <c r="S14" i="15" s="1"/>
  <c r="R14" i="12"/>
  <c r="R14" i="15" s="1"/>
  <c r="Q14" i="12"/>
  <c r="Q14" i="15" s="1"/>
  <c r="P14" i="12"/>
  <c r="P14" i="15" s="1"/>
  <c r="O14" i="12"/>
  <c r="O14" i="15" s="1"/>
  <c r="N14" i="12"/>
  <c r="N14" i="15" s="1"/>
  <c r="M14" i="12"/>
  <c r="M14" i="15" s="1"/>
  <c r="L14" i="12"/>
  <c r="L14" i="15" s="1"/>
  <c r="K14" i="12"/>
  <c r="K14" i="15" s="1"/>
  <c r="J14" i="12"/>
  <c r="J14" i="15" s="1"/>
  <c r="AD13" i="12"/>
  <c r="AD13" i="15" s="1"/>
  <c r="AC13" i="12"/>
  <c r="AC13" i="15" s="1"/>
  <c r="AB13" i="12"/>
  <c r="AB13" i="15" s="1"/>
  <c r="AA13" i="12"/>
  <c r="AA13" i="15" s="1"/>
  <c r="Z13" i="12"/>
  <c r="Z13" i="15" s="1"/>
  <c r="Y13" i="12"/>
  <c r="Y13" i="15" s="1"/>
  <c r="X13" i="12"/>
  <c r="X13" i="15" s="1"/>
  <c r="W13" i="12"/>
  <c r="W13" i="15" s="1"/>
  <c r="V13" i="12"/>
  <c r="V13" i="15" s="1"/>
  <c r="U13" i="12"/>
  <c r="U13" i="15" s="1"/>
  <c r="T13" i="12"/>
  <c r="T13" i="15" s="1"/>
  <c r="S13" i="12"/>
  <c r="S13" i="15" s="1"/>
  <c r="R13" i="12"/>
  <c r="R13" i="15" s="1"/>
  <c r="Q13" i="12"/>
  <c r="Q13" i="15" s="1"/>
  <c r="P13" i="12"/>
  <c r="P13" i="15" s="1"/>
  <c r="O13" i="12"/>
  <c r="O13" i="15" s="1"/>
  <c r="N13" i="12"/>
  <c r="N13" i="15" s="1"/>
  <c r="M13" i="12"/>
  <c r="M13" i="15" s="1"/>
  <c r="L13" i="12"/>
  <c r="L13" i="15" s="1"/>
  <c r="K13" i="12"/>
  <c r="K13" i="15" s="1"/>
  <c r="J13" i="12"/>
  <c r="J13" i="15" s="1"/>
  <c r="AD12" i="12"/>
  <c r="AD12" i="15" s="1"/>
  <c r="AC12" i="12"/>
  <c r="AC12" i="15" s="1"/>
  <c r="AB12" i="12"/>
  <c r="AB12" i="15" s="1"/>
  <c r="AA12" i="12"/>
  <c r="AA12" i="15" s="1"/>
  <c r="Z12" i="12"/>
  <c r="Z12" i="15" s="1"/>
  <c r="Y12" i="12"/>
  <c r="Y12" i="15" s="1"/>
  <c r="X12" i="12"/>
  <c r="X12" i="15" s="1"/>
  <c r="W12" i="12"/>
  <c r="W12" i="15" s="1"/>
  <c r="V12" i="12"/>
  <c r="V12" i="15" s="1"/>
  <c r="U12" i="12"/>
  <c r="U12" i="15" s="1"/>
  <c r="T12" i="12"/>
  <c r="T12" i="15" s="1"/>
  <c r="S12" i="12"/>
  <c r="S12" i="15" s="1"/>
  <c r="R12" i="12"/>
  <c r="R12" i="15" s="1"/>
  <c r="Q12" i="12"/>
  <c r="Q12" i="15" s="1"/>
  <c r="P12" i="12"/>
  <c r="P12" i="15" s="1"/>
  <c r="O12" i="12"/>
  <c r="O12" i="15" s="1"/>
  <c r="N12" i="12"/>
  <c r="N12" i="15" s="1"/>
  <c r="M12" i="12"/>
  <c r="M12" i="15" s="1"/>
  <c r="L12" i="12"/>
  <c r="L12" i="15" s="1"/>
  <c r="K12" i="12"/>
  <c r="K12" i="15" s="1"/>
  <c r="J12" i="12"/>
  <c r="J12" i="15" s="1"/>
  <c r="AD11" i="12"/>
  <c r="AD11" i="15" s="1"/>
  <c r="AC11" i="12"/>
  <c r="AC11" i="15" s="1"/>
  <c r="AB11" i="12"/>
  <c r="AB11" i="15" s="1"/>
  <c r="AA11" i="12"/>
  <c r="AA11" i="15" s="1"/>
  <c r="Z11" i="12"/>
  <c r="Z11" i="15" s="1"/>
  <c r="Y11" i="12"/>
  <c r="Y11" i="15" s="1"/>
  <c r="X11" i="12"/>
  <c r="X11" i="15" s="1"/>
  <c r="W11" i="12"/>
  <c r="W11" i="15" s="1"/>
  <c r="V11" i="12"/>
  <c r="V11" i="15" s="1"/>
  <c r="U11" i="12"/>
  <c r="U11" i="15" s="1"/>
  <c r="T11" i="12"/>
  <c r="T11" i="15" s="1"/>
  <c r="S11" i="12"/>
  <c r="S11" i="15" s="1"/>
  <c r="R11" i="12"/>
  <c r="R11" i="15" s="1"/>
  <c r="Q11" i="12"/>
  <c r="Q11" i="15" s="1"/>
  <c r="P11" i="12"/>
  <c r="P11" i="15" s="1"/>
  <c r="O11" i="12"/>
  <c r="O11" i="15" s="1"/>
  <c r="N11" i="12"/>
  <c r="N11" i="15" s="1"/>
  <c r="M11" i="12"/>
  <c r="M11" i="15" s="1"/>
  <c r="L11" i="12"/>
  <c r="L11" i="15" s="1"/>
  <c r="K11" i="12"/>
  <c r="K11" i="15" s="1"/>
  <c r="J11" i="12"/>
  <c r="J11" i="15" s="1"/>
  <c r="AD10" i="12"/>
  <c r="AD10" i="15" s="1"/>
  <c r="AC10" i="12"/>
  <c r="AC10" i="15" s="1"/>
  <c r="AB10" i="12"/>
  <c r="AB10" i="15" s="1"/>
  <c r="AA10" i="12"/>
  <c r="AA10" i="15" s="1"/>
  <c r="Z10" i="12"/>
  <c r="Z10" i="15" s="1"/>
  <c r="Y10" i="12"/>
  <c r="Y10" i="15" s="1"/>
  <c r="X10" i="12"/>
  <c r="X10" i="15" s="1"/>
  <c r="W10" i="12"/>
  <c r="W10" i="15" s="1"/>
  <c r="V10" i="12"/>
  <c r="V10" i="15" s="1"/>
  <c r="U10" i="12"/>
  <c r="U10" i="15" s="1"/>
  <c r="T10" i="12"/>
  <c r="T10" i="15" s="1"/>
  <c r="S10" i="12"/>
  <c r="S10" i="15" s="1"/>
  <c r="R10" i="12"/>
  <c r="R10" i="15" s="1"/>
  <c r="Q10" i="12"/>
  <c r="Q10" i="15" s="1"/>
  <c r="P10" i="12"/>
  <c r="P10" i="15" s="1"/>
  <c r="O10" i="12"/>
  <c r="O10" i="15" s="1"/>
  <c r="N10" i="12"/>
  <c r="N10" i="15" s="1"/>
  <c r="M10" i="12"/>
  <c r="M10" i="15" s="1"/>
  <c r="L10" i="12"/>
  <c r="L10" i="15" s="1"/>
  <c r="K10" i="12"/>
  <c r="K10" i="15" s="1"/>
  <c r="J10" i="12"/>
  <c r="J10" i="15" s="1"/>
  <c r="AD9" i="12"/>
  <c r="AD9" i="15" s="1"/>
  <c r="AC9" i="12"/>
  <c r="AC9" i="15" s="1"/>
  <c r="AB9" i="12"/>
  <c r="AB9" i="15" s="1"/>
  <c r="AA9" i="12"/>
  <c r="AA9" i="15" s="1"/>
  <c r="Z9" i="12"/>
  <c r="Z9" i="15" s="1"/>
  <c r="Y9" i="12"/>
  <c r="Y9" i="15" s="1"/>
  <c r="X9" i="12"/>
  <c r="X9" i="15" s="1"/>
  <c r="W9" i="12"/>
  <c r="W9" i="15" s="1"/>
  <c r="V9" i="12"/>
  <c r="V9" i="15" s="1"/>
  <c r="U9" i="12"/>
  <c r="U9" i="15" s="1"/>
  <c r="T9" i="12"/>
  <c r="T9" i="15" s="1"/>
  <c r="S9" i="12"/>
  <c r="S9" i="15" s="1"/>
  <c r="R9" i="12"/>
  <c r="R9" i="15" s="1"/>
  <c r="Q9" i="12"/>
  <c r="Q9" i="15" s="1"/>
  <c r="P9" i="12"/>
  <c r="P9" i="15" s="1"/>
  <c r="O9" i="12"/>
  <c r="O9" i="15" s="1"/>
  <c r="N9" i="12"/>
  <c r="N9" i="15" s="1"/>
  <c r="M9" i="12"/>
  <c r="M9" i="15" s="1"/>
  <c r="L9" i="12"/>
  <c r="L9" i="15" s="1"/>
  <c r="K9" i="12"/>
  <c r="K9" i="15" s="1"/>
  <c r="J9" i="12"/>
  <c r="J9" i="15" s="1"/>
  <c r="AD8" i="12"/>
  <c r="AD8" i="15" s="1"/>
  <c r="AC8" i="12"/>
  <c r="AC8" i="15" s="1"/>
  <c r="AB8" i="12"/>
  <c r="AB8" i="15" s="1"/>
  <c r="AA8" i="12"/>
  <c r="AA8" i="15" s="1"/>
  <c r="Z8" i="12"/>
  <c r="Z8" i="15" s="1"/>
  <c r="Y8" i="12"/>
  <c r="Y8" i="15" s="1"/>
  <c r="X8" i="12"/>
  <c r="X8" i="15" s="1"/>
  <c r="W8" i="12"/>
  <c r="W8" i="15" s="1"/>
  <c r="V8" i="12"/>
  <c r="V8" i="15" s="1"/>
  <c r="U8" i="12"/>
  <c r="U8" i="15" s="1"/>
  <c r="T8" i="12"/>
  <c r="T8" i="15" s="1"/>
  <c r="S8" i="12"/>
  <c r="S8" i="15" s="1"/>
  <c r="R8" i="12"/>
  <c r="R8" i="15" s="1"/>
  <c r="Q8" i="12"/>
  <c r="Q8" i="15" s="1"/>
  <c r="P8" i="12"/>
  <c r="P8" i="15" s="1"/>
  <c r="O8" i="12"/>
  <c r="O8" i="15" s="1"/>
  <c r="N8" i="12"/>
  <c r="N8" i="15" s="1"/>
  <c r="M8" i="12"/>
  <c r="M8" i="15" s="1"/>
  <c r="L8" i="12"/>
  <c r="L8" i="15" s="1"/>
  <c r="K8" i="12"/>
  <c r="K8" i="15" s="1"/>
  <c r="J8" i="12"/>
  <c r="J8" i="15" s="1"/>
  <c r="AD7" i="12"/>
  <c r="AD7" i="15" s="1"/>
  <c r="AC7" i="12"/>
  <c r="AC7" i="15" s="1"/>
  <c r="AB7" i="12"/>
  <c r="AB7" i="15" s="1"/>
  <c r="AA7" i="12"/>
  <c r="AA7" i="15" s="1"/>
  <c r="Z7" i="12"/>
  <c r="Z7" i="15" s="1"/>
  <c r="Y7" i="12"/>
  <c r="Y7" i="15" s="1"/>
  <c r="X7" i="12"/>
  <c r="X7" i="15" s="1"/>
  <c r="W7" i="12"/>
  <c r="W7" i="15" s="1"/>
  <c r="V7" i="12"/>
  <c r="V7" i="15" s="1"/>
  <c r="U7" i="12"/>
  <c r="U7" i="15" s="1"/>
  <c r="T7" i="12"/>
  <c r="T7" i="15" s="1"/>
  <c r="S7" i="12"/>
  <c r="S7" i="15" s="1"/>
  <c r="R7" i="12"/>
  <c r="R7" i="15" s="1"/>
  <c r="Q7" i="12"/>
  <c r="Q7" i="15" s="1"/>
  <c r="P7" i="12"/>
  <c r="P7" i="15" s="1"/>
  <c r="O7" i="12"/>
  <c r="O7" i="15" s="1"/>
  <c r="N7" i="12"/>
  <c r="N7" i="15" s="1"/>
  <c r="M7" i="12"/>
  <c r="M7" i="15" s="1"/>
  <c r="L7" i="12"/>
  <c r="L7" i="15" s="1"/>
  <c r="K7" i="12"/>
  <c r="K7" i="15" s="1"/>
  <c r="J7" i="12"/>
  <c r="J7" i="15" s="1"/>
  <c r="AD6" i="12"/>
  <c r="AD6" i="15" s="1"/>
  <c r="AC6" i="12"/>
  <c r="AC6" i="15" s="1"/>
  <c r="AB6" i="12"/>
  <c r="AB6" i="15" s="1"/>
  <c r="AA6" i="12"/>
  <c r="AA6" i="15" s="1"/>
  <c r="Z6" i="12"/>
  <c r="Z6" i="15" s="1"/>
  <c r="Y6" i="12"/>
  <c r="Y6" i="15" s="1"/>
  <c r="X6" i="12"/>
  <c r="X6" i="15" s="1"/>
  <c r="W6" i="12"/>
  <c r="W6" i="15" s="1"/>
  <c r="V6" i="12"/>
  <c r="V6" i="15" s="1"/>
  <c r="U6" i="12"/>
  <c r="U6" i="15" s="1"/>
  <c r="T6" i="12"/>
  <c r="T6" i="15" s="1"/>
  <c r="S6" i="12"/>
  <c r="S6" i="15" s="1"/>
  <c r="R6" i="12"/>
  <c r="R6" i="15" s="1"/>
  <c r="Q6" i="12"/>
  <c r="Q6" i="15" s="1"/>
  <c r="P6" i="12"/>
  <c r="P6" i="15" s="1"/>
  <c r="O6" i="12"/>
  <c r="O6" i="15" s="1"/>
  <c r="N6" i="12"/>
  <c r="N6" i="15" s="1"/>
  <c r="M6" i="12"/>
  <c r="M6" i="15" s="1"/>
  <c r="L6" i="12"/>
  <c r="L6" i="15" s="1"/>
  <c r="K6" i="12"/>
  <c r="K6" i="15" s="1"/>
  <c r="J6" i="12"/>
  <c r="J6" i="15" s="1"/>
  <c r="AD5" i="12"/>
  <c r="AD5" i="15" s="1"/>
  <c r="AC5" i="12"/>
  <c r="AC5" i="15" s="1"/>
  <c r="AB5" i="12"/>
  <c r="AB5" i="15" s="1"/>
  <c r="AA5" i="12"/>
  <c r="AA5" i="15" s="1"/>
  <c r="Z5" i="12"/>
  <c r="Z5" i="15" s="1"/>
  <c r="Y5" i="12"/>
  <c r="Y5" i="15" s="1"/>
  <c r="X5" i="12"/>
  <c r="X5" i="15" s="1"/>
  <c r="W5" i="12"/>
  <c r="W5" i="15" s="1"/>
  <c r="V5" i="12"/>
  <c r="V5" i="15" s="1"/>
  <c r="U5" i="12"/>
  <c r="U5" i="15" s="1"/>
  <c r="T5" i="12"/>
  <c r="T5" i="15" s="1"/>
  <c r="S5" i="12"/>
  <c r="S5" i="15" s="1"/>
  <c r="R5" i="12"/>
  <c r="R5" i="15" s="1"/>
  <c r="Q5" i="12"/>
  <c r="Q5" i="15" s="1"/>
  <c r="P5" i="12"/>
  <c r="P5" i="15" s="1"/>
  <c r="O5" i="12"/>
  <c r="O5" i="15" s="1"/>
  <c r="N5" i="12"/>
  <c r="N5" i="15" s="1"/>
  <c r="M5" i="12"/>
  <c r="M5" i="15" s="1"/>
  <c r="L5" i="12"/>
  <c r="L5" i="15" s="1"/>
  <c r="K5" i="12"/>
  <c r="K5" i="15" s="1"/>
  <c r="J5" i="12"/>
  <c r="J5" i="15" s="1"/>
  <c r="AD4" i="12"/>
  <c r="AD4" i="15" s="1"/>
  <c r="AC4" i="12"/>
  <c r="AC4" i="15" s="1"/>
  <c r="AB4" i="12"/>
  <c r="AB4" i="15" s="1"/>
  <c r="AA4" i="12"/>
  <c r="AA4" i="15" s="1"/>
  <c r="Z4" i="12"/>
  <c r="Z4" i="15" s="1"/>
  <c r="Y4" i="12"/>
  <c r="Y4" i="15" s="1"/>
  <c r="X4" i="12"/>
  <c r="X4" i="15" s="1"/>
  <c r="W4" i="12"/>
  <c r="W4" i="15" s="1"/>
  <c r="V4" i="12"/>
  <c r="V4" i="15" s="1"/>
  <c r="U4" i="12"/>
  <c r="U4" i="15" s="1"/>
  <c r="T4" i="12"/>
  <c r="T4" i="15" s="1"/>
  <c r="S4" i="12"/>
  <c r="S4" i="15" s="1"/>
  <c r="R4" i="12"/>
  <c r="R4" i="15" s="1"/>
  <c r="Q4" i="12"/>
  <c r="Q4" i="15" s="1"/>
  <c r="P4" i="12"/>
  <c r="P4" i="15" s="1"/>
  <c r="O4" i="12"/>
  <c r="O4" i="15" s="1"/>
  <c r="N4" i="12"/>
  <c r="N4" i="15" s="1"/>
  <c r="M4" i="12"/>
  <c r="M4" i="15" s="1"/>
  <c r="L4" i="12"/>
  <c r="L4" i="15" s="1"/>
  <c r="K4" i="12"/>
  <c r="K4" i="15" s="1"/>
  <c r="J4" i="12"/>
  <c r="J4" i="15" s="1"/>
  <c r="AD3" i="12"/>
  <c r="AD3" i="15" s="1"/>
  <c r="AC3" i="12"/>
  <c r="AC3" i="15" s="1"/>
  <c r="AB3" i="12"/>
  <c r="AB3" i="15" s="1"/>
  <c r="AA3" i="12"/>
  <c r="AA3" i="15" s="1"/>
  <c r="Z3" i="12"/>
  <c r="Z3" i="15" s="1"/>
  <c r="Y3" i="12"/>
  <c r="Y3" i="15" s="1"/>
  <c r="X3" i="12"/>
  <c r="X3" i="15" s="1"/>
  <c r="W3" i="12"/>
  <c r="W3" i="15" s="1"/>
  <c r="V3" i="12"/>
  <c r="V3" i="15" s="1"/>
  <c r="U3" i="12"/>
  <c r="U3" i="15" s="1"/>
  <c r="T3" i="12"/>
  <c r="T3" i="15" s="1"/>
  <c r="S3" i="12"/>
  <c r="S3" i="15" s="1"/>
  <c r="R3" i="12"/>
  <c r="R3" i="15" s="1"/>
  <c r="Q3" i="12"/>
  <c r="Q3" i="15" s="1"/>
  <c r="P3" i="12"/>
  <c r="P3" i="15" s="1"/>
  <c r="O3" i="12"/>
  <c r="O3" i="15" s="1"/>
  <c r="N3" i="12"/>
  <c r="N3" i="15" s="1"/>
  <c r="M3" i="12"/>
  <c r="M3" i="15" s="1"/>
  <c r="L3" i="12"/>
  <c r="L3" i="15" s="1"/>
  <c r="K3" i="12"/>
  <c r="K3" i="15" s="1"/>
  <c r="J3" i="12"/>
  <c r="J3" i="15" s="1"/>
  <c r="AD2" i="12"/>
  <c r="AD2" i="15" s="1"/>
  <c r="AC2" i="12"/>
  <c r="AB2" i="12"/>
  <c r="AA2" i="12"/>
  <c r="Z2" i="12"/>
  <c r="Y2" i="12"/>
  <c r="Y2" i="15" s="1"/>
  <c r="X2" i="12"/>
  <c r="X2" i="15" s="1"/>
  <c r="X27" i="15" s="1"/>
  <c r="W2" i="12"/>
  <c r="W2" i="15" s="1"/>
  <c r="V2" i="12"/>
  <c r="V2" i="15" s="1"/>
  <c r="U2" i="12"/>
  <c r="T2" i="12"/>
  <c r="S2" i="12"/>
  <c r="R2" i="12"/>
  <c r="Q2" i="12"/>
  <c r="P2" i="12"/>
  <c r="P2" i="15" s="1"/>
  <c r="P27" i="15" s="1"/>
  <c r="O2" i="12"/>
  <c r="O2" i="15" s="1"/>
  <c r="N2" i="12"/>
  <c r="N2" i="15" s="1"/>
  <c r="M2" i="12"/>
  <c r="L2" i="12"/>
  <c r="K2" i="12"/>
  <c r="J2" i="12"/>
  <c r="F10" i="2"/>
  <c r="G10" i="2"/>
  <c r="H10" i="2"/>
  <c r="I10" i="2"/>
  <c r="J10" i="2"/>
  <c r="K10" i="2"/>
  <c r="L10" i="2"/>
  <c r="M10" i="2"/>
  <c r="N10" i="2"/>
  <c r="O10" i="2"/>
  <c r="P10" i="2"/>
  <c r="Q10" i="2"/>
  <c r="R10" i="2"/>
  <c r="S10" i="2"/>
  <c r="T10" i="2"/>
  <c r="U10" i="2"/>
  <c r="V10" i="2"/>
  <c r="W10" i="2"/>
  <c r="X10" i="2"/>
  <c r="Y10" i="2"/>
  <c r="Z10" i="2"/>
  <c r="AA10" i="2"/>
  <c r="AB10" i="2"/>
  <c r="AC10" i="2"/>
  <c r="AD10" i="2"/>
  <c r="AE10" i="2"/>
  <c r="AF10" i="2"/>
  <c r="AG10" i="2"/>
  <c r="AH10" i="2" s="1"/>
  <c r="E10" i="2"/>
  <c r="AG8" i="2"/>
  <c r="AF8" i="2"/>
  <c r="AE8" i="2"/>
  <c r="AD8" i="2"/>
  <c r="AC8" i="2"/>
  <c r="AB8" i="2"/>
  <c r="AA8" i="2"/>
  <c r="Z8" i="2"/>
  <c r="Y8" i="2"/>
  <c r="X8" i="2"/>
  <c r="W8" i="2"/>
  <c r="V8" i="2"/>
  <c r="U8" i="2"/>
  <c r="T8" i="2"/>
  <c r="S8" i="2"/>
  <c r="R8" i="2"/>
  <c r="Q8" i="2"/>
  <c r="P8" i="2"/>
  <c r="O8" i="2"/>
  <c r="N8" i="2"/>
  <c r="M8" i="2"/>
  <c r="L8" i="2"/>
  <c r="K8" i="2"/>
  <c r="J8" i="2"/>
  <c r="I8" i="2"/>
  <c r="H8" i="2"/>
  <c r="G8" i="2"/>
  <c r="F8" i="2"/>
  <c r="E8" i="2"/>
  <c r="D8" i="2"/>
  <c r="AG6" i="2"/>
  <c r="AF6" i="2"/>
  <c r="AE6" i="2"/>
  <c r="AD6" i="2"/>
  <c r="AC6" i="2"/>
  <c r="AB6" i="2"/>
  <c r="AA6" i="2"/>
  <c r="Z6" i="2"/>
  <c r="Y6" i="2"/>
  <c r="X6" i="2"/>
  <c r="W6" i="2"/>
  <c r="V6" i="2"/>
  <c r="U6" i="2"/>
  <c r="T6" i="2"/>
  <c r="S6" i="2"/>
  <c r="R6" i="2"/>
  <c r="Q6" i="2"/>
  <c r="P6" i="2"/>
  <c r="O6" i="2"/>
  <c r="N6" i="2"/>
  <c r="M6" i="2"/>
  <c r="L6" i="2"/>
  <c r="K6" i="2"/>
  <c r="J6" i="2"/>
  <c r="I6" i="2"/>
  <c r="H6" i="2"/>
  <c r="G6" i="2"/>
  <c r="F6" i="2"/>
  <c r="E6" i="2"/>
  <c r="D6" i="2"/>
  <c r="D27" i="15" l="1"/>
  <c r="F27" i="15"/>
  <c r="G27" i="15"/>
  <c r="L27" i="12"/>
  <c r="T27" i="12"/>
  <c r="AB27" i="12"/>
  <c r="H27" i="15"/>
  <c r="I27" i="15"/>
  <c r="C27" i="15"/>
  <c r="Y27" i="15"/>
  <c r="N27" i="15"/>
  <c r="V27" i="15"/>
  <c r="AD27" i="15"/>
  <c r="O27" i="15"/>
  <c r="W27" i="15"/>
  <c r="U27" i="12"/>
  <c r="Q27" i="12"/>
  <c r="J27" i="12"/>
  <c r="R27" i="12"/>
  <c r="Z27" i="12"/>
  <c r="K27" i="12"/>
  <c r="S27" i="12"/>
  <c r="AA27" i="12"/>
  <c r="Q2" i="15"/>
  <c r="Q27" i="15" s="1"/>
  <c r="M27" i="12"/>
  <c r="V27" i="12"/>
  <c r="J2" i="15"/>
  <c r="J27" i="15" s="1"/>
  <c r="R2" i="15"/>
  <c r="R27" i="15" s="1"/>
  <c r="Z2" i="15"/>
  <c r="Z27" i="15" s="1"/>
  <c r="AC27" i="12"/>
  <c r="N27" i="12"/>
  <c r="O27" i="12"/>
  <c r="W27" i="12"/>
  <c r="K2" i="15"/>
  <c r="K27" i="15" s="1"/>
  <c r="S2" i="15"/>
  <c r="S27" i="15" s="1"/>
  <c r="AA2" i="15"/>
  <c r="AA27" i="15" s="1"/>
  <c r="AD27" i="12"/>
  <c r="P27" i="12"/>
  <c r="X27" i="12"/>
  <c r="L2" i="15"/>
  <c r="L27" i="15" s="1"/>
  <c r="T2" i="15"/>
  <c r="T27" i="15" s="1"/>
  <c r="AB2" i="15"/>
  <c r="AB27" i="15" s="1"/>
  <c r="Y27" i="12"/>
  <c r="M2" i="15"/>
  <c r="M27" i="15" s="1"/>
  <c r="U2" i="15"/>
  <c r="U27" i="15" s="1"/>
  <c r="AC2" i="15"/>
  <c r="AC27" i="15" s="1"/>
  <c r="G75" i="16"/>
  <c r="G16" i="16"/>
  <c r="H16" i="16" s="1"/>
  <c r="I16" i="16" s="1"/>
  <c r="J16" i="16" s="1"/>
  <c r="K16" i="16" s="1"/>
  <c r="L16" i="16" s="1"/>
  <c r="M16" i="16" s="1"/>
  <c r="N16" i="16" s="1"/>
  <c r="O16" i="16" s="1"/>
  <c r="P16" i="16" s="1"/>
  <c r="Q16" i="16" s="1"/>
  <c r="R16" i="16" s="1"/>
  <c r="S16" i="16" s="1"/>
  <c r="T16" i="16" s="1"/>
  <c r="U16" i="16" s="1"/>
  <c r="V16" i="16" s="1"/>
  <c r="W16" i="16" s="1"/>
  <c r="X16" i="16" s="1"/>
  <c r="Y16" i="16" s="1"/>
  <c r="Z16" i="16" s="1"/>
  <c r="AA16" i="16" s="1"/>
  <c r="AB16" i="16" s="1"/>
  <c r="AC16" i="16" s="1"/>
  <c r="AD16" i="16" s="1"/>
  <c r="AE16" i="16" s="1"/>
  <c r="AF16" i="16" s="1"/>
  <c r="AG16" i="16" s="1"/>
  <c r="G17" i="16"/>
  <c r="G9" i="16"/>
  <c r="H9" i="16" s="1"/>
  <c r="I9" i="16" s="1"/>
  <c r="J9" i="16" s="1"/>
  <c r="K9" i="16" s="1"/>
  <c r="L9" i="16" s="1"/>
  <c r="M9" i="16" s="1"/>
  <c r="N9" i="16" s="1"/>
  <c r="O9" i="16" s="1"/>
  <c r="P9" i="16" s="1"/>
  <c r="Q9" i="16" s="1"/>
  <c r="R9" i="16" s="1"/>
  <c r="S9" i="16" s="1"/>
  <c r="T9" i="16" s="1"/>
  <c r="U9" i="16" s="1"/>
  <c r="V9" i="16" s="1"/>
  <c r="W9" i="16" s="1"/>
  <c r="X9" i="16" s="1"/>
  <c r="Y9" i="16" s="1"/>
  <c r="Z9" i="16" s="1"/>
  <c r="AA9" i="16" s="1"/>
  <c r="AB9" i="16" s="1"/>
  <c r="AC9" i="16" s="1"/>
  <c r="AD9" i="16" s="1"/>
  <c r="AE9" i="16" s="1"/>
  <c r="AF9" i="16" s="1"/>
  <c r="AG9" i="16" s="1"/>
  <c r="G19" i="16"/>
  <c r="H19" i="16" s="1"/>
  <c r="I19" i="16" s="1"/>
  <c r="J19" i="16" s="1"/>
  <c r="K19" i="16" s="1"/>
  <c r="L19" i="16" s="1"/>
  <c r="M19" i="16" s="1"/>
  <c r="N19" i="16" s="1"/>
  <c r="O19" i="16" s="1"/>
  <c r="P19" i="16" s="1"/>
  <c r="Q19" i="16" s="1"/>
  <c r="R19" i="16" s="1"/>
  <c r="S19" i="16" s="1"/>
  <c r="T19" i="16" s="1"/>
  <c r="U19" i="16" s="1"/>
  <c r="V19" i="16" s="1"/>
  <c r="W19" i="16" s="1"/>
  <c r="X19" i="16" s="1"/>
  <c r="Y19" i="16" s="1"/>
  <c r="Z19" i="16" s="1"/>
  <c r="AA19" i="16" s="1"/>
  <c r="AB19" i="16" s="1"/>
  <c r="AC19" i="16" s="1"/>
  <c r="AD19" i="16" s="1"/>
  <c r="AE19" i="16" s="1"/>
  <c r="AF19" i="16" s="1"/>
  <c r="AG19" i="16" s="1"/>
  <c r="G72" i="16"/>
  <c r="G67" i="16"/>
  <c r="AI67" i="16" s="1"/>
  <c r="G118" i="16"/>
  <c r="H118" i="16" s="1"/>
  <c r="I118" i="16" s="1"/>
  <c r="J118" i="16" s="1"/>
  <c r="K118" i="16" s="1"/>
  <c r="L118" i="16" s="1"/>
  <c r="M118" i="16" s="1"/>
  <c r="N118" i="16" s="1"/>
  <c r="O118" i="16" s="1"/>
  <c r="P118" i="16" s="1"/>
  <c r="Q118" i="16" s="1"/>
  <c r="R118" i="16" s="1"/>
  <c r="S118" i="16" s="1"/>
  <c r="T118" i="16" s="1"/>
  <c r="U118" i="16" s="1"/>
  <c r="V118" i="16" s="1"/>
  <c r="W118" i="16" s="1"/>
  <c r="X118" i="16" s="1"/>
  <c r="Y118" i="16" s="1"/>
  <c r="Z118" i="16" s="1"/>
  <c r="AA118" i="16" s="1"/>
  <c r="AB118" i="16" s="1"/>
  <c r="AC118" i="16" s="1"/>
  <c r="AD118" i="16" s="1"/>
  <c r="AE118" i="16" s="1"/>
  <c r="AF118" i="16" s="1"/>
  <c r="AG118" i="16" s="1"/>
  <c r="G10" i="16"/>
  <c r="H10" i="16" s="1"/>
  <c r="I10" i="16" s="1"/>
  <c r="J10" i="16" s="1"/>
  <c r="K10" i="16" s="1"/>
  <c r="L10" i="16" s="1"/>
  <c r="M10" i="16" s="1"/>
  <c r="N10" i="16" s="1"/>
  <c r="O10" i="16" s="1"/>
  <c r="P10" i="16" s="1"/>
  <c r="Q10" i="16" s="1"/>
  <c r="R10" i="16" s="1"/>
  <c r="S10" i="16" s="1"/>
  <c r="T10" i="16" s="1"/>
  <c r="U10" i="16" s="1"/>
  <c r="V10" i="16" s="1"/>
  <c r="W10" i="16" s="1"/>
  <c r="X10" i="16" s="1"/>
  <c r="Y10" i="16" s="1"/>
  <c r="Z10" i="16" s="1"/>
  <c r="AA10" i="16" s="1"/>
  <c r="AB10" i="16" s="1"/>
  <c r="AC10" i="16" s="1"/>
  <c r="AD10" i="16" s="1"/>
  <c r="AE10" i="16" s="1"/>
  <c r="AF10" i="16" s="1"/>
  <c r="AG10" i="16" s="1"/>
  <c r="G11" i="16"/>
  <c r="H11" i="16" s="1"/>
  <c r="I11" i="16" s="1"/>
  <c r="J11" i="16" s="1"/>
  <c r="K11" i="16" s="1"/>
  <c r="L11" i="16" s="1"/>
  <c r="M11" i="16" s="1"/>
  <c r="N11" i="16" s="1"/>
  <c r="O11" i="16" s="1"/>
  <c r="P11" i="16" s="1"/>
  <c r="Q11" i="16" s="1"/>
  <c r="R11" i="16" s="1"/>
  <c r="S11" i="16" s="1"/>
  <c r="T11" i="16" s="1"/>
  <c r="U11" i="16" s="1"/>
  <c r="V11" i="16" s="1"/>
  <c r="W11" i="16" s="1"/>
  <c r="X11" i="16" s="1"/>
  <c r="Y11" i="16" s="1"/>
  <c r="Z11" i="16" s="1"/>
  <c r="AA11" i="16" s="1"/>
  <c r="AB11" i="16" s="1"/>
  <c r="AC11" i="16" s="1"/>
  <c r="AD11" i="16" s="1"/>
  <c r="AE11" i="16" s="1"/>
  <c r="AF11" i="16" s="1"/>
  <c r="AG11" i="16" s="1"/>
  <c r="G12" i="16"/>
  <c r="H12" i="16" s="1"/>
  <c r="I12" i="16" s="1"/>
  <c r="J12" i="16" s="1"/>
  <c r="K12" i="16" s="1"/>
  <c r="L12" i="16" s="1"/>
  <c r="M12" i="16" s="1"/>
  <c r="N12" i="16" s="1"/>
  <c r="O12" i="16" s="1"/>
  <c r="P12" i="16" s="1"/>
  <c r="Q12" i="16" s="1"/>
  <c r="R12" i="16" s="1"/>
  <c r="S12" i="16" s="1"/>
  <c r="T12" i="16" s="1"/>
  <c r="U12" i="16" s="1"/>
  <c r="V12" i="16" s="1"/>
  <c r="W12" i="16" s="1"/>
  <c r="X12" i="16" s="1"/>
  <c r="Y12" i="16" s="1"/>
  <c r="Z12" i="16" s="1"/>
  <c r="AA12" i="16" s="1"/>
  <c r="AB12" i="16" s="1"/>
  <c r="AC12" i="16" s="1"/>
  <c r="AD12" i="16" s="1"/>
  <c r="AE12" i="16" s="1"/>
  <c r="AF12" i="16" s="1"/>
  <c r="AG12" i="16" s="1"/>
  <c r="G13" i="16"/>
  <c r="H13" i="16" s="1"/>
  <c r="I13" i="16" s="1"/>
  <c r="J13" i="16" s="1"/>
  <c r="K13" i="16" s="1"/>
  <c r="L13" i="16" s="1"/>
  <c r="M13" i="16" s="1"/>
  <c r="N13" i="16" s="1"/>
  <c r="O13" i="16" s="1"/>
  <c r="P13" i="16" s="1"/>
  <c r="Q13" i="16" s="1"/>
  <c r="R13" i="16" s="1"/>
  <c r="S13" i="16" s="1"/>
  <c r="T13" i="16" s="1"/>
  <c r="U13" i="16" s="1"/>
  <c r="V13" i="16" s="1"/>
  <c r="W13" i="16" s="1"/>
  <c r="X13" i="16" s="1"/>
  <c r="Y13" i="16" s="1"/>
  <c r="Z13" i="16" s="1"/>
  <c r="AA13" i="16" s="1"/>
  <c r="AB13" i="16" s="1"/>
  <c r="AC13" i="16" s="1"/>
  <c r="AD13" i="16" s="1"/>
  <c r="AE13" i="16" s="1"/>
  <c r="AF13" i="16" s="1"/>
  <c r="AG13" i="16" s="1"/>
  <c r="G121" i="16"/>
  <c r="H121" i="16" s="1"/>
  <c r="I121" i="16" s="1"/>
  <c r="J121" i="16" s="1"/>
  <c r="K121" i="16" s="1"/>
  <c r="L121" i="16" s="1"/>
  <c r="M121" i="16" s="1"/>
  <c r="N121" i="16" s="1"/>
  <c r="O121" i="16" s="1"/>
  <c r="P121" i="16" s="1"/>
  <c r="Q121" i="16" s="1"/>
  <c r="R121" i="16" s="1"/>
  <c r="S121" i="16" s="1"/>
  <c r="T121" i="16" s="1"/>
  <c r="U121" i="16" s="1"/>
  <c r="V121" i="16" s="1"/>
  <c r="W121" i="16" s="1"/>
  <c r="X121" i="16" s="1"/>
  <c r="Y121" i="16" s="1"/>
  <c r="Z121" i="16" s="1"/>
  <c r="AA121" i="16" s="1"/>
  <c r="AB121" i="16" s="1"/>
  <c r="AC121" i="16" s="1"/>
  <c r="AD121" i="16" s="1"/>
  <c r="AE121" i="16" s="1"/>
  <c r="AF121" i="16" s="1"/>
  <c r="AG121" i="16" s="1"/>
  <c r="AI56" i="16"/>
  <c r="AJ37" i="16"/>
  <c r="AI74" i="16"/>
  <c r="H74" i="16"/>
  <c r="I74" i="16" s="1"/>
  <c r="J74" i="16" s="1"/>
  <c r="K74" i="16" s="1"/>
  <c r="L74" i="16" s="1"/>
  <c r="M74" i="16" s="1"/>
  <c r="N74" i="16" s="1"/>
  <c r="O74" i="16" s="1"/>
  <c r="P74" i="16" s="1"/>
  <c r="Q74" i="16" s="1"/>
  <c r="AI75" i="16"/>
  <c r="H75" i="16" s="1"/>
  <c r="I75" i="16" s="1"/>
  <c r="J75" i="16" s="1"/>
  <c r="K75" i="16" s="1"/>
  <c r="L75" i="16" s="1"/>
  <c r="M75" i="16" s="1"/>
  <c r="N75" i="16" s="1"/>
  <c r="O75" i="16" s="1"/>
  <c r="P75" i="16" s="1"/>
  <c r="Q75" i="16" s="1"/>
  <c r="AI69" i="16"/>
  <c r="H69" i="16" s="1"/>
  <c r="I69" i="16" s="1"/>
  <c r="J69" i="16" s="1"/>
  <c r="K69" i="16" s="1"/>
  <c r="L69" i="16" s="1"/>
  <c r="M69" i="16" s="1"/>
  <c r="N69" i="16" s="1"/>
  <c r="O69" i="16" s="1"/>
  <c r="P69" i="16" s="1"/>
  <c r="Q69" i="16" s="1"/>
  <c r="G117" i="16"/>
  <c r="H117" i="16" s="1"/>
  <c r="I117" i="16" s="1"/>
  <c r="J117" i="16" s="1"/>
  <c r="K117" i="16" s="1"/>
  <c r="L117" i="16" s="1"/>
  <c r="M117" i="16" s="1"/>
  <c r="N117" i="16" s="1"/>
  <c r="O117" i="16" s="1"/>
  <c r="P117" i="16" s="1"/>
  <c r="Q117" i="16" s="1"/>
  <c r="R117" i="16" s="1"/>
  <c r="S117" i="16" s="1"/>
  <c r="T117" i="16" s="1"/>
  <c r="U117" i="16" s="1"/>
  <c r="V117" i="16" s="1"/>
  <c r="W117" i="16" s="1"/>
  <c r="X117" i="16" s="1"/>
  <c r="Y117" i="16" s="1"/>
  <c r="Z117" i="16" s="1"/>
  <c r="AA117" i="16" s="1"/>
  <c r="AB117" i="16" s="1"/>
  <c r="AC117" i="16" s="1"/>
  <c r="AD117" i="16" s="1"/>
  <c r="AE117" i="16" s="1"/>
  <c r="AF117" i="16" s="1"/>
  <c r="AG117" i="16" s="1"/>
  <c r="AI68" i="16"/>
  <c r="H68" i="16" s="1"/>
  <c r="I68" i="16" s="1"/>
  <c r="J68" i="16" s="1"/>
  <c r="K68" i="16" s="1"/>
  <c r="L68" i="16" s="1"/>
  <c r="M68" i="16" s="1"/>
  <c r="N68" i="16" s="1"/>
  <c r="O68" i="16" s="1"/>
  <c r="P68" i="16" s="1"/>
  <c r="Q68" i="16" s="1"/>
  <c r="AI71" i="16"/>
  <c r="H71" i="16" s="1"/>
  <c r="I71" i="16" s="1"/>
  <c r="J71" i="16" s="1"/>
  <c r="K71" i="16" s="1"/>
  <c r="L71" i="16" s="1"/>
  <c r="M71" i="16" s="1"/>
  <c r="N71" i="16" s="1"/>
  <c r="O71" i="16" s="1"/>
  <c r="P71" i="16" s="1"/>
  <c r="Q71" i="16" s="1"/>
  <c r="H67" i="16"/>
  <c r="I67" i="16" s="1"/>
  <c r="J67" i="16" s="1"/>
  <c r="K67" i="16" s="1"/>
  <c r="L67" i="16" s="1"/>
  <c r="M67" i="16" s="1"/>
  <c r="N67" i="16" s="1"/>
  <c r="O67" i="16" s="1"/>
  <c r="P67" i="16" s="1"/>
  <c r="Q67" i="16" s="1"/>
  <c r="H70" i="16"/>
  <c r="I70" i="16" s="1"/>
  <c r="J70" i="16" s="1"/>
  <c r="K70" i="16" s="1"/>
  <c r="L70" i="16" s="1"/>
  <c r="M70" i="16" s="1"/>
  <c r="N70" i="16" s="1"/>
  <c r="O70" i="16" s="1"/>
  <c r="P70" i="16" s="1"/>
  <c r="Q70" i="16" s="1"/>
  <c r="G120" i="16"/>
  <c r="H120" i="16" s="1"/>
  <c r="I120" i="16" s="1"/>
  <c r="J120" i="16" s="1"/>
  <c r="K120" i="16" s="1"/>
  <c r="L120" i="16" s="1"/>
  <c r="M120" i="16" s="1"/>
  <c r="N120" i="16" s="1"/>
  <c r="O120" i="16" s="1"/>
  <c r="P120" i="16" s="1"/>
  <c r="Q120" i="16" s="1"/>
  <c r="R120" i="16" s="1"/>
  <c r="S120" i="16" s="1"/>
  <c r="T120" i="16" s="1"/>
  <c r="U120" i="16" s="1"/>
  <c r="V120" i="16" s="1"/>
  <c r="W120" i="16" s="1"/>
  <c r="X120" i="16" s="1"/>
  <c r="Y120" i="16" s="1"/>
  <c r="Z120" i="16" s="1"/>
  <c r="AA120" i="16" s="1"/>
  <c r="AB120" i="16" s="1"/>
  <c r="AC120" i="16" s="1"/>
  <c r="AD120" i="16" s="1"/>
  <c r="AE120" i="16" s="1"/>
  <c r="AF120" i="16" s="1"/>
  <c r="AG120" i="16" s="1"/>
  <c r="H73" i="16"/>
  <c r="I73" i="16" s="1"/>
  <c r="J73" i="16" s="1"/>
  <c r="K73" i="16" s="1"/>
  <c r="L73" i="16" s="1"/>
  <c r="M73" i="16" s="1"/>
  <c r="N73" i="16" s="1"/>
  <c r="O73" i="16" s="1"/>
  <c r="P73" i="16" s="1"/>
  <c r="Q73" i="16" s="1"/>
  <c r="G124" i="16"/>
  <c r="H124" i="16" s="1"/>
  <c r="I124" i="16" s="1"/>
  <c r="J124" i="16" s="1"/>
  <c r="K124" i="16" s="1"/>
  <c r="L124" i="16" s="1"/>
  <c r="M124" i="16" s="1"/>
  <c r="N124" i="16" s="1"/>
  <c r="O124" i="16" s="1"/>
  <c r="P124" i="16" s="1"/>
  <c r="Q124" i="16" s="1"/>
  <c r="R124" i="16" s="1"/>
  <c r="S124" i="16" s="1"/>
  <c r="T124" i="16" s="1"/>
  <c r="U124" i="16" s="1"/>
  <c r="V124" i="16" s="1"/>
  <c r="W124" i="16" s="1"/>
  <c r="X124" i="16" s="1"/>
  <c r="Y124" i="16" s="1"/>
  <c r="Z124" i="16" s="1"/>
  <c r="AA124" i="16" s="1"/>
  <c r="AB124" i="16" s="1"/>
  <c r="AC124" i="16" s="1"/>
  <c r="AD124" i="16" s="1"/>
  <c r="AE124" i="16" s="1"/>
  <c r="AF124" i="16" s="1"/>
  <c r="AG124" i="16" s="1"/>
  <c r="AE10" i="12"/>
  <c r="AE10" i="15" s="1"/>
  <c r="AE9" i="12"/>
  <c r="AE9" i="15" s="1"/>
  <c r="AE8" i="12"/>
  <c r="AE8" i="15" s="1"/>
  <c r="AE26" i="12"/>
  <c r="AE26" i="15" s="1"/>
  <c r="AE7" i="12"/>
  <c r="AE7" i="15" s="1"/>
  <c r="AE25" i="12"/>
  <c r="AE25" i="15" s="1"/>
  <c r="AE6" i="12"/>
  <c r="AE6" i="15" s="1"/>
  <c r="AE24" i="12"/>
  <c r="AE24" i="15" s="1"/>
  <c r="AE23" i="12"/>
  <c r="AE23" i="15" s="1"/>
  <c r="AE5" i="12"/>
  <c r="AE5" i="15" s="1"/>
  <c r="AE4" i="12"/>
  <c r="AE4" i="15" s="1"/>
  <c r="AE22" i="12"/>
  <c r="AE22" i="15" s="1"/>
  <c r="AE3" i="12"/>
  <c r="AE3" i="15" s="1"/>
  <c r="AE14" i="12"/>
  <c r="AE14" i="15" s="1"/>
  <c r="AE21" i="12"/>
  <c r="AE21" i="15" s="1"/>
  <c r="AE20" i="12"/>
  <c r="AE20" i="15" s="1"/>
  <c r="AE2" i="12"/>
  <c r="AI10" i="2"/>
  <c r="AJ10" i="2" s="1"/>
  <c r="AK10" i="2" s="1"/>
  <c r="AL10" i="2" s="1"/>
  <c r="AM10" i="2" s="1"/>
  <c r="AN10" i="2" s="1"/>
  <c r="AE19" i="12"/>
  <c r="AE19" i="15" s="1"/>
  <c r="AE18" i="12"/>
  <c r="AE17" i="12"/>
  <c r="AE17" i="15" s="1"/>
  <c r="AE16" i="12"/>
  <c r="AE16" i="15" s="1"/>
  <c r="AE15" i="12"/>
  <c r="AE15" i="15" s="1"/>
  <c r="AE13" i="12"/>
  <c r="AE13" i="15" s="1"/>
  <c r="AE12" i="12"/>
  <c r="AE12" i="15" s="1"/>
  <c r="AE11" i="12"/>
  <c r="AE11" i="15" s="1"/>
  <c r="AF18" i="12" l="1"/>
  <c r="AE18" i="15"/>
  <c r="AE27" i="12"/>
  <c r="AE2" i="15"/>
  <c r="AI72" i="16"/>
  <c r="H72" i="16"/>
  <c r="I72" i="16" s="1"/>
  <c r="J72" i="16" s="1"/>
  <c r="K72" i="16" s="1"/>
  <c r="L72" i="16" s="1"/>
  <c r="M72" i="16" s="1"/>
  <c r="N72" i="16" s="1"/>
  <c r="O72" i="16" s="1"/>
  <c r="P72" i="16" s="1"/>
  <c r="Q72" i="16" s="1"/>
  <c r="H17" i="16"/>
  <c r="C18" i="18"/>
  <c r="C19" i="18"/>
  <c r="C20" i="18"/>
  <c r="C21" i="18"/>
  <c r="C22" i="18"/>
  <c r="C23" i="18"/>
  <c r="C24" i="18"/>
  <c r="C25" i="18"/>
  <c r="C26" i="18"/>
  <c r="C2" i="18"/>
  <c r="C3" i="18"/>
  <c r="C4" i="18"/>
  <c r="C5" i="18"/>
  <c r="C6" i="18"/>
  <c r="C7" i="18"/>
  <c r="C8" i="18"/>
  <c r="C9" i="18"/>
  <c r="C10" i="18"/>
  <c r="C11" i="18"/>
  <c r="C12" i="18"/>
  <c r="C13" i="18"/>
  <c r="C14" i="18"/>
  <c r="C15" i="18"/>
  <c r="C17" i="18"/>
  <c r="C16" i="18"/>
  <c r="AJ56" i="16"/>
  <c r="AK56" i="16" s="1"/>
  <c r="AL56" i="16" s="1"/>
  <c r="AM56" i="16" s="1"/>
  <c r="AN56" i="16" s="1"/>
  <c r="AO56" i="16" s="1"/>
  <c r="AP56" i="16" s="1"/>
  <c r="AQ56" i="16" s="1"/>
  <c r="AR56" i="16" s="1"/>
  <c r="AS56" i="16" s="1"/>
  <c r="AT56" i="16" s="1"/>
  <c r="AU56" i="16" s="1"/>
  <c r="AV56" i="16" s="1"/>
  <c r="AW56" i="16" s="1"/>
  <c r="AX56" i="16" s="1"/>
  <c r="AY56" i="16" s="1"/>
  <c r="AZ56" i="16" s="1"/>
  <c r="BA56" i="16" s="1"/>
  <c r="BB56" i="16" s="1"/>
  <c r="BC56" i="16" s="1"/>
  <c r="BD56" i="16" s="1"/>
  <c r="BE56" i="16" s="1"/>
  <c r="BF56" i="16" s="1"/>
  <c r="BG56" i="16" s="1"/>
  <c r="BH56" i="16" s="1"/>
  <c r="BI56" i="16" s="1"/>
  <c r="BJ56" i="16" s="1"/>
  <c r="BK56" i="16" s="1"/>
  <c r="BL56" i="16" s="1"/>
  <c r="BM56" i="16" s="1"/>
  <c r="BN56" i="16" s="1"/>
  <c r="BO56" i="16" s="1"/>
  <c r="BP56" i="16" s="1"/>
  <c r="BQ56" i="16" s="1"/>
  <c r="BR56" i="16" s="1"/>
  <c r="BS56" i="16" s="1"/>
  <c r="BT56" i="16" s="1"/>
  <c r="BU56" i="16" s="1"/>
  <c r="BV56" i="16" s="1"/>
  <c r="BW56" i="16" s="1"/>
  <c r="BX56" i="16" s="1"/>
  <c r="BY56" i="16" s="1"/>
  <c r="BZ56" i="16" s="1"/>
  <c r="CA56" i="16" s="1"/>
  <c r="CB56" i="16" s="1"/>
  <c r="CC56" i="16" s="1"/>
  <c r="CD56" i="16" s="1"/>
  <c r="CE56" i="16" s="1"/>
  <c r="AK37" i="16"/>
  <c r="AF19" i="12"/>
  <c r="AF15" i="12"/>
  <c r="AF16" i="12"/>
  <c r="AF17" i="12"/>
  <c r="AF21" i="12"/>
  <c r="AF14" i="12"/>
  <c r="AF3" i="12"/>
  <c r="AF2" i="12"/>
  <c r="AF20" i="12"/>
  <c r="AF23" i="12"/>
  <c r="AF9" i="12"/>
  <c r="AF11" i="12"/>
  <c r="AF12" i="12"/>
  <c r="AF13" i="12"/>
  <c r="AF4" i="12"/>
  <c r="AF22" i="12"/>
  <c r="AF5" i="12"/>
  <c r="AF24" i="12"/>
  <c r="AF7" i="12"/>
  <c r="AF6" i="12"/>
  <c r="AF25" i="12"/>
  <c r="AF26" i="12"/>
  <c r="AF8" i="12"/>
  <c r="AF10" i="12"/>
  <c r="AE27" i="15" l="1"/>
  <c r="AG26" i="12"/>
  <c r="AF26" i="15"/>
  <c r="AG12" i="12"/>
  <c r="AF12" i="15"/>
  <c r="AG21" i="12"/>
  <c r="AF21" i="15"/>
  <c r="AG9" i="12"/>
  <c r="AF9" i="15"/>
  <c r="AG16" i="12"/>
  <c r="AF16" i="15"/>
  <c r="AG14" i="12"/>
  <c r="AF14" i="15"/>
  <c r="AG7" i="12"/>
  <c r="AF7" i="15"/>
  <c r="AG15" i="12"/>
  <c r="AF15" i="15"/>
  <c r="AG5" i="12"/>
  <c r="AF5" i="15"/>
  <c r="AG20" i="12"/>
  <c r="AF20" i="15"/>
  <c r="AG19" i="12"/>
  <c r="AF19" i="15"/>
  <c r="AG13" i="12"/>
  <c r="AF13" i="15"/>
  <c r="AG25" i="12"/>
  <c r="AF25" i="15"/>
  <c r="AG24" i="12"/>
  <c r="AF24" i="15"/>
  <c r="AG23" i="12"/>
  <c r="AF23" i="15"/>
  <c r="AG10" i="12"/>
  <c r="AF10" i="15"/>
  <c r="AG22" i="12"/>
  <c r="AF22" i="15"/>
  <c r="AG2" i="12"/>
  <c r="AF27" i="12"/>
  <c r="AF2" i="15"/>
  <c r="AG6" i="12"/>
  <c r="AF6" i="15"/>
  <c r="AG11" i="12"/>
  <c r="AF11" i="15"/>
  <c r="AG17" i="12"/>
  <c r="AF17" i="15"/>
  <c r="AG8" i="12"/>
  <c r="AF8" i="15"/>
  <c r="AG4" i="12"/>
  <c r="AF4" i="15"/>
  <c r="AG3" i="12"/>
  <c r="AF3" i="15"/>
  <c r="AG18" i="12"/>
  <c r="AF18" i="15"/>
  <c r="I17" i="16"/>
  <c r="D19" i="18"/>
  <c r="D20" i="18"/>
  <c r="D21" i="18"/>
  <c r="D22" i="18"/>
  <c r="D23" i="18"/>
  <c r="D24" i="18"/>
  <c r="D25" i="18"/>
  <c r="D26" i="18"/>
  <c r="D2" i="18"/>
  <c r="D3" i="18"/>
  <c r="D4" i="18"/>
  <c r="D5" i="18"/>
  <c r="D6" i="18"/>
  <c r="D7" i="18"/>
  <c r="D8" i="18"/>
  <c r="D9" i="18"/>
  <c r="D10" i="18"/>
  <c r="D11" i="18"/>
  <c r="D12" i="18"/>
  <c r="D13" i="18"/>
  <c r="D14" i="18"/>
  <c r="D15" i="18"/>
  <c r="D16" i="18"/>
  <c r="D18" i="18"/>
  <c r="D17" i="18"/>
  <c r="C27" i="18"/>
  <c r="AL37" i="16"/>
  <c r="AH8" i="12" l="1"/>
  <c r="AG8" i="15"/>
  <c r="AH11" i="12"/>
  <c r="AG11" i="15"/>
  <c r="AH15" i="12"/>
  <c r="AG15" i="15"/>
  <c r="AF27" i="15"/>
  <c r="AH2" i="12"/>
  <c r="AG27" i="12"/>
  <c r="AG2" i="15"/>
  <c r="AH24" i="12"/>
  <c r="AG24" i="15"/>
  <c r="AH20" i="12"/>
  <c r="AG20" i="15"/>
  <c r="AH14" i="12"/>
  <c r="AG14" i="15"/>
  <c r="AH12" i="12"/>
  <c r="AG12" i="15"/>
  <c r="AH13" i="12"/>
  <c r="AG13" i="15"/>
  <c r="AH6" i="12"/>
  <c r="AG6" i="15"/>
  <c r="AH7" i="12"/>
  <c r="AG7" i="15"/>
  <c r="AH18" i="12"/>
  <c r="AG18" i="15"/>
  <c r="AH17" i="12"/>
  <c r="AG17" i="15"/>
  <c r="AH3" i="12"/>
  <c r="AG3" i="15"/>
  <c r="AH10" i="12"/>
  <c r="AG10" i="15"/>
  <c r="AH9" i="12"/>
  <c r="AG9" i="15"/>
  <c r="AH4" i="12"/>
  <c r="AG4" i="15"/>
  <c r="AH23" i="12"/>
  <c r="AG23" i="15"/>
  <c r="AH19" i="12"/>
  <c r="AG19" i="15"/>
  <c r="AH21" i="12"/>
  <c r="AG21" i="15"/>
  <c r="AH22" i="12"/>
  <c r="AG22" i="15"/>
  <c r="AH25" i="12"/>
  <c r="AG25" i="15"/>
  <c r="AH5" i="12"/>
  <c r="AG5" i="15"/>
  <c r="AH16" i="12"/>
  <c r="AG16" i="15"/>
  <c r="AH26" i="12"/>
  <c r="AG26" i="15"/>
  <c r="D27" i="18"/>
  <c r="J17" i="16"/>
  <c r="E20" i="18"/>
  <c r="E21" i="18"/>
  <c r="E22" i="18"/>
  <c r="E23" i="18"/>
  <c r="E24" i="18"/>
  <c r="E25" i="18"/>
  <c r="E26" i="18"/>
  <c r="E2" i="18"/>
  <c r="E3" i="18"/>
  <c r="E4" i="18"/>
  <c r="E5" i="18"/>
  <c r="E6" i="18"/>
  <c r="E7" i="18"/>
  <c r="E8" i="18"/>
  <c r="E9" i="18"/>
  <c r="E10" i="18"/>
  <c r="E11" i="18"/>
  <c r="E12" i="18"/>
  <c r="E13" i="18"/>
  <c r="E14" i="18"/>
  <c r="E15" i="18"/>
  <c r="E16" i="18"/>
  <c r="E17" i="18"/>
  <c r="E19" i="18"/>
  <c r="E18" i="18"/>
  <c r="AM37" i="16"/>
  <c r="AI2" i="12" l="1"/>
  <c r="AH27" i="12"/>
  <c r="AH2" i="15"/>
  <c r="AI5" i="12"/>
  <c r="AH5" i="15"/>
  <c r="AI19" i="12"/>
  <c r="AH19" i="15"/>
  <c r="AI10" i="12"/>
  <c r="AH10" i="15"/>
  <c r="AI7" i="12"/>
  <c r="AH7" i="15"/>
  <c r="AI14" i="12"/>
  <c r="AH14" i="15"/>
  <c r="AI25" i="12"/>
  <c r="AH25" i="15"/>
  <c r="AI3" i="12"/>
  <c r="AH3" i="15"/>
  <c r="AI6" i="12"/>
  <c r="AH6" i="15"/>
  <c r="AI15" i="12"/>
  <c r="AH15" i="15"/>
  <c r="AI26" i="12"/>
  <c r="AH26" i="15"/>
  <c r="AI22" i="12"/>
  <c r="AH22" i="15"/>
  <c r="AI4" i="12"/>
  <c r="AH4" i="15"/>
  <c r="AI17" i="12"/>
  <c r="AH17" i="15"/>
  <c r="AI13" i="12"/>
  <c r="AH13" i="15"/>
  <c r="AI24" i="12"/>
  <c r="AH24" i="15"/>
  <c r="AI11" i="12"/>
  <c r="AH11" i="15"/>
  <c r="AG27" i="15"/>
  <c r="AI23" i="12"/>
  <c r="AH23" i="15"/>
  <c r="AI20" i="12"/>
  <c r="AH20" i="15"/>
  <c r="AI16" i="12"/>
  <c r="AH16" i="15"/>
  <c r="AI21" i="12"/>
  <c r="AH21" i="15"/>
  <c r="AI9" i="12"/>
  <c r="AH9" i="15"/>
  <c r="AI18" i="12"/>
  <c r="AH18" i="15"/>
  <c r="AI12" i="12"/>
  <c r="AH12" i="15"/>
  <c r="AI8" i="12"/>
  <c r="AH8" i="15"/>
  <c r="K17" i="16"/>
  <c r="F21" i="18"/>
  <c r="F22" i="18"/>
  <c r="F23" i="18"/>
  <c r="F24" i="18"/>
  <c r="F25" i="18"/>
  <c r="F26" i="18"/>
  <c r="F2" i="18"/>
  <c r="F3" i="18"/>
  <c r="F4" i="18"/>
  <c r="F5" i="18"/>
  <c r="F6" i="18"/>
  <c r="F7" i="18"/>
  <c r="F8" i="18"/>
  <c r="F9" i="18"/>
  <c r="F10" i="18"/>
  <c r="F11" i="18"/>
  <c r="F12" i="18"/>
  <c r="F13" i="18"/>
  <c r="F14" i="18"/>
  <c r="F15" i="18"/>
  <c r="F16" i="18"/>
  <c r="F17" i="18"/>
  <c r="F18" i="18"/>
  <c r="F20" i="18"/>
  <c r="F19" i="18"/>
  <c r="E27" i="18"/>
  <c r="AN37" i="16"/>
  <c r="AJ10" i="12" l="1"/>
  <c r="AI10" i="15"/>
  <c r="AJ18" i="12"/>
  <c r="AI18" i="15"/>
  <c r="AJ17" i="12"/>
  <c r="AI17" i="15"/>
  <c r="AJ15" i="12"/>
  <c r="AI15" i="15"/>
  <c r="AJ14" i="12"/>
  <c r="AI14" i="15"/>
  <c r="AJ5" i="12"/>
  <c r="AI5" i="15"/>
  <c r="AJ22" i="12"/>
  <c r="AI22" i="15"/>
  <c r="AJ26" i="12"/>
  <c r="AI26" i="15"/>
  <c r="AJ25" i="12"/>
  <c r="AI25" i="15"/>
  <c r="AJ19" i="12"/>
  <c r="AI19" i="15"/>
  <c r="AJ9" i="12"/>
  <c r="AI9" i="15"/>
  <c r="AJ8" i="12"/>
  <c r="AI8" i="15"/>
  <c r="AJ21" i="12"/>
  <c r="AI21" i="15"/>
  <c r="AH27" i="15"/>
  <c r="AJ24" i="12"/>
  <c r="AI24" i="15"/>
  <c r="AJ13" i="12"/>
  <c r="AI13" i="15"/>
  <c r="AJ23" i="12"/>
  <c r="AI23" i="15"/>
  <c r="AJ11" i="12"/>
  <c r="AI11" i="15"/>
  <c r="AJ4" i="12"/>
  <c r="AI4" i="15"/>
  <c r="AJ6" i="12"/>
  <c r="AI6" i="15"/>
  <c r="AJ7" i="12"/>
  <c r="AI7" i="15"/>
  <c r="AJ3" i="12"/>
  <c r="AI3" i="15"/>
  <c r="AJ20" i="12"/>
  <c r="AI20" i="15"/>
  <c r="AJ12" i="12"/>
  <c r="AI12" i="15"/>
  <c r="AJ16" i="12"/>
  <c r="AI16" i="15"/>
  <c r="AJ2" i="12"/>
  <c r="AI27" i="12"/>
  <c r="AI2" i="15"/>
  <c r="F27" i="18"/>
  <c r="L17" i="16"/>
  <c r="G22" i="18"/>
  <c r="G23" i="18"/>
  <c r="G24" i="18"/>
  <c r="G25" i="18"/>
  <c r="G26" i="18"/>
  <c r="G2" i="18"/>
  <c r="G3" i="18"/>
  <c r="G4" i="18"/>
  <c r="G5" i="18"/>
  <c r="G6" i="18"/>
  <c r="G7" i="18"/>
  <c r="G8" i="18"/>
  <c r="G9" i="18"/>
  <c r="G10" i="18"/>
  <c r="G11" i="18"/>
  <c r="G12" i="18"/>
  <c r="G13" i="18"/>
  <c r="G14" i="18"/>
  <c r="G15" i="18"/>
  <c r="G16" i="18"/>
  <c r="G17" i="18"/>
  <c r="G18" i="18"/>
  <c r="G19" i="18"/>
  <c r="G20" i="18"/>
  <c r="G21" i="18"/>
  <c r="AO37" i="16"/>
  <c r="AK23" i="12" l="1"/>
  <c r="AJ23" i="15"/>
  <c r="AK8" i="12"/>
  <c r="AJ8" i="15"/>
  <c r="AK26" i="12"/>
  <c r="AJ26" i="15"/>
  <c r="AK15" i="12"/>
  <c r="AJ15" i="15"/>
  <c r="AK16" i="12"/>
  <c r="AJ16" i="15"/>
  <c r="AK7" i="12"/>
  <c r="AJ7" i="15"/>
  <c r="AK12" i="12"/>
  <c r="AJ12" i="15"/>
  <c r="AK6" i="12"/>
  <c r="AJ6" i="15"/>
  <c r="AK13" i="12"/>
  <c r="AJ13" i="15"/>
  <c r="AI27" i="15"/>
  <c r="AK20" i="12"/>
  <c r="AJ20" i="15"/>
  <c r="AK4" i="12"/>
  <c r="AJ4" i="15"/>
  <c r="AK24" i="12"/>
  <c r="AJ24" i="15"/>
  <c r="AK22" i="12"/>
  <c r="AJ22" i="15"/>
  <c r="AK19" i="12"/>
  <c r="AJ19" i="15"/>
  <c r="AK5" i="12"/>
  <c r="AJ5" i="15"/>
  <c r="AK18" i="12"/>
  <c r="AJ18" i="15"/>
  <c r="AK9" i="12"/>
  <c r="AJ9" i="15"/>
  <c r="AK2" i="12"/>
  <c r="AJ27" i="12"/>
  <c r="AJ2" i="15"/>
  <c r="AK3" i="12"/>
  <c r="AJ3" i="15"/>
  <c r="AK11" i="12"/>
  <c r="AJ11" i="15"/>
  <c r="AK17" i="12"/>
  <c r="AJ17" i="15"/>
  <c r="AK21" i="12"/>
  <c r="AJ21" i="15"/>
  <c r="AK25" i="12"/>
  <c r="AJ25" i="15"/>
  <c r="AK14" i="12"/>
  <c r="AJ14" i="15"/>
  <c r="AK10" i="12"/>
  <c r="AJ10" i="15"/>
  <c r="G27" i="18"/>
  <c r="M17" i="16"/>
  <c r="H23" i="18"/>
  <c r="H24" i="18"/>
  <c r="H25" i="18"/>
  <c r="H26" i="18"/>
  <c r="H2" i="18"/>
  <c r="H3" i="18"/>
  <c r="H4" i="18"/>
  <c r="H5" i="18"/>
  <c r="H6" i="18"/>
  <c r="H7" i="18"/>
  <c r="H8" i="18"/>
  <c r="H9" i="18"/>
  <c r="H10" i="18"/>
  <c r="H11" i="18"/>
  <c r="H12" i="18"/>
  <c r="H13" i="18"/>
  <c r="H14" i="18"/>
  <c r="H15" i="18"/>
  <c r="H16" i="18"/>
  <c r="H17" i="18"/>
  <c r="H18" i="18"/>
  <c r="H19" i="18"/>
  <c r="H20" i="18"/>
  <c r="H21" i="18"/>
  <c r="H22" i="18"/>
  <c r="AP37" i="16"/>
  <c r="AL25" i="12" l="1"/>
  <c r="AK25" i="15"/>
  <c r="AL6" i="12"/>
  <c r="AK6" i="15"/>
  <c r="AL15" i="12"/>
  <c r="AK15" i="15"/>
  <c r="AJ27" i="15"/>
  <c r="AL5" i="12"/>
  <c r="AK5" i="15"/>
  <c r="AL4" i="12"/>
  <c r="AK4" i="15"/>
  <c r="AL12" i="12"/>
  <c r="AK12" i="15"/>
  <c r="AL26" i="12"/>
  <c r="AK26" i="15"/>
  <c r="AL21" i="12"/>
  <c r="AK21" i="15"/>
  <c r="AL2" i="12"/>
  <c r="AK27" i="12"/>
  <c r="AK2" i="15"/>
  <c r="AL19" i="12"/>
  <c r="AK19" i="15"/>
  <c r="AL20" i="12"/>
  <c r="AK20" i="15"/>
  <c r="AL24" i="12"/>
  <c r="AK24" i="15"/>
  <c r="AL10" i="12"/>
  <c r="AK10" i="15"/>
  <c r="AL17" i="12"/>
  <c r="AK17" i="15"/>
  <c r="AL7" i="12"/>
  <c r="AK7" i="15"/>
  <c r="AL8" i="12"/>
  <c r="AK8" i="15"/>
  <c r="AL18" i="12"/>
  <c r="AK18" i="15"/>
  <c r="AL9" i="12"/>
  <c r="AK9" i="15"/>
  <c r="AL22" i="12"/>
  <c r="AK22" i="15"/>
  <c r="AL3" i="12"/>
  <c r="AK3" i="15"/>
  <c r="AL14" i="12"/>
  <c r="AK14" i="15"/>
  <c r="AL11" i="12"/>
  <c r="AK11" i="15"/>
  <c r="AL13" i="12"/>
  <c r="AK13" i="15"/>
  <c r="AL16" i="12"/>
  <c r="AK16" i="15"/>
  <c r="AL23" i="12"/>
  <c r="AK23" i="15"/>
  <c r="H27" i="18"/>
  <c r="N17" i="16"/>
  <c r="I24" i="18"/>
  <c r="I25" i="18"/>
  <c r="I26" i="18"/>
  <c r="I2" i="18"/>
  <c r="I3" i="18"/>
  <c r="I4" i="18"/>
  <c r="I5" i="18"/>
  <c r="I6" i="18"/>
  <c r="I7" i="18"/>
  <c r="I8" i="18"/>
  <c r="I9" i="18"/>
  <c r="I10" i="18"/>
  <c r="I11" i="18"/>
  <c r="I12" i="18"/>
  <c r="I13" i="18"/>
  <c r="I14" i="18"/>
  <c r="I15" i="18"/>
  <c r="I16" i="18"/>
  <c r="I17" i="18"/>
  <c r="I18" i="18"/>
  <c r="I19" i="18"/>
  <c r="I20" i="18"/>
  <c r="I21" i="18"/>
  <c r="I23" i="18"/>
  <c r="I22" i="18"/>
  <c r="AQ37" i="16"/>
  <c r="AM3" i="12" l="1"/>
  <c r="AL3" i="15"/>
  <c r="AM21" i="12"/>
  <c r="AL21" i="15"/>
  <c r="AM13" i="12"/>
  <c r="AL13" i="15"/>
  <c r="AM22" i="12"/>
  <c r="AL22" i="15"/>
  <c r="AM7" i="12"/>
  <c r="AL7" i="15"/>
  <c r="AM20" i="12"/>
  <c r="AL20" i="15"/>
  <c r="AM24" i="12"/>
  <c r="AL24" i="15"/>
  <c r="AM5" i="12"/>
  <c r="AL5" i="15"/>
  <c r="AM26" i="12"/>
  <c r="AL26" i="15"/>
  <c r="AM16" i="12"/>
  <c r="AL16" i="15"/>
  <c r="AM25" i="12"/>
  <c r="AL25" i="15"/>
  <c r="AM11" i="12"/>
  <c r="AL11" i="15"/>
  <c r="AM9" i="12"/>
  <c r="AL9" i="15"/>
  <c r="AM17" i="12"/>
  <c r="AL17" i="15"/>
  <c r="AM19" i="12"/>
  <c r="AL19" i="15"/>
  <c r="AM15" i="12"/>
  <c r="AL15" i="15"/>
  <c r="AM8" i="12"/>
  <c r="AL8" i="15"/>
  <c r="AK27" i="15"/>
  <c r="AM23" i="12"/>
  <c r="AL23" i="15"/>
  <c r="AM14" i="12"/>
  <c r="AL14" i="15"/>
  <c r="AM18" i="12"/>
  <c r="AL18" i="15"/>
  <c r="AM10" i="12"/>
  <c r="AL10" i="15"/>
  <c r="AM6" i="12"/>
  <c r="AL6" i="15"/>
  <c r="AM12" i="12"/>
  <c r="AL12" i="15"/>
  <c r="AM2" i="12"/>
  <c r="AL27" i="12"/>
  <c r="AL2" i="15"/>
  <c r="AM4" i="12"/>
  <c r="AL4" i="15"/>
  <c r="I27" i="18"/>
  <c r="O17" i="16"/>
  <c r="J25" i="18"/>
  <c r="J26" i="18"/>
  <c r="J2" i="18"/>
  <c r="J3" i="18"/>
  <c r="J4" i="18"/>
  <c r="J5" i="18"/>
  <c r="J6" i="18"/>
  <c r="J7" i="18"/>
  <c r="J8" i="18"/>
  <c r="J9" i="18"/>
  <c r="J10" i="18"/>
  <c r="J11" i="18"/>
  <c r="J12" i="18"/>
  <c r="J13" i="18"/>
  <c r="J14" i="18"/>
  <c r="J15" i="18"/>
  <c r="J16" i="18"/>
  <c r="J17" i="18"/>
  <c r="J18" i="18"/>
  <c r="J19" i="18"/>
  <c r="J20" i="18"/>
  <c r="J21" i="18"/>
  <c r="J22" i="18"/>
  <c r="J24" i="18"/>
  <c r="J23" i="18"/>
  <c r="AR37" i="16"/>
  <c r="AN8" i="12" l="1"/>
  <c r="AM8" i="15"/>
  <c r="AN18" i="12"/>
  <c r="AM18" i="15"/>
  <c r="AN15" i="12"/>
  <c r="AM15" i="15"/>
  <c r="AN11" i="12"/>
  <c r="AM11" i="15"/>
  <c r="AN5" i="12"/>
  <c r="AM5" i="15"/>
  <c r="AN22" i="12"/>
  <c r="AM22" i="15"/>
  <c r="AN26" i="12"/>
  <c r="AM26" i="15"/>
  <c r="AN7" i="12"/>
  <c r="AM7" i="15"/>
  <c r="AN3" i="12"/>
  <c r="AM3" i="15"/>
  <c r="AN2" i="12"/>
  <c r="AM27" i="12"/>
  <c r="AM2" i="15"/>
  <c r="AN12" i="12"/>
  <c r="AM12" i="15"/>
  <c r="AN14" i="12"/>
  <c r="AM14" i="15"/>
  <c r="AN9" i="12"/>
  <c r="AM9" i="15"/>
  <c r="AN19" i="12"/>
  <c r="AM19" i="15"/>
  <c r="AN25" i="12"/>
  <c r="AM25" i="15"/>
  <c r="AN24" i="12"/>
  <c r="AM24" i="15"/>
  <c r="AN13" i="12"/>
  <c r="AM13" i="15"/>
  <c r="AN6" i="12"/>
  <c r="AM6" i="15"/>
  <c r="AN23" i="12"/>
  <c r="AM23" i="15"/>
  <c r="AN4" i="12"/>
  <c r="AM4" i="15"/>
  <c r="AN17" i="12"/>
  <c r="AM17" i="15"/>
  <c r="AN16" i="12"/>
  <c r="AM16" i="15"/>
  <c r="AN20" i="12"/>
  <c r="AM20" i="15"/>
  <c r="AN21" i="12"/>
  <c r="AM21" i="15"/>
  <c r="AL27" i="15"/>
  <c r="AN10" i="12"/>
  <c r="AM10" i="15"/>
  <c r="J27" i="18"/>
  <c r="P17" i="16"/>
  <c r="K26" i="18"/>
  <c r="K2" i="18"/>
  <c r="K3" i="18"/>
  <c r="K4" i="18"/>
  <c r="K5" i="18"/>
  <c r="K6" i="18"/>
  <c r="K7" i="18"/>
  <c r="K8" i="18"/>
  <c r="K9" i="18"/>
  <c r="K10" i="18"/>
  <c r="K11" i="18"/>
  <c r="K12" i="18"/>
  <c r="K13" i="18"/>
  <c r="K14" i="18"/>
  <c r="K15" i="18"/>
  <c r="K16" i="18"/>
  <c r="K17" i="18"/>
  <c r="K18" i="18"/>
  <c r="K19" i="18"/>
  <c r="K20" i="18"/>
  <c r="K21" i="18"/>
  <c r="K22" i="18"/>
  <c r="K23" i="18"/>
  <c r="K24" i="18"/>
  <c r="K25" i="18"/>
  <c r="AS37" i="16"/>
  <c r="AO24" i="12" l="1"/>
  <c r="AN24" i="15"/>
  <c r="AO7" i="12"/>
  <c r="AN7" i="15"/>
  <c r="AO11" i="12"/>
  <c r="AN11" i="15"/>
  <c r="AO3" i="12"/>
  <c r="AN3" i="15"/>
  <c r="AO14" i="12"/>
  <c r="AN14" i="15"/>
  <c r="AO20" i="12"/>
  <c r="AN20" i="15"/>
  <c r="AO23" i="12"/>
  <c r="AN23" i="15"/>
  <c r="AO25" i="12"/>
  <c r="AN25" i="15"/>
  <c r="AO12" i="12"/>
  <c r="AN12" i="15"/>
  <c r="AO4" i="12"/>
  <c r="AN4" i="15"/>
  <c r="AM27" i="15"/>
  <c r="AO26" i="12"/>
  <c r="AN26" i="15"/>
  <c r="AO15" i="12"/>
  <c r="AN15" i="15"/>
  <c r="AO5" i="12"/>
  <c r="AN5" i="15"/>
  <c r="AO8" i="12"/>
  <c r="AN8" i="15"/>
  <c r="AO21" i="12"/>
  <c r="AN21" i="15"/>
  <c r="AO16" i="12"/>
  <c r="AN16" i="15"/>
  <c r="AO6" i="12"/>
  <c r="AN6" i="15"/>
  <c r="AO19" i="12"/>
  <c r="AN19" i="15"/>
  <c r="AO10" i="12"/>
  <c r="AN10" i="15"/>
  <c r="AO2" i="12"/>
  <c r="AN27" i="12"/>
  <c r="AN2" i="15"/>
  <c r="AO22" i="12"/>
  <c r="AN22" i="15"/>
  <c r="AO18" i="12"/>
  <c r="AN18" i="15"/>
  <c r="AO17" i="12"/>
  <c r="AN17" i="15"/>
  <c r="AO13" i="12"/>
  <c r="AN13" i="15"/>
  <c r="AO9" i="12"/>
  <c r="AN9" i="15"/>
  <c r="K27" i="18"/>
  <c r="Q17" i="16"/>
  <c r="L2" i="18"/>
  <c r="L3" i="18"/>
  <c r="L4" i="18"/>
  <c r="L5" i="18"/>
  <c r="L6" i="18"/>
  <c r="L7" i="18"/>
  <c r="L8" i="18"/>
  <c r="L9" i="18"/>
  <c r="L10" i="18"/>
  <c r="L11" i="18"/>
  <c r="L12" i="18"/>
  <c r="L13" i="18"/>
  <c r="L14" i="18"/>
  <c r="L15" i="18"/>
  <c r="L16" i="18"/>
  <c r="L17" i="18"/>
  <c r="L18" i="18"/>
  <c r="L19" i="18"/>
  <c r="L20" i="18"/>
  <c r="L21" i="18"/>
  <c r="L22" i="18"/>
  <c r="L23" i="18"/>
  <c r="L24" i="18"/>
  <c r="L26" i="18"/>
  <c r="L25" i="18"/>
  <c r="AT37" i="16"/>
  <c r="AP12" i="12" l="1"/>
  <c r="AO12" i="15"/>
  <c r="AP16" i="12"/>
  <c r="AO16" i="15"/>
  <c r="AP17" i="12"/>
  <c r="AO17" i="15"/>
  <c r="AP25" i="12"/>
  <c r="AO25" i="15"/>
  <c r="AP3" i="12"/>
  <c r="AO3" i="15"/>
  <c r="AP10" i="12"/>
  <c r="AO10" i="15"/>
  <c r="AP21" i="12"/>
  <c r="AO21" i="15"/>
  <c r="AP26" i="12"/>
  <c r="AO26" i="15"/>
  <c r="AP2" i="12"/>
  <c r="AO27" i="12"/>
  <c r="AO2" i="15"/>
  <c r="AP18" i="12"/>
  <c r="AO18" i="15"/>
  <c r="AP23" i="12"/>
  <c r="AO23" i="15"/>
  <c r="AP11" i="12"/>
  <c r="AO11" i="15"/>
  <c r="AP13" i="12"/>
  <c r="AO13" i="15"/>
  <c r="AP14" i="12"/>
  <c r="AO14" i="15"/>
  <c r="AP24" i="12"/>
  <c r="AO24" i="15"/>
  <c r="AP15" i="12"/>
  <c r="AO15" i="15"/>
  <c r="AP19" i="12"/>
  <c r="AO19" i="15"/>
  <c r="AP8" i="12"/>
  <c r="AO8" i="15"/>
  <c r="AP9" i="12"/>
  <c r="AO9" i="15"/>
  <c r="AP22" i="12"/>
  <c r="AO22" i="15"/>
  <c r="AP4" i="12"/>
  <c r="AO4" i="15"/>
  <c r="AP20" i="12"/>
  <c r="AO20" i="15"/>
  <c r="AP7" i="12"/>
  <c r="AO7" i="15"/>
  <c r="AN27" i="15"/>
  <c r="AP6" i="12"/>
  <c r="AO6" i="15"/>
  <c r="AP5" i="12"/>
  <c r="AO5" i="15"/>
  <c r="L27" i="18"/>
  <c r="R17" i="16"/>
  <c r="M2" i="18"/>
  <c r="M3" i="18"/>
  <c r="M4" i="18"/>
  <c r="M5" i="18"/>
  <c r="M6" i="18"/>
  <c r="M7" i="18"/>
  <c r="M8" i="18"/>
  <c r="M9" i="18"/>
  <c r="M10" i="18"/>
  <c r="M11" i="18"/>
  <c r="M12" i="18"/>
  <c r="M13" i="18"/>
  <c r="M14" i="18"/>
  <c r="M15" i="18"/>
  <c r="M16" i="18"/>
  <c r="M17" i="18"/>
  <c r="M18" i="18"/>
  <c r="M19" i="18"/>
  <c r="M20" i="18"/>
  <c r="M21" i="18"/>
  <c r="M22" i="18"/>
  <c r="M23" i="18"/>
  <c r="M24" i="18"/>
  <c r="M25" i="18"/>
  <c r="M26" i="18"/>
  <c r="AU37" i="16"/>
  <c r="AQ22" i="12" l="1"/>
  <c r="AP22" i="15"/>
  <c r="AQ26" i="12"/>
  <c r="AP26" i="15"/>
  <c r="AQ25" i="12"/>
  <c r="AP25" i="15"/>
  <c r="AQ11" i="12"/>
  <c r="AP11" i="15"/>
  <c r="AQ7" i="12"/>
  <c r="AP7" i="15"/>
  <c r="AQ9" i="12"/>
  <c r="AP9" i="15"/>
  <c r="AQ24" i="12"/>
  <c r="AP24" i="15"/>
  <c r="AQ23" i="12"/>
  <c r="AP23" i="15"/>
  <c r="AQ21" i="12"/>
  <c r="AP21" i="15"/>
  <c r="AQ17" i="12"/>
  <c r="AP17" i="15"/>
  <c r="AQ20" i="12"/>
  <c r="AP20" i="15"/>
  <c r="AQ8" i="12"/>
  <c r="AP8" i="15"/>
  <c r="AQ14" i="12"/>
  <c r="AP14" i="15"/>
  <c r="AQ18" i="12"/>
  <c r="AP18" i="15"/>
  <c r="AQ5" i="12"/>
  <c r="AP5" i="15"/>
  <c r="AO27" i="15"/>
  <c r="AQ10" i="12"/>
  <c r="AP10" i="15"/>
  <c r="AQ16" i="12"/>
  <c r="AP16" i="15"/>
  <c r="AQ4" i="12"/>
  <c r="AP4" i="15"/>
  <c r="AQ19" i="12"/>
  <c r="AP19" i="15"/>
  <c r="AQ13" i="12"/>
  <c r="AP13" i="15"/>
  <c r="AQ15" i="12"/>
  <c r="AP15" i="15"/>
  <c r="AQ6" i="12"/>
  <c r="AP6" i="15"/>
  <c r="AQ2" i="12"/>
  <c r="AP27" i="12"/>
  <c r="AP2" i="15"/>
  <c r="AQ3" i="12"/>
  <c r="AP3" i="15"/>
  <c r="AQ12" i="12"/>
  <c r="AP12" i="15"/>
  <c r="S17" i="16"/>
  <c r="N2" i="18"/>
  <c r="N3" i="18"/>
  <c r="N4" i="18"/>
  <c r="N5" i="18"/>
  <c r="N6" i="18"/>
  <c r="N7" i="18"/>
  <c r="N8" i="18"/>
  <c r="N9" i="18"/>
  <c r="N10" i="18"/>
  <c r="N11" i="18"/>
  <c r="N12" i="18"/>
  <c r="N13" i="18"/>
  <c r="N14" i="18"/>
  <c r="N15" i="18"/>
  <c r="N16" i="18"/>
  <c r="N17" i="18"/>
  <c r="N18" i="18"/>
  <c r="N19" i="18"/>
  <c r="N20" i="18"/>
  <c r="N21" i="18"/>
  <c r="N22" i="18"/>
  <c r="N23" i="18"/>
  <c r="N24" i="18"/>
  <c r="N25" i="18"/>
  <c r="N26" i="18"/>
  <c r="M27" i="18"/>
  <c r="AV37" i="16"/>
  <c r="AR7" i="12" l="1"/>
  <c r="AQ7" i="15"/>
  <c r="AP27" i="15"/>
  <c r="AR10" i="12"/>
  <c r="AQ10" i="15"/>
  <c r="AR8" i="12"/>
  <c r="AQ8" i="15"/>
  <c r="AR23" i="12"/>
  <c r="AQ23" i="15"/>
  <c r="AR11" i="12"/>
  <c r="AQ11" i="15"/>
  <c r="AR13" i="12"/>
  <c r="AQ13" i="15"/>
  <c r="AR2" i="12"/>
  <c r="AQ27" i="12"/>
  <c r="AQ2" i="15"/>
  <c r="AR19" i="12"/>
  <c r="AQ19" i="15"/>
  <c r="AR21" i="12"/>
  <c r="AQ21" i="15"/>
  <c r="AR5" i="12"/>
  <c r="AQ5" i="15"/>
  <c r="AR20" i="12"/>
  <c r="AQ20" i="15"/>
  <c r="AR24" i="12"/>
  <c r="AQ24" i="15"/>
  <c r="AR25" i="12"/>
  <c r="AQ25" i="15"/>
  <c r="AR14" i="12"/>
  <c r="AQ14" i="15"/>
  <c r="AR4" i="12"/>
  <c r="AQ4" i="15"/>
  <c r="AR12" i="12"/>
  <c r="AQ12" i="15"/>
  <c r="AR18" i="12"/>
  <c r="AQ18" i="15"/>
  <c r="AR17" i="12"/>
  <c r="AQ17" i="15"/>
  <c r="AR9" i="12"/>
  <c r="AQ9" i="15"/>
  <c r="AR26" i="12"/>
  <c r="AQ26" i="15"/>
  <c r="AR3" i="12"/>
  <c r="AQ3" i="15"/>
  <c r="AR22" i="12"/>
  <c r="AQ22" i="15"/>
  <c r="AR6" i="12"/>
  <c r="AQ6" i="15"/>
  <c r="AR15" i="12"/>
  <c r="AQ15" i="15"/>
  <c r="AR16" i="12"/>
  <c r="AQ16" i="15"/>
  <c r="N27" i="18"/>
  <c r="T17" i="16"/>
  <c r="O2" i="18"/>
  <c r="O3" i="18"/>
  <c r="O4" i="18"/>
  <c r="O5" i="18"/>
  <c r="O6" i="18"/>
  <c r="O7" i="18"/>
  <c r="O8" i="18"/>
  <c r="O9" i="18"/>
  <c r="O10" i="18"/>
  <c r="O11" i="18"/>
  <c r="O12" i="18"/>
  <c r="O13" i="18"/>
  <c r="O14" i="18"/>
  <c r="O15" i="18"/>
  <c r="O16" i="18"/>
  <c r="O17" i="18"/>
  <c r="O18" i="18"/>
  <c r="O19" i="18"/>
  <c r="O20" i="18"/>
  <c r="O21" i="18"/>
  <c r="O22" i="18"/>
  <c r="O23" i="18"/>
  <c r="O24" i="18"/>
  <c r="O25" i="18"/>
  <c r="O26" i="18"/>
  <c r="AW37" i="16"/>
  <c r="AQ27" i="15" l="1"/>
  <c r="AS6" i="12"/>
  <c r="AR6" i="15"/>
  <c r="AS9" i="12"/>
  <c r="AR9" i="15"/>
  <c r="AS4" i="12"/>
  <c r="AR4" i="15"/>
  <c r="AS20" i="12"/>
  <c r="AR20" i="15"/>
  <c r="AS26" i="12"/>
  <c r="AR26" i="15"/>
  <c r="AS19" i="12"/>
  <c r="AR19" i="15"/>
  <c r="AS23" i="12"/>
  <c r="AR23" i="15"/>
  <c r="AS2" i="12"/>
  <c r="AR27" i="12"/>
  <c r="AR2" i="15"/>
  <c r="AS8" i="12"/>
  <c r="AR8" i="15"/>
  <c r="AS22" i="12"/>
  <c r="AR22" i="15"/>
  <c r="AS17" i="12"/>
  <c r="AR17" i="15"/>
  <c r="AS14" i="12"/>
  <c r="AR14" i="15"/>
  <c r="AS5" i="12"/>
  <c r="AR5" i="15"/>
  <c r="AS15" i="12"/>
  <c r="AR15" i="15"/>
  <c r="AS24" i="12"/>
  <c r="AR24" i="15"/>
  <c r="AS16" i="12"/>
  <c r="AR16" i="15"/>
  <c r="AS3" i="12"/>
  <c r="AR3" i="15"/>
  <c r="AS18" i="12"/>
  <c r="AR18" i="15"/>
  <c r="AS25" i="12"/>
  <c r="AR25" i="15"/>
  <c r="AS21" i="12"/>
  <c r="AR21" i="15"/>
  <c r="AS12" i="12"/>
  <c r="AR12" i="15"/>
  <c r="AS7" i="12"/>
  <c r="AR7" i="15"/>
  <c r="AS13" i="12"/>
  <c r="AR13" i="15"/>
  <c r="AS10" i="12"/>
  <c r="AR10" i="15"/>
  <c r="AS11" i="12"/>
  <c r="AR11" i="15"/>
  <c r="O27" i="18"/>
  <c r="U17" i="16"/>
  <c r="P3" i="18"/>
  <c r="P4" i="18"/>
  <c r="P5" i="18"/>
  <c r="P6" i="18"/>
  <c r="P7" i="18"/>
  <c r="P8" i="18"/>
  <c r="P9" i="18"/>
  <c r="P10" i="18"/>
  <c r="P11" i="18"/>
  <c r="P12" i="18"/>
  <c r="P13" i="18"/>
  <c r="P14" i="18"/>
  <c r="P15" i="18"/>
  <c r="P16" i="18"/>
  <c r="P17" i="18"/>
  <c r="P18" i="18"/>
  <c r="P19" i="18"/>
  <c r="P20" i="18"/>
  <c r="P21" i="18"/>
  <c r="P22" i="18"/>
  <c r="P23" i="18"/>
  <c r="P24" i="18"/>
  <c r="P25" i="18"/>
  <c r="P26" i="18"/>
  <c r="P2" i="18"/>
  <c r="AX37" i="16"/>
  <c r="AT17" i="12" l="1"/>
  <c r="AS17" i="15"/>
  <c r="AT23" i="12"/>
  <c r="AS23" i="15"/>
  <c r="AT4" i="12"/>
  <c r="AS4" i="15"/>
  <c r="AT13" i="12"/>
  <c r="AS13" i="15"/>
  <c r="AT7" i="12"/>
  <c r="AS7" i="15"/>
  <c r="AT18" i="12"/>
  <c r="AS18" i="15"/>
  <c r="AT15" i="12"/>
  <c r="AS15" i="15"/>
  <c r="AT22" i="12"/>
  <c r="AS22" i="15"/>
  <c r="P27" i="18"/>
  <c r="AT9" i="12"/>
  <c r="AS9" i="15"/>
  <c r="AT20" i="12"/>
  <c r="AS20" i="15"/>
  <c r="AT25" i="12"/>
  <c r="AS25" i="15"/>
  <c r="AT11" i="12"/>
  <c r="AS11" i="15"/>
  <c r="AT12" i="12"/>
  <c r="AS12" i="15"/>
  <c r="AT3" i="12"/>
  <c r="AS3" i="15"/>
  <c r="AT5" i="12"/>
  <c r="AS5" i="15"/>
  <c r="AT8" i="12"/>
  <c r="AS8" i="15"/>
  <c r="AT2" i="12"/>
  <c r="AS27" i="12"/>
  <c r="AS2" i="15"/>
  <c r="AT24" i="12"/>
  <c r="AS24" i="15"/>
  <c r="AT19" i="12"/>
  <c r="AS19" i="15"/>
  <c r="AR27" i="15"/>
  <c r="AT26" i="12"/>
  <c r="AS26" i="15"/>
  <c r="AT6" i="12"/>
  <c r="AS6" i="15"/>
  <c r="AT10" i="12"/>
  <c r="AS10" i="15"/>
  <c r="AT21" i="12"/>
  <c r="AS21" i="15"/>
  <c r="AT16" i="12"/>
  <c r="AS16" i="15"/>
  <c r="AT14" i="12"/>
  <c r="AS14" i="15"/>
  <c r="V17" i="16"/>
  <c r="Q4" i="18"/>
  <c r="Q5" i="18"/>
  <c r="Q6" i="18"/>
  <c r="Q7" i="18"/>
  <c r="Q8" i="18"/>
  <c r="Q9" i="18"/>
  <c r="Q10" i="18"/>
  <c r="Q11" i="18"/>
  <c r="Q12" i="18"/>
  <c r="Q13" i="18"/>
  <c r="Q14" i="18"/>
  <c r="Q15" i="18"/>
  <c r="Q16" i="18"/>
  <c r="Q17" i="18"/>
  <c r="Q18" i="18"/>
  <c r="Q19" i="18"/>
  <c r="Q20" i="18"/>
  <c r="Q21" i="18"/>
  <c r="Q22" i="18"/>
  <c r="Q23" i="18"/>
  <c r="Q24" i="18"/>
  <c r="Q25" i="18"/>
  <c r="Q26" i="18"/>
  <c r="Q3" i="18"/>
  <c r="Q2" i="18"/>
  <c r="AY37" i="16"/>
  <c r="AU26" i="12" l="1"/>
  <c r="AT26" i="15"/>
  <c r="AU21" i="12"/>
  <c r="AT21" i="15"/>
  <c r="AU8" i="12"/>
  <c r="AT8" i="15"/>
  <c r="AU11" i="12"/>
  <c r="AT11" i="15"/>
  <c r="AU19" i="12"/>
  <c r="AT19" i="15"/>
  <c r="AU22" i="12"/>
  <c r="AT22" i="15"/>
  <c r="AU13" i="12"/>
  <c r="AT13" i="15"/>
  <c r="AU5" i="12"/>
  <c r="AT5" i="15"/>
  <c r="AU24" i="12"/>
  <c r="AT24" i="15"/>
  <c r="AU15" i="12"/>
  <c r="AT15" i="15"/>
  <c r="AU4" i="12"/>
  <c r="AT4" i="15"/>
  <c r="AU12" i="12"/>
  <c r="AT12" i="15"/>
  <c r="AU14" i="12"/>
  <c r="AT14" i="15"/>
  <c r="AU6" i="12"/>
  <c r="AT6" i="15"/>
  <c r="AU3" i="12"/>
  <c r="AT3" i="15"/>
  <c r="AU20" i="12"/>
  <c r="AT20" i="15"/>
  <c r="AU16" i="12"/>
  <c r="AT16" i="15"/>
  <c r="AU10" i="12"/>
  <c r="AT10" i="15"/>
  <c r="AU25" i="12"/>
  <c r="AT25" i="15"/>
  <c r="AS27" i="15"/>
  <c r="AU18" i="12"/>
  <c r="AT18" i="15"/>
  <c r="AU23" i="12"/>
  <c r="AT23" i="15"/>
  <c r="AU2" i="12"/>
  <c r="AT27" i="12"/>
  <c r="AT2" i="15"/>
  <c r="AU9" i="12"/>
  <c r="AT9" i="15"/>
  <c r="AU7" i="12"/>
  <c r="AT7" i="15"/>
  <c r="AU17" i="12"/>
  <c r="AT17" i="15"/>
  <c r="Q27" i="18"/>
  <c r="W17" i="16"/>
  <c r="R5" i="18"/>
  <c r="R6" i="18"/>
  <c r="R7" i="18"/>
  <c r="R8" i="18"/>
  <c r="R9" i="18"/>
  <c r="R10" i="18"/>
  <c r="R11" i="18"/>
  <c r="R12" i="18"/>
  <c r="R13" i="18"/>
  <c r="R14" i="18"/>
  <c r="R15" i="18"/>
  <c r="R16" i="18"/>
  <c r="R17" i="18"/>
  <c r="R18" i="18"/>
  <c r="R19" i="18"/>
  <c r="R20" i="18"/>
  <c r="R21" i="18"/>
  <c r="R22" i="18"/>
  <c r="R23" i="18"/>
  <c r="R24" i="18"/>
  <c r="R25" i="18"/>
  <c r="R26" i="18"/>
  <c r="R2" i="18"/>
  <c r="R4" i="18"/>
  <c r="R3" i="18"/>
  <c r="AZ37" i="16"/>
  <c r="AV7" i="12" l="1"/>
  <c r="AU7" i="15"/>
  <c r="AV16" i="12"/>
  <c r="AU16" i="15"/>
  <c r="AV14" i="12"/>
  <c r="AU14" i="15"/>
  <c r="AV24" i="12"/>
  <c r="AU24" i="15"/>
  <c r="AV19" i="12"/>
  <c r="AU19" i="15"/>
  <c r="AV26" i="12"/>
  <c r="AU26" i="15"/>
  <c r="AV18" i="12"/>
  <c r="AU18" i="15"/>
  <c r="AV9" i="12"/>
  <c r="AU9" i="15"/>
  <c r="AV5" i="12"/>
  <c r="AU5" i="15"/>
  <c r="AV3" i="12"/>
  <c r="AU3" i="15"/>
  <c r="AV2" i="12"/>
  <c r="AU27" i="12"/>
  <c r="AU2" i="15"/>
  <c r="AV20" i="12"/>
  <c r="AU20" i="15"/>
  <c r="AV12" i="12"/>
  <c r="AU12" i="15"/>
  <c r="AV11" i="12"/>
  <c r="AU11" i="15"/>
  <c r="AT27" i="15"/>
  <c r="AV25" i="12"/>
  <c r="AU25" i="15"/>
  <c r="AV4" i="12"/>
  <c r="AU4" i="15"/>
  <c r="AV13" i="12"/>
  <c r="AU13" i="15"/>
  <c r="AV8" i="12"/>
  <c r="AU8" i="15"/>
  <c r="AV17" i="12"/>
  <c r="AU17" i="15"/>
  <c r="AV10" i="12"/>
  <c r="AU10" i="15"/>
  <c r="AV6" i="12"/>
  <c r="AU6" i="15"/>
  <c r="AV15" i="12"/>
  <c r="AU15" i="15"/>
  <c r="AV22" i="12"/>
  <c r="AU22" i="15"/>
  <c r="AV21" i="12"/>
  <c r="AU21" i="15"/>
  <c r="AV23" i="12"/>
  <c r="AU23" i="15"/>
  <c r="R27" i="18"/>
  <c r="X17" i="16"/>
  <c r="S6" i="18"/>
  <c r="S7" i="18"/>
  <c r="S8" i="18"/>
  <c r="S9" i="18"/>
  <c r="S10" i="18"/>
  <c r="S11" i="18"/>
  <c r="S12" i="18"/>
  <c r="S13" i="18"/>
  <c r="S14" i="18"/>
  <c r="S15" i="18"/>
  <c r="S16" i="18"/>
  <c r="S17" i="18"/>
  <c r="S18" i="18"/>
  <c r="S19" i="18"/>
  <c r="S20" i="18"/>
  <c r="S21" i="18"/>
  <c r="S22" i="18"/>
  <c r="S23" i="18"/>
  <c r="S24" i="18"/>
  <c r="S25" i="18"/>
  <c r="S26" i="18"/>
  <c r="S2" i="18"/>
  <c r="S3" i="18"/>
  <c r="S5" i="18"/>
  <c r="S4" i="18"/>
  <c r="BA37" i="16"/>
  <c r="AW20" i="12" l="1"/>
  <c r="AV20" i="15"/>
  <c r="AW22" i="12"/>
  <c r="AV22" i="15"/>
  <c r="AW17" i="12"/>
  <c r="AV17" i="15"/>
  <c r="AW25" i="12"/>
  <c r="AV25" i="15"/>
  <c r="AU27" i="15"/>
  <c r="AW9" i="12"/>
  <c r="AV9" i="15"/>
  <c r="AW24" i="12"/>
  <c r="AV24" i="15"/>
  <c r="AW14" i="12"/>
  <c r="AV14" i="15"/>
  <c r="AW11" i="12"/>
  <c r="AV11" i="15"/>
  <c r="AW15" i="12"/>
  <c r="AV15" i="15"/>
  <c r="AW8" i="12"/>
  <c r="AV8" i="15"/>
  <c r="AW2" i="12"/>
  <c r="AV27" i="12"/>
  <c r="AV2" i="15"/>
  <c r="AW18" i="12"/>
  <c r="AV18" i="15"/>
  <c r="AW23" i="12"/>
  <c r="AV23" i="15"/>
  <c r="AW6" i="12"/>
  <c r="AV6" i="15"/>
  <c r="AW13" i="12"/>
  <c r="AV13" i="15"/>
  <c r="AW3" i="12"/>
  <c r="AV3" i="15"/>
  <c r="AW26" i="12"/>
  <c r="AV26" i="15"/>
  <c r="AW16" i="12"/>
  <c r="AV16" i="15"/>
  <c r="AW12" i="12"/>
  <c r="AV12" i="15"/>
  <c r="AW21" i="12"/>
  <c r="AV21" i="15"/>
  <c r="AW10" i="12"/>
  <c r="AV10" i="15"/>
  <c r="AW4" i="12"/>
  <c r="AV4" i="15"/>
  <c r="AW5" i="12"/>
  <c r="AV5" i="15"/>
  <c r="AW19" i="12"/>
  <c r="AV19" i="15"/>
  <c r="AW7" i="12"/>
  <c r="AV7" i="15"/>
  <c r="S27" i="18"/>
  <c r="Y17" i="16"/>
  <c r="T7" i="18"/>
  <c r="T8" i="18"/>
  <c r="T9" i="18"/>
  <c r="T10" i="18"/>
  <c r="T11" i="18"/>
  <c r="T12" i="18"/>
  <c r="T13" i="18"/>
  <c r="T14" i="18"/>
  <c r="T15" i="18"/>
  <c r="T16" i="18"/>
  <c r="T17" i="18"/>
  <c r="T18" i="18"/>
  <c r="T19" i="18"/>
  <c r="T20" i="18"/>
  <c r="T21" i="18"/>
  <c r="T22" i="18"/>
  <c r="T23" i="18"/>
  <c r="T24" i="18"/>
  <c r="T25" i="18"/>
  <c r="T26" i="18"/>
  <c r="T2" i="18"/>
  <c r="T3" i="18"/>
  <c r="T4" i="18"/>
  <c r="T6" i="18"/>
  <c r="T5" i="18"/>
  <c r="BB37" i="16"/>
  <c r="AX15" i="12" l="1"/>
  <c r="AW15" i="15"/>
  <c r="AV27" i="15"/>
  <c r="AX11" i="12"/>
  <c r="AW11" i="15"/>
  <c r="AX5" i="12"/>
  <c r="AW5" i="15"/>
  <c r="AX12" i="12"/>
  <c r="AW12" i="15"/>
  <c r="AX13" i="12"/>
  <c r="AW13" i="15"/>
  <c r="AX25" i="12"/>
  <c r="AW25" i="15"/>
  <c r="AX9" i="12"/>
  <c r="AW9" i="15"/>
  <c r="AX6" i="12"/>
  <c r="AW6" i="15"/>
  <c r="AX2" i="12"/>
  <c r="AW27" i="12"/>
  <c r="AW2" i="15"/>
  <c r="AX4" i="12"/>
  <c r="AW4" i="15"/>
  <c r="AX8" i="12"/>
  <c r="AW8" i="15"/>
  <c r="AX24" i="12"/>
  <c r="AW24" i="15"/>
  <c r="AX14" i="12"/>
  <c r="AW14" i="15"/>
  <c r="AX16" i="12"/>
  <c r="AW16" i="15"/>
  <c r="AX17" i="12"/>
  <c r="AW17" i="15"/>
  <c r="AX7" i="12"/>
  <c r="AW7" i="15"/>
  <c r="AX10" i="12"/>
  <c r="AW10" i="15"/>
  <c r="AX26" i="12"/>
  <c r="AW26" i="15"/>
  <c r="AX23" i="12"/>
  <c r="AW23" i="15"/>
  <c r="AX22" i="12"/>
  <c r="AW22" i="15"/>
  <c r="AX19" i="12"/>
  <c r="AW19" i="15"/>
  <c r="AX21" i="12"/>
  <c r="AW21" i="15"/>
  <c r="AX3" i="12"/>
  <c r="AW3" i="15"/>
  <c r="AX18" i="12"/>
  <c r="AW18" i="15"/>
  <c r="AX20" i="12"/>
  <c r="AW20" i="15"/>
  <c r="T27" i="18"/>
  <c r="Z17" i="16"/>
  <c r="U8" i="18"/>
  <c r="U9" i="18"/>
  <c r="U10" i="18"/>
  <c r="U11" i="18"/>
  <c r="U12" i="18"/>
  <c r="U13" i="18"/>
  <c r="U14" i="18"/>
  <c r="U15" i="18"/>
  <c r="U16" i="18"/>
  <c r="U17" i="18"/>
  <c r="U18" i="18"/>
  <c r="U19" i="18"/>
  <c r="U20" i="18"/>
  <c r="U21" i="18"/>
  <c r="U22" i="18"/>
  <c r="U23" i="18"/>
  <c r="U24" i="18"/>
  <c r="U25" i="18"/>
  <c r="U26" i="18"/>
  <c r="U2" i="18"/>
  <c r="U3" i="18"/>
  <c r="U4" i="18"/>
  <c r="U5" i="18"/>
  <c r="U7" i="18"/>
  <c r="U6" i="18"/>
  <c r="BC37" i="16"/>
  <c r="AY2" i="12" l="1"/>
  <c r="AX27" i="12"/>
  <c r="AX2" i="15"/>
  <c r="AY13" i="12"/>
  <c r="AX13" i="15"/>
  <c r="AY18" i="12"/>
  <c r="AX18" i="15"/>
  <c r="AY22" i="12"/>
  <c r="AX22" i="15"/>
  <c r="AY7" i="12"/>
  <c r="AX7" i="15"/>
  <c r="AY24" i="12"/>
  <c r="AX24" i="15"/>
  <c r="AY15" i="12"/>
  <c r="AX15" i="15"/>
  <c r="AY6" i="12"/>
  <c r="AX6" i="15"/>
  <c r="AY12" i="12"/>
  <c r="AX12" i="15"/>
  <c r="AY17" i="12"/>
  <c r="AX17" i="15"/>
  <c r="AY23" i="12"/>
  <c r="AX23" i="15"/>
  <c r="AY26" i="12"/>
  <c r="AX26" i="15"/>
  <c r="AY4" i="12"/>
  <c r="AX4" i="15"/>
  <c r="AW27" i="15"/>
  <c r="AY25" i="12"/>
  <c r="AX25" i="15"/>
  <c r="AY11" i="12"/>
  <c r="AX11" i="15"/>
  <c r="AY3" i="12"/>
  <c r="AX3" i="15"/>
  <c r="AY8" i="12"/>
  <c r="AX8" i="15"/>
  <c r="AY9" i="12"/>
  <c r="AX9" i="15"/>
  <c r="AY5" i="12"/>
  <c r="AX5" i="15"/>
  <c r="AY21" i="12"/>
  <c r="AX21" i="15"/>
  <c r="AY16" i="12"/>
  <c r="AX16" i="15"/>
  <c r="AY20" i="12"/>
  <c r="AX20" i="15"/>
  <c r="AY19" i="12"/>
  <c r="AX19" i="15"/>
  <c r="AY10" i="12"/>
  <c r="AX10" i="15"/>
  <c r="AY14" i="12"/>
  <c r="AX14" i="15"/>
  <c r="U27" i="18"/>
  <c r="AA17" i="16"/>
  <c r="V9" i="18"/>
  <c r="V10" i="18"/>
  <c r="V11" i="18"/>
  <c r="V12" i="18"/>
  <c r="V13" i="18"/>
  <c r="V14" i="18"/>
  <c r="V15" i="18"/>
  <c r="V16" i="18"/>
  <c r="V17" i="18"/>
  <c r="V18" i="18"/>
  <c r="V19" i="18"/>
  <c r="V20" i="18"/>
  <c r="V21" i="18"/>
  <c r="V22" i="18"/>
  <c r="V23" i="18"/>
  <c r="V24" i="18"/>
  <c r="V25" i="18"/>
  <c r="V26" i="18"/>
  <c r="V2" i="18"/>
  <c r="V3" i="18"/>
  <c r="V4" i="18"/>
  <c r="V5" i="18"/>
  <c r="V6" i="18"/>
  <c r="V8" i="18"/>
  <c r="V7" i="18"/>
  <c r="BD37" i="16"/>
  <c r="AZ19" i="12" l="1"/>
  <c r="AY19" i="15"/>
  <c r="AZ5" i="12"/>
  <c r="AY5" i="15"/>
  <c r="AZ11" i="12"/>
  <c r="AY11" i="15"/>
  <c r="AZ10" i="12"/>
  <c r="AY10" i="15"/>
  <c r="AZ26" i="12"/>
  <c r="AY26" i="15"/>
  <c r="AZ6" i="12"/>
  <c r="AY6" i="15"/>
  <c r="AZ22" i="12"/>
  <c r="AY22" i="15"/>
  <c r="AZ23" i="12"/>
  <c r="AY23" i="15"/>
  <c r="AZ15" i="12"/>
  <c r="AY15" i="15"/>
  <c r="AZ18" i="12"/>
  <c r="AY18" i="15"/>
  <c r="AZ9" i="12"/>
  <c r="AY9" i="15"/>
  <c r="AZ17" i="12"/>
  <c r="AY17" i="15"/>
  <c r="AZ24" i="12"/>
  <c r="AY24" i="15"/>
  <c r="AZ13" i="12"/>
  <c r="AY13" i="15"/>
  <c r="AZ21" i="12"/>
  <c r="AY21" i="15"/>
  <c r="AZ25" i="12"/>
  <c r="AY25" i="15"/>
  <c r="AZ14" i="12"/>
  <c r="AY14" i="15"/>
  <c r="AZ16" i="12"/>
  <c r="AY16" i="15"/>
  <c r="AZ8" i="12"/>
  <c r="AY8" i="15"/>
  <c r="AX27" i="15"/>
  <c r="AZ3" i="12"/>
  <c r="AY3" i="15"/>
  <c r="AZ2" i="12"/>
  <c r="AY27" i="12"/>
  <c r="AY2" i="15"/>
  <c r="AZ20" i="12"/>
  <c r="AY20" i="15"/>
  <c r="AZ4" i="12"/>
  <c r="AY4" i="15"/>
  <c r="AZ12" i="12"/>
  <c r="AY12" i="15"/>
  <c r="AZ7" i="12"/>
  <c r="AY7" i="15"/>
  <c r="V27" i="18"/>
  <c r="AB17" i="16"/>
  <c r="W10" i="18"/>
  <c r="W11" i="18"/>
  <c r="W12" i="18"/>
  <c r="W13" i="18"/>
  <c r="W14" i="18"/>
  <c r="W15" i="18"/>
  <c r="W16" i="18"/>
  <c r="W17" i="18"/>
  <c r="W18" i="18"/>
  <c r="W19" i="18"/>
  <c r="W20" i="18"/>
  <c r="W21" i="18"/>
  <c r="W22" i="18"/>
  <c r="W23" i="18"/>
  <c r="W24" i="18"/>
  <c r="W25" i="18"/>
  <c r="W26" i="18"/>
  <c r="W2" i="18"/>
  <c r="W3" i="18"/>
  <c r="W4" i="18"/>
  <c r="W5" i="18"/>
  <c r="W6" i="18"/>
  <c r="W7" i="18"/>
  <c r="W9" i="18"/>
  <c r="W8" i="18"/>
  <c r="BE37" i="16"/>
  <c r="BA14" i="12" l="1"/>
  <c r="AZ14" i="15"/>
  <c r="BA15" i="12"/>
  <c r="AZ15" i="15"/>
  <c r="BA19" i="12"/>
  <c r="AZ19" i="15"/>
  <c r="BA4" i="12"/>
  <c r="AZ4" i="15"/>
  <c r="BA25" i="12"/>
  <c r="AZ25" i="15"/>
  <c r="BA17" i="12"/>
  <c r="AZ17" i="15"/>
  <c r="BA23" i="12"/>
  <c r="AZ23" i="15"/>
  <c r="BA10" i="12"/>
  <c r="AZ10" i="15"/>
  <c r="BA24" i="12"/>
  <c r="AZ24" i="15"/>
  <c r="BA3" i="12"/>
  <c r="AZ3" i="15"/>
  <c r="BA12" i="12"/>
  <c r="AZ12" i="15"/>
  <c r="BA8" i="12"/>
  <c r="AZ8" i="15"/>
  <c r="BA11" i="12"/>
  <c r="AZ11" i="15"/>
  <c r="AY27" i="15"/>
  <c r="BA20" i="12"/>
  <c r="AZ20" i="15"/>
  <c r="BA21" i="12"/>
  <c r="AZ21" i="15"/>
  <c r="BA22" i="12"/>
  <c r="AZ22" i="15"/>
  <c r="BA7" i="12"/>
  <c r="AZ7" i="15"/>
  <c r="BA16" i="12"/>
  <c r="AZ16" i="15"/>
  <c r="BA13" i="12"/>
  <c r="AZ13" i="15"/>
  <c r="BA18" i="12"/>
  <c r="AZ18" i="15"/>
  <c r="BA6" i="12"/>
  <c r="AZ6" i="15"/>
  <c r="BA5" i="12"/>
  <c r="AZ5" i="15"/>
  <c r="BA26" i="12"/>
  <c r="AZ26" i="15"/>
  <c r="BA9" i="12"/>
  <c r="AZ9" i="15"/>
  <c r="BA2" i="12"/>
  <c r="AZ27" i="12"/>
  <c r="AZ2" i="15"/>
  <c r="W27" i="18"/>
  <c r="AC17" i="16"/>
  <c r="X11" i="18"/>
  <c r="X12" i="18"/>
  <c r="X13" i="18"/>
  <c r="X14" i="18"/>
  <c r="X15" i="18"/>
  <c r="X16" i="18"/>
  <c r="X17" i="18"/>
  <c r="X18" i="18"/>
  <c r="X19" i="18"/>
  <c r="X20" i="18"/>
  <c r="X21" i="18"/>
  <c r="X22" i="18"/>
  <c r="X23" i="18"/>
  <c r="X24" i="18"/>
  <c r="X25" i="18"/>
  <c r="X26" i="18"/>
  <c r="X2" i="18"/>
  <c r="X3" i="18"/>
  <c r="X4" i="18"/>
  <c r="X5" i="18"/>
  <c r="X6" i="18"/>
  <c r="X7" i="18"/>
  <c r="X8" i="18"/>
  <c r="X9" i="18"/>
  <c r="X10" i="18"/>
  <c r="BF37" i="16"/>
  <c r="BB24" i="12" l="1"/>
  <c r="BA24" i="15"/>
  <c r="BB18" i="12"/>
  <c r="BA18" i="15"/>
  <c r="BB8" i="12"/>
  <c r="BA8" i="15"/>
  <c r="BB10" i="12"/>
  <c r="BA10" i="15"/>
  <c r="BB4" i="12"/>
  <c r="BA4" i="15"/>
  <c r="BB11" i="12"/>
  <c r="BA11" i="15"/>
  <c r="BB9" i="12"/>
  <c r="BA9" i="15"/>
  <c r="BB22" i="12"/>
  <c r="BA22" i="15"/>
  <c r="BB26" i="12"/>
  <c r="BA26" i="15"/>
  <c r="BB13" i="12"/>
  <c r="BA13" i="15"/>
  <c r="BB21" i="12"/>
  <c r="BA21" i="15"/>
  <c r="BB14" i="12"/>
  <c r="BA14" i="15"/>
  <c r="AZ27" i="15"/>
  <c r="BB5" i="12"/>
  <c r="BA5" i="15"/>
  <c r="BB16" i="12"/>
  <c r="BA16" i="15"/>
  <c r="BB20" i="12"/>
  <c r="BA20" i="15"/>
  <c r="BB25" i="12"/>
  <c r="BA25" i="15"/>
  <c r="BB3" i="12"/>
  <c r="BA3" i="15"/>
  <c r="BB17" i="12"/>
  <c r="BA17" i="15"/>
  <c r="BB15" i="12"/>
  <c r="BA15" i="15"/>
  <c r="BB12" i="12"/>
  <c r="BA12" i="15"/>
  <c r="BB23" i="12"/>
  <c r="BA23" i="15"/>
  <c r="BB19" i="12"/>
  <c r="BA19" i="15"/>
  <c r="BB2" i="12"/>
  <c r="BA27" i="12"/>
  <c r="BA2" i="15"/>
  <c r="BB6" i="12"/>
  <c r="BA6" i="15"/>
  <c r="BB7" i="12"/>
  <c r="BA7" i="15"/>
  <c r="X27" i="18"/>
  <c r="AD17" i="16"/>
  <c r="Y12" i="18"/>
  <c r="Y13" i="18"/>
  <c r="Y14" i="18"/>
  <c r="Y15" i="18"/>
  <c r="Y16" i="18"/>
  <c r="Y17" i="18"/>
  <c r="Y18" i="18"/>
  <c r="Y19" i="18"/>
  <c r="Y20" i="18"/>
  <c r="Y21" i="18"/>
  <c r="Y22" i="18"/>
  <c r="Y23" i="18"/>
  <c r="Y24" i="18"/>
  <c r="Y25" i="18"/>
  <c r="Y26" i="18"/>
  <c r="Y2" i="18"/>
  <c r="Y3" i="18"/>
  <c r="Y4" i="18"/>
  <c r="Y5" i="18"/>
  <c r="Y6" i="18"/>
  <c r="Y7" i="18"/>
  <c r="Y8" i="18"/>
  <c r="Y9" i="18"/>
  <c r="Y11" i="18"/>
  <c r="Y10" i="18"/>
  <c r="BG37" i="16"/>
  <c r="BA27" i="15" l="1"/>
  <c r="BC14" i="12"/>
  <c r="BB14" i="15"/>
  <c r="BC22" i="12"/>
  <c r="BB22" i="15"/>
  <c r="BC10" i="12"/>
  <c r="BB10" i="15"/>
  <c r="Y27" i="18"/>
  <c r="BC2" i="12"/>
  <c r="BB27" i="12"/>
  <c r="BB2" i="15"/>
  <c r="BC15" i="12"/>
  <c r="BB15" i="15"/>
  <c r="BC20" i="12"/>
  <c r="BB20" i="15"/>
  <c r="BC25" i="12"/>
  <c r="BB25" i="15"/>
  <c r="BC21" i="12"/>
  <c r="BB21" i="15"/>
  <c r="BC9" i="12"/>
  <c r="BB9" i="15"/>
  <c r="BC8" i="12"/>
  <c r="BB8" i="15"/>
  <c r="BC19" i="12"/>
  <c r="BB19" i="15"/>
  <c r="BC17" i="12"/>
  <c r="BB17" i="15"/>
  <c r="BC16" i="12"/>
  <c r="BB16" i="15"/>
  <c r="BC7" i="12"/>
  <c r="BB7" i="15"/>
  <c r="BC13" i="12"/>
  <c r="BB13" i="15"/>
  <c r="BC11" i="12"/>
  <c r="BB11" i="15"/>
  <c r="BC18" i="12"/>
  <c r="BB18" i="15"/>
  <c r="BC12" i="12"/>
  <c r="BB12" i="15"/>
  <c r="BC23" i="12"/>
  <c r="BB23" i="15"/>
  <c r="BC3" i="12"/>
  <c r="BB3" i="15"/>
  <c r="BC5" i="12"/>
  <c r="BB5" i="15"/>
  <c r="BC6" i="12"/>
  <c r="BB6" i="15"/>
  <c r="BC26" i="12"/>
  <c r="BB26" i="15"/>
  <c r="BC4" i="12"/>
  <c r="BB4" i="15"/>
  <c r="BC24" i="12"/>
  <c r="BB24" i="15"/>
  <c r="AE17" i="16"/>
  <c r="Z13" i="18"/>
  <c r="Z14" i="18"/>
  <c r="Z15" i="18"/>
  <c r="Z16" i="18"/>
  <c r="Z17" i="18"/>
  <c r="Z18" i="18"/>
  <c r="Z19" i="18"/>
  <c r="Z20" i="18"/>
  <c r="Z21" i="18"/>
  <c r="Z22" i="18"/>
  <c r="Z23" i="18"/>
  <c r="Z24" i="18"/>
  <c r="Z25" i="18"/>
  <c r="Z26" i="18"/>
  <c r="Z2" i="18"/>
  <c r="Z3" i="18"/>
  <c r="Z4" i="18"/>
  <c r="Z5" i="18"/>
  <c r="Z6" i="18"/>
  <c r="Z7" i="18"/>
  <c r="Z8" i="18"/>
  <c r="Z9" i="18"/>
  <c r="Z10" i="18"/>
  <c r="Z12" i="18"/>
  <c r="Z11" i="18"/>
  <c r="BH37" i="16"/>
  <c r="BB27" i="15" l="1"/>
  <c r="BD4" i="12"/>
  <c r="BC4" i="15"/>
  <c r="BD3" i="12"/>
  <c r="BC3" i="15"/>
  <c r="BD11" i="12"/>
  <c r="BC11" i="15"/>
  <c r="BD17" i="12"/>
  <c r="BC17" i="15"/>
  <c r="BD21" i="12"/>
  <c r="BC21" i="15"/>
  <c r="BD14" i="12"/>
  <c r="BC14" i="15"/>
  <c r="BD2" i="12"/>
  <c r="BC27" i="12"/>
  <c r="BC2" i="15"/>
  <c r="BD23" i="12"/>
  <c r="BC23" i="15"/>
  <c r="BD13" i="12"/>
  <c r="BC13" i="15"/>
  <c r="BD7" i="12"/>
  <c r="BC7" i="15"/>
  <c r="BD26" i="12"/>
  <c r="BC26" i="15"/>
  <c r="BD19" i="12"/>
  <c r="BC19" i="15"/>
  <c r="BD25" i="12"/>
  <c r="BC25" i="15"/>
  <c r="BD6" i="12"/>
  <c r="BC6" i="15"/>
  <c r="BD12" i="12"/>
  <c r="BC12" i="15"/>
  <c r="BD8" i="12"/>
  <c r="BC8" i="15"/>
  <c r="BD20" i="12"/>
  <c r="BC20" i="15"/>
  <c r="BD10" i="12"/>
  <c r="BC10" i="15"/>
  <c r="BD24" i="12"/>
  <c r="BC24" i="15"/>
  <c r="BD5" i="12"/>
  <c r="BC5" i="15"/>
  <c r="BD18" i="12"/>
  <c r="BC18" i="15"/>
  <c r="BD16" i="12"/>
  <c r="BC16" i="15"/>
  <c r="BD9" i="12"/>
  <c r="BC9" i="15"/>
  <c r="BD15" i="12"/>
  <c r="BC15" i="15"/>
  <c r="BD22" i="12"/>
  <c r="BC22" i="15"/>
  <c r="Z27" i="18"/>
  <c r="AF17" i="16"/>
  <c r="AA14" i="18"/>
  <c r="AA15" i="18"/>
  <c r="AA16" i="18"/>
  <c r="AA17" i="18"/>
  <c r="AA18" i="18"/>
  <c r="AA19" i="18"/>
  <c r="AA20" i="18"/>
  <c r="AA21" i="18"/>
  <c r="AA22" i="18"/>
  <c r="AA23" i="18"/>
  <c r="AA24" i="18"/>
  <c r="AA25" i="18"/>
  <c r="AA26" i="18"/>
  <c r="AA2" i="18"/>
  <c r="AA3" i="18"/>
  <c r="AA4" i="18"/>
  <c r="AA5" i="18"/>
  <c r="AA6" i="18"/>
  <c r="AA7" i="18"/>
  <c r="AA8" i="18"/>
  <c r="AA9" i="18"/>
  <c r="AA10" i="18"/>
  <c r="AA11" i="18"/>
  <c r="AA13" i="18"/>
  <c r="AA12" i="18"/>
  <c r="BI37" i="16"/>
  <c r="BC27" i="15" l="1"/>
  <c r="BE9" i="12"/>
  <c r="BD9" i="15"/>
  <c r="BE24" i="12"/>
  <c r="BD24" i="15"/>
  <c r="BE12" i="12"/>
  <c r="BD12" i="15"/>
  <c r="BE26" i="12"/>
  <c r="BD26" i="15"/>
  <c r="BE5" i="12"/>
  <c r="BD5" i="15"/>
  <c r="BE17" i="12"/>
  <c r="BD17" i="15"/>
  <c r="BE2" i="12"/>
  <c r="BD27" i="12"/>
  <c r="BD2" i="15"/>
  <c r="BE11" i="12"/>
  <c r="BD11" i="15"/>
  <c r="BE15" i="12"/>
  <c r="BD15" i="15"/>
  <c r="BE23" i="12"/>
  <c r="BD23" i="15"/>
  <c r="BE16" i="12"/>
  <c r="BD16" i="15"/>
  <c r="BE14" i="12"/>
  <c r="BD14" i="15"/>
  <c r="BE3" i="12"/>
  <c r="BD3" i="15"/>
  <c r="BE19" i="12"/>
  <c r="BD19" i="15"/>
  <c r="BE10" i="12"/>
  <c r="BD10" i="15"/>
  <c r="BE7" i="12"/>
  <c r="BD7" i="15"/>
  <c r="BE22" i="12"/>
  <c r="BD22" i="15"/>
  <c r="BE18" i="12"/>
  <c r="BD18" i="15"/>
  <c r="BE20" i="12"/>
  <c r="BD20" i="15"/>
  <c r="BE25" i="12"/>
  <c r="BD25" i="15"/>
  <c r="BE13" i="12"/>
  <c r="BD13" i="15"/>
  <c r="BE8" i="12"/>
  <c r="BD8" i="15"/>
  <c r="BE6" i="12"/>
  <c r="BD6" i="15"/>
  <c r="BE21" i="12"/>
  <c r="BD21" i="15"/>
  <c r="BE4" i="12"/>
  <c r="BD4" i="15"/>
  <c r="AA27" i="18"/>
  <c r="AG17" i="16"/>
  <c r="AB15" i="18"/>
  <c r="AB16" i="18"/>
  <c r="AB17" i="18"/>
  <c r="AB18" i="18"/>
  <c r="AB19" i="18"/>
  <c r="AB20" i="18"/>
  <c r="AB21" i="18"/>
  <c r="AB22" i="18"/>
  <c r="AB23" i="18"/>
  <c r="AB24" i="18"/>
  <c r="AB25" i="18"/>
  <c r="AB26" i="18"/>
  <c r="AB2" i="18"/>
  <c r="AB3" i="18"/>
  <c r="AB4" i="18"/>
  <c r="AB5" i="18"/>
  <c r="AB6" i="18"/>
  <c r="AB7" i="18"/>
  <c r="AB8" i="18"/>
  <c r="AB9" i="18"/>
  <c r="AB10" i="18"/>
  <c r="AB11" i="18"/>
  <c r="AB12" i="18"/>
  <c r="AB14" i="18"/>
  <c r="AB13" i="18"/>
  <c r="BJ37" i="16"/>
  <c r="BF26" i="12" l="1"/>
  <c r="BE26" i="15"/>
  <c r="BF6" i="12"/>
  <c r="BE6" i="15"/>
  <c r="BF20" i="12"/>
  <c r="BE20" i="15"/>
  <c r="BF10" i="12"/>
  <c r="BE10" i="15"/>
  <c r="BF16" i="12"/>
  <c r="BE16" i="15"/>
  <c r="BF2" i="12"/>
  <c r="BE27" i="12"/>
  <c r="BE2" i="15"/>
  <c r="BF12" i="12"/>
  <c r="BE12" i="15"/>
  <c r="BF8" i="12"/>
  <c r="BE8" i="15"/>
  <c r="BF18" i="12"/>
  <c r="BE18" i="15"/>
  <c r="BF19" i="12"/>
  <c r="BE19" i="15"/>
  <c r="BF23" i="12"/>
  <c r="BE23" i="15"/>
  <c r="BF17" i="12"/>
  <c r="BE17" i="15"/>
  <c r="BF24" i="12"/>
  <c r="BE24" i="15"/>
  <c r="BD27" i="15"/>
  <c r="BF4" i="12"/>
  <c r="BE4" i="15"/>
  <c r="BF13" i="12"/>
  <c r="BE13" i="15"/>
  <c r="BF22" i="12"/>
  <c r="BE22" i="15"/>
  <c r="BF3" i="12"/>
  <c r="BE3" i="15"/>
  <c r="BF15" i="12"/>
  <c r="BE15" i="15"/>
  <c r="BF5" i="12"/>
  <c r="BE5" i="15"/>
  <c r="BF9" i="12"/>
  <c r="BE9" i="15"/>
  <c r="BF21" i="12"/>
  <c r="BE21" i="15"/>
  <c r="BF25" i="12"/>
  <c r="BE25" i="15"/>
  <c r="BF7" i="12"/>
  <c r="BE7" i="15"/>
  <c r="BF14" i="12"/>
  <c r="BE14" i="15"/>
  <c r="BF11" i="12"/>
  <c r="BE11" i="15"/>
  <c r="AB27" i="18"/>
  <c r="AC16" i="18"/>
  <c r="AC17" i="18"/>
  <c r="AC18" i="18"/>
  <c r="AC19" i="18"/>
  <c r="AC20" i="18"/>
  <c r="AC21" i="18"/>
  <c r="AH17" i="16"/>
  <c r="AC22" i="18"/>
  <c r="AC23" i="18"/>
  <c r="AC24" i="18"/>
  <c r="AC25" i="18"/>
  <c r="AC26" i="18"/>
  <c r="AC2" i="18"/>
  <c r="AC3" i="18"/>
  <c r="AC4" i="18"/>
  <c r="AC5" i="18"/>
  <c r="AC6" i="18"/>
  <c r="AC7" i="18"/>
  <c r="AC8" i="18"/>
  <c r="AC9" i="18"/>
  <c r="AC10" i="18"/>
  <c r="AC11" i="18"/>
  <c r="AC12" i="18"/>
  <c r="AC13" i="18"/>
  <c r="AC15" i="18"/>
  <c r="AC14" i="18"/>
  <c r="BK37" i="16"/>
  <c r="BG17" i="12" l="1"/>
  <c r="BF17" i="15"/>
  <c r="BG8" i="12"/>
  <c r="BF8" i="15"/>
  <c r="BG5" i="12"/>
  <c r="BF5" i="15"/>
  <c r="BG10" i="12"/>
  <c r="BF10" i="15"/>
  <c r="BG12" i="12"/>
  <c r="BF12" i="15"/>
  <c r="BG25" i="12"/>
  <c r="BF25" i="15"/>
  <c r="BG15" i="12"/>
  <c r="BF15" i="15"/>
  <c r="BG4" i="12"/>
  <c r="BF4" i="15"/>
  <c r="BE27" i="15"/>
  <c r="BG20" i="12"/>
  <c r="BF20" i="15"/>
  <c r="BG13" i="12"/>
  <c r="BF13" i="15"/>
  <c r="BG23" i="12"/>
  <c r="BF23" i="15"/>
  <c r="BG19" i="12"/>
  <c r="BF19" i="15"/>
  <c r="BG11" i="12"/>
  <c r="BF11" i="15"/>
  <c r="BG21" i="12"/>
  <c r="BF21" i="15"/>
  <c r="BG3" i="12"/>
  <c r="BF3" i="15"/>
  <c r="BG2" i="12"/>
  <c r="BF27" i="12"/>
  <c r="BF2" i="15"/>
  <c r="BG6" i="12"/>
  <c r="BF6" i="15"/>
  <c r="BG7" i="12"/>
  <c r="BF7" i="15"/>
  <c r="BG24" i="12"/>
  <c r="BF24" i="15"/>
  <c r="BG18" i="12"/>
  <c r="BF18" i="15"/>
  <c r="BG14" i="12"/>
  <c r="BF14" i="15"/>
  <c r="BG9" i="12"/>
  <c r="BF9" i="15"/>
  <c r="BG22" i="12"/>
  <c r="BF22" i="15"/>
  <c r="BG16" i="12"/>
  <c r="BF16" i="15"/>
  <c r="BG26" i="12"/>
  <c r="BF26" i="15"/>
  <c r="AD21" i="18"/>
  <c r="AD7" i="18"/>
  <c r="AD26" i="18"/>
  <c r="AD12" i="18"/>
  <c r="AD17" i="18"/>
  <c r="AD3" i="18"/>
  <c r="AD22" i="18"/>
  <c r="AD8" i="18"/>
  <c r="AD13" i="18"/>
  <c r="AD18" i="18"/>
  <c r="AD4" i="18"/>
  <c r="AD23" i="18"/>
  <c r="AD9" i="18"/>
  <c r="AD14" i="18"/>
  <c r="AD19" i="18"/>
  <c r="AD5" i="18"/>
  <c r="AD24" i="18"/>
  <c r="AD10" i="18"/>
  <c r="AD15" i="18"/>
  <c r="AD20" i="18"/>
  <c r="AD6" i="18"/>
  <c r="AD25" i="18"/>
  <c r="AD11" i="18"/>
  <c r="AD2" i="18"/>
  <c r="AD16" i="18"/>
  <c r="AI17" i="16"/>
  <c r="AC27" i="18"/>
  <c r="BL37" i="16"/>
  <c r="BH11" i="12" l="1"/>
  <c r="BG11" i="15"/>
  <c r="BH2" i="12"/>
  <c r="BG27" i="12"/>
  <c r="BG2" i="15"/>
  <c r="BH19" i="12"/>
  <c r="BG19" i="15"/>
  <c r="BH24" i="12"/>
  <c r="BG24" i="15"/>
  <c r="BH4" i="12"/>
  <c r="BG4" i="15"/>
  <c r="BH3" i="12"/>
  <c r="BG3" i="15"/>
  <c r="BH9" i="12"/>
  <c r="BG9" i="15"/>
  <c r="BH7" i="12"/>
  <c r="BG7" i="15"/>
  <c r="BH15" i="12"/>
  <c r="BG15" i="15"/>
  <c r="BH5" i="12"/>
  <c r="BG5" i="15"/>
  <c r="BH22" i="12"/>
  <c r="BG22" i="15"/>
  <c r="BH21" i="12"/>
  <c r="BG21" i="15"/>
  <c r="BH13" i="12"/>
  <c r="BG13" i="15"/>
  <c r="BH10" i="12"/>
  <c r="BG10" i="15"/>
  <c r="BH23" i="12"/>
  <c r="BG23" i="15"/>
  <c r="BH26" i="12"/>
  <c r="BG26" i="15"/>
  <c r="BH14" i="12"/>
  <c r="BG14" i="15"/>
  <c r="BH6" i="12"/>
  <c r="BG6" i="15"/>
  <c r="BH25" i="12"/>
  <c r="BG25" i="15"/>
  <c r="BH8" i="12"/>
  <c r="BG8" i="15"/>
  <c r="BF27" i="15"/>
  <c r="BH20" i="12"/>
  <c r="BG20" i="15"/>
  <c r="BH16" i="12"/>
  <c r="BG16" i="15"/>
  <c r="BH18" i="12"/>
  <c r="BG18" i="15"/>
  <c r="BH12" i="12"/>
  <c r="BG12" i="15"/>
  <c r="BH17" i="12"/>
  <c r="BG17" i="15"/>
  <c r="AJ17" i="16"/>
  <c r="AE26" i="18"/>
  <c r="AE12" i="18"/>
  <c r="AE17" i="18"/>
  <c r="AE3" i="18"/>
  <c r="AE22" i="18"/>
  <c r="AE8" i="18"/>
  <c r="AE13" i="18"/>
  <c r="AE18" i="18"/>
  <c r="AE4" i="18"/>
  <c r="AE23" i="18"/>
  <c r="AE9" i="18"/>
  <c r="AE14" i="18"/>
  <c r="AE19" i="18"/>
  <c r="AE5" i="18"/>
  <c r="AE24" i="18"/>
  <c r="AE10" i="18"/>
  <c r="AE15" i="18"/>
  <c r="AE20" i="18"/>
  <c r="AE6" i="18"/>
  <c r="AE25" i="18"/>
  <c r="AE11" i="18"/>
  <c r="AE16" i="18"/>
  <c r="AE2" i="18"/>
  <c r="AE21" i="18"/>
  <c r="AE7" i="18"/>
  <c r="AD27" i="18"/>
  <c r="BM37" i="16"/>
  <c r="BI12" i="12" l="1"/>
  <c r="BH12" i="15"/>
  <c r="BI11" i="12"/>
  <c r="BH11" i="15"/>
  <c r="BI8" i="12"/>
  <c r="BH8" i="15"/>
  <c r="BI26" i="12"/>
  <c r="BH26" i="15"/>
  <c r="BI21" i="12"/>
  <c r="BH21" i="15"/>
  <c r="BI7" i="12"/>
  <c r="BH7" i="15"/>
  <c r="BI24" i="12"/>
  <c r="BH24" i="15"/>
  <c r="BI25" i="12"/>
  <c r="BH25" i="15"/>
  <c r="BI23" i="12"/>
  <c r="BH23" i="15"/>
  <c r="BI22" i="12"/>
  <c r="BH22" i="15"/>
  <c r="BI9" i="12"/>
  <c r="BH9" i="15"/>
  <c r="BI19" i="12"/>
  <c r="BH19" i="15"/>
  <c r="BI18" i="12"/>
  <c r="BH18" i="15"/>
  <c r="BI16" i="12"/>
  <c r="BH16" i="15"/>
  <c r="BG27" i="15"/>
  <c r="BI6" i="12"/>
  <c r="BH6" i="15"/>
  <c r="BI10" i="12"/>
  <c r="BH10" i="15"/>
  <c r="BI5" i="12"/>
  <c r="BH5" i="15"/>
  <c r="BI3" i="12"/>
  <c r="BH3" i="15"/>
  <c r="BI17" i="12"/>
  <c r="BH17" i="15"/>
  <c r="BI20" i="12"/>
  <c r="BH20" i="15"/>
  <c r="BI2" i="12"/>
  <c r="BH27" i="12"/>
  <c r="BH2" i="15"/>
  <c r="BI14" i="12"/>
  <c r="BH14" i="15"/>
  <c r="BI13" i="12"/>
  <c r="BH13" i="15"/>
  <c r="BI15" i="12"/>
  <c r="BH15" i="15"/>
  <c r="BI4" i="12"/>
  <c r="BH4" i="15"/>
  <c r="AE27" i="18"/>
  <c r="AK17" i="16"/>
  <c r="AF26" i="18"/>
  <c r="AF12" i="18"/>
  <c r="AF17" i="18"/>
  <c r="AF3" i="18"/>
  <c r="AF22" i="18"/>
  <c r="AF8" i="18"/>
  <c r="AF13" i="18"/>
  <c r="AF18" i="18"/>
  <c r="AF4" i="18"/>
  <c r="AF23" i="18"/>
  <c r="AF9" i="18"/>
  <c r="AF14" i="18"/>
  <c r="AF19" i="18"/>
  <c r="AF5" i="18"/>
  <c r="AF24" i="18"/>
  <c r="AF10" i="18"/>
  <c r="AF15" i="18"/>
  <c r="AF20" i="18"/>
  <c r="AF6" i="18"/>
  <c r="AF25" i="18"/>
  <c r="AF11" i="18"/>
  <c r="AF16" i="18"/>
  <c r="AF2" i="18"/>
  <c r="AF21" i="18"/>
  <c r="AF7" i="18"/>
  <c r="BN37" i="16"/>
  <c r="BJ20" i="12" l="1"/>
  <c r="BI20" i="15"/>
  <c r="BJ13" i="12"/>
  <c r="BI13" i="15"/>
  <c r="BJ19" i="12"/>
  <c r="BI19" i="15"/>
  <c r="BJ25" i="12"/>
  <c r="BI25" i="15"/>
  <c r="BJ26" i="12"/>
  <c r="BI26" i="15"/>
  <c r="BJ18" i="12"/>
  <c r="BI18" i="15"/>
  <c r="BJ12" i="12"/>
  <c r="BI12" i="15"/>
  <c r="BJ10" i="12"/>
  <c r="BI10" i="15"/>
  <c r="BJ17" i="12"/>
  <c r="BI17" i="15"/>
  <c r="BJ6" i="12"/>
  <c r="BI6" i="15"/>
  <c r="BJ21" i="12"/>
  <c r="BI21" i="15"/>
  <c r="BJ24" i="12"/>
  <c r="BI24" i="15"/>
  <c r="BH27" i="15"/>
  <c r="BJ3" i="12"/>
  <c r="BI3" i="15"/>
  <c r="BJ15" i="12"/>
  <c r="BI15" i="15"/>
  <c r="BJ14" i="12"/>
  <c r="BI14" i="15"/>
  <c r="BJ9" i="12"/>
  <c r="BI9" i="15"/>
  <c r="BJ8" i="12"/>
  <c r="BI8" i="15"/>
  <c r="BJ4" i="12"/>
  <c r="BI4" i="15"/>
  <c r="BJ16" i="12"/>
  <c r="BI16" i="15"/>
  <c r="BJ22" i="12"/>
  <c r="BI22" i="15"/>
  <c r="BJ7" i="12"/>
  <c r="BI7" i="15"/>
  <c r="BJ11" i="12"/>
  <c r="BI11" i="15"/>
  <c r="BJ23" i="12"/>
  <c r="BI23" i="15"/>
  <c r="BJ2" i="12"/>
  <c r="BI27" i="12"/>
  <c r="BI2" i="15"/>
  <c r="BJ5" i="12"/>
  <c r="BI5" i="15"/>
  <c r="AF27" i="18"/>
  <c r="AL17" i="16"/>
  <c r="AG17" i="18"/>
  <c r="AG3" i="18"/>
  <c r="AG22" i="18"/>
  <c r="AG8" i="18"/>
  <c r="AG13" i="18"/>
  <c r="AG18" i="18"/>
  <c r="AG4" i="18"/>
  <c r="AG23" i="18"/>
  <c r="AG9" i="18"/>
  <c r="AG14" i="18"/>
  <c r="AG19" i="18"/>
  <c r="AG5" i="18"/>
  <c r="AG24" i="18"/>
  <c r="AG10" i="18"/>
  <c r="AG15" i="18"/>
  <c r="AG20" i="18"/>
  <c r="AG6" i="18"/>
  <c r="AG25" i="18"/>
  <c r="AG11" i="18"/>
  <c r="AG16" i="18"/>
  <c r="AG2" i="18"/>
  <c r="AG21" i="18"/>
  <c r="AG7" i="18"/>
  <c r="AG12" i="18"/>
  <c r="AG26" i="18"/>
  <c r="BO37" i="16"/>
  <c r="BK7" i="12" l="1"/>
  <c r="BJ7" i="15"/>
  <c r="BK8" i="12"/>
  <c r="BJ8" i="15"/>
  <c r="BK26" i="12"/>
  <c r="BJ26" i="15"/>
  <c r="BK2" i="12"/>
  <c r="BJ27" i="12"/>
  <c r="BJ2" i="15"/>
  <c r="BK22" i="12"/>
  <c r="BJ22" i="15"/>
  <c r="BK9" i="12"/>
  <c r="BJ9" i="15"/>
  <c r="BK10" i="12"/>
  <c r="BJ10" i="15"/>
  <c r="BK21" i="12"/>
  <c r="BJ21" i="15"/>
  <c r="BK19" i="12"/>
  <c r="BJ19" i="15"/>
  <c r="BK24" i="12"/>
  <c r="BJ24" i="15"/>
  <c r="BK23" i="12"/>
  <c r="BJ23" i="15"/>
  <c r="BK16" i="12"/>
  <c r="BJ16" i="15"/>
  <c r="BK11" i="12"/>
  <c r="BJ11" i="15"/>
  <c r="BK4" i="12"/>
  <c r="BJ4" i="15"/>
  <c r="BK15" i="12"/>
  <c r="BJ15" i="15"/>
  <c r="BK25" i="12"/>
  <c r="BJ25" i="15"/>
  <c r="BK14" i="12"/>
  <c r="BJ14" i="15"/>
  <c r="BK12" i="12"/>
  <c r="BJ12" i="15"/>
  <c r="BK5" i="12"/>
  <c r="BJ5" i="15"/>
  <c r="BK6" i="12"/>
  <c r="BJ6" i="15"/>
  <c r="BK18" i="12"/>
  <c r="BJ18" i="15"/>
  <c r="BK13" i="12"/>
  <c r="BJ13" i="15"/>
  <c r="BI27" i="15"/>
  <c r="BK3" i="12"/>
  <c r="BJ3" i="15"/>
  <c r="BK17" i="12"/>
  <c r="BJ17" i="15"/>
  <c r="BK20" i="12"/>
  <c r="BJ20" i="15"/>
  <c r="AG27" i="18"/>
  <c r="AM17" i="16"/>
  <c r="AH17" i="18"/>
  <c r="AH3" i="18"/>
  <c r="AH22" i="18"/>
  <c r="AH8" i="18"/>
  <c r="AH13" i="18"/>
  <c r="AH18" i="18"/>
  <c r="AH4" i="18"/>
  <c r="AH23" i="18"/>
  <c r="AH9" i="18"/>
  <c r="AH14" i="18"/>
  <c r="AH19" i="18"/>
  <c r="AH5" i="18"/>
  <c r="AH24" i="18"/>
  <c r="AH10" i="18"/>
  <c r="AH15" i="18"/>
  <c r="AH20" i="18"/>
  <c r="AH6" i="18"/>
  <c r="AH25" i="18"/>
  <c r="AH11" i="18"/>
  <c r="AH16" i="18"/>
  <c r="AH2" i="18"/>
  <c r="AH21" i="18"/>
  <c r="AH7" i="18"/>
  <c r="AH26" i="18"/>
  <c r="AH12" i="18"/>
  <c r="BP37" i="16"/>
  <c r="BJ27" i="15" l="1"/>
  <c r="BL7" i="12"/>
  <c r="BK7" i="15"/>
  <c r="BL6" i="12"/>
  <c r="BK6" i="15"/>
  <c r="BL25" i="12"/>
  <c r="BK25" i="15"/>
  <c r="BL16" i="12"/>
  <c r="BK16" i="15"/>
  <c r="BL21" i="12"/>
  <c r="BK21" i="15"/>
  <c r="BL22" i="12"/>
  <c r="BK22" i="15"/>
  <c r="BL26" i="12"/>
  <c r="BK26" i="15"/>
  <c r="BL14" i="12"/>
  <c r="BK14" i="15"/>
  <c r="BL3" i="12"/>
  <c r="BK3" i="15"/>
  <c r="BL2" i="12"/>
  <c r="BK27" i="12"/>
  <c r="BK2" i="15"/>
  <c r="BL23" i="12"/>
  <c r="BK23" i="15"/>
  <c r="BL13" i="12"/>
  <c r="BK13" i="15"/>
  <c r="BL12" i="12"/>
  <c r="BK12" i="15"/>
  <c r="BL4" i="12"/>
  <c r="BK4" i="15"/>
  <c r="BL24" i="12"/>
  <c r="BK24" i="15"/>
  <c r="BL9" i="12"/>
  <c r="BK9" i="15"/>
  <c r="BL17" i="12"/>
  <c r="BK17" i="15"/>
  <c r="BL5" i="12"/>
  <c r="BK5" i="15"/>
  <c r="BL15" i="12"/>
  <c r="BK15" i="15"/>
  <c r="BL10" i="12"/>
  <c r="BK10" i="15"/>
  <c r="BL20" i="12"/>
  <c r="BK20" i="15"/>
  <c r="BL8" i="12"/>
  <c r="BK8" i="15"/>
  <c r="BL11" i="12"/>
  <c r="BK11" i="15"/>
  <c r="BL18" i="12"/>
  <c r="BK18" i="15"/>
  <c r="BL19" i="12"/>
  <c r="BK19" i="15"/>
  <c r="AN17" i="16"/>
  <c r="AI22" i="18"/>
  <c r="AI8" i="18"/>
  <c r="AI13" i="18"/>
  <c r="AI18" i="18"/>
  <c r="AI4" i="18"/>
  <c r="AI23" i="18"/>
  <c r="AI9" i="18"/>
  <c r="AI14" i="18"/>
  <c r="AI19" i="18"/>
  <c r="AI5" i="18"/>
  <c r="AI24" i="18"/>
  <c r="AI10" i="18"/>
  <c r="AI15" i="18"/>
  <c r="AI20" i="18"/>
  <c r="AI6" i="18"/>
  <c r="AI25" i="18"/>
  <c r="AI11" i="18"/>
  <c r="AI16" i="18"/>
  <c r="AI2" i="18"/>
  <c r="AI21" i="18"/>
  <c r="AI7" i="18"/>
  <c r="AI26" i="18"/>
  <c r="AI12" i="18"/>
  <c r="AI3" i="18"/>
  <c r="AI17" i="18"/>
  <c r="AH27" i="18"/>
  <c r="BQ37" i="16"/>
  <c r="BM14" i="12" l="1"/>
  <c r="BL14" i="15"/>
  <c r="BM11" i="12"/>
  <c r="BL11" i="15"/>
  <c r="BM15" i="12"/>
  <c r="BL15" i="15"/>
  <c r="BM24" i="12"/>
  <c r="BL24" i="15"/>
  <c r="BM23" i="12"/>
  <c r="BL23" i="15"/>
  <c r="BK27" i="15"/>
  <c r="BM26" i="12"/>
  <c r="BL26" i="15"/>
  <c r="BM25" i="12"/>
  <c r="BL25" i="15"/>
  <c r="BM16" i="12"/>
  <c r="BL16" i="15"/>
  <c r="BM8" i="12"/>
  <c r="BL8" i="15"/>
  <c r="BM5" i="12"/>
  <c r="BL5" i="15"/>
  <c r="BM4" i="12"/>
  <c r="BL4" i="15"/>
  <c r="BM2" i="12"/>
  <c r="BL27" i="12"/>
  <c r="BL2" i="15"/>
  <c r="BM22" i="12"/>
  <c r="BL22" i="15"/>
  <c r="BM6" i="12"/>
  <c r="BL6" i="15"/>
  <c r="BM19" i="12"/>
  <c r="BL19" i="15"/>
  <c r="BM20" i="12"/>
  <c r="BL20" i="15"/>
  <c r="BM17" i="12"/>
  <c r="BL17" i="15"/>
  <c r="BM12" i="12"/>
  <c r="BL12" i="15"/>
  <c r="BM3" i="12"/>
  <c r="BL3" i="15"/>
  <c r="BM21" i="12"/>
  <c r="BL21" i="15"/>
  <c r="BM7" i="12"/>
  <c r="BL7" i="15"/>
  <c r="BM18" i="12"/>
  <c r="BL18" i="15"/>
  <c r="BM10" i="12"/>
  <c r="BL10" i="15"/>
  <c r="BM9" i="12"/>
  <c r="BL9" i="15"/>
  <c r="BM13" i="12"/>
  <c r="BL13" i="15"/>
  <c r="AI27" i="18"/>
  <c r="AO17" i="16"/>
  <c r="AJ22" i="18"/>
  <c r="AJ8" i="18"/>
  <c r="AJ13" i="18"/>
  <c r="AJ18" i="18"/>
  <c r="AJ4" i="18"/>
  <c r="AJ23" i="18"/>
  <c r="AJ9" i="18"/>
  <c r="AJ14" i="18"/>
  <c r="AJ19" i="18"/>
  <c r="AJ5" i="18"/>
  <c r="AJ24" i="18"/>
  <c r="AJ10" i="18"/>
  <c r="AJ15" i="18"/>
  <c r="AJ20" i="18"/>
  <c r="AJ6" i="18"/>
  <c r="AJ25" i="18"/>
  <c r="AJ11" i="18"/>
  <c r="AJ16" i="18"/>
  <c r="AJ2" i="18"/>
  <c r="AJ21" i="18"/>
  <c r="AJ7" i="18"/>
  <c r="AJ26" i="18"/>
  <c r="AJ12" i="18"/>
  <c r="AJ3" i="18"/>
  <c r="AJ17" i="18"/>
  <c r="BR37" i="16"/>
  <c r="BN10" i="12" l="1"/>
  <c r="BM10" i="15"/>
  <c r="BN3" i="12"/>
  <c r="BM3" i="15"/>
  <c r="BN19" i="12"/>
  <c r="BM19" i="15"/>
  <c r="BN24" i="12"/>
  <c r="BM24" i="15"/>
  <c r="BN4" i="12"/>
  <c r="BM4" i="15"/>
  <c r="BN25" i="12"/>
  <c r="BM25" i="15"/>
  <c r="BN16" i="12"/>
  <c r="BM16" i="15"/>
  <c r="BN18" i="12"/>
  <c r="BM18" i="15"/>
  <c r="BN12" i="12"/>
  <c r="BM12" i="15"/>
  <c r="BN6" i="12"/>
  <c r="BM6" i="15"/>
  <c r="BN15" i="12"/>
  <c r="BM15" i="15"/>
  <c r="BN5" i="12"/>
  <c r="BM5" i="15"/>
  <c r="BN26" i="12"/>
  <c r="BM26" i="15"/>
  <c r="BN13" i="12"/>
  <c r="BM13" i="15"/>
  <c r="BN7" i="12"/>
  <c r="BM7" i="15"/>
  <c r="BN17" i="12"/>
  <c r="BM17" i="15"/>
  <c r="BN22" i="12"/>
  <c r="BM22" i="15"/>
  <c r="BN11" i="12"/>
  <c r="BM11" i="15"/>
  <c r="BN2" i="12"/>
  <c r="BM27" i="12"/>
  <c r="BM2" i="15"/>
  <c r="BL27" i="15"/>
  <c r="BN8" i="12"/>
  <c r="BM8" i="15"/>
  <c r="BN9" i="12"/>
  <c r="BM9" i="15"/>
  <c r="BN21" i="12"/>
  <c r="BM21" i="15"/>
  <c r="BN20" i="12"/>
  <c r="BM20" i="15"/>
  <c r="BN23" i="12"/>
  <c r="BM23" i="15"/>
  <c r="BN14" i="12"/>
  <c r="BM14" i="15"/>
  <c r="AJ27" i="18"/>
  <c r="AP17" i="16"/>
  <c r="AK13" i="18"/>
  <c r="AK18" i="18"/>
  <c r="AK4" i="18"/>
  <c r="AK23" i="18"/>
  <c r="AK9" i="18"/>
  <c r="AK14" i="18"/>
  <c r="AK19" i="18"/>
  <c r="AK5" i="18"/>
  <c r="AK24" i="18"/>
  <c r="AK10" i="18"/>
  <c r="AK15" i="18"/>
  <c r="AK20" i="18"/>
  <c r="AK6" i="18"/>
  <c r="AK25" i="18"/>
  <c r="AK11" i="18"/>
  <c r="AK16" i="18"/>
  <c r="AK2" i="18"/>
  <c r="AK21" i="18"/>
  <c r="AK7" i="18"/>
  <c r="AK26" i="18"/>
  <c r="AK12" i="18"/>
  <c r="AK17" i="18"/>
  <c r="AK3" i="18"/>
  <c r="AK22" i="18"/>
  <c r="AK8" i="18"/>
  <c r="BS37" i="16"/>
  <c r="BO20" i="12" l="1"/>
  <c r="BN20" i="15"/>
  <c r="BM27" i="15"/>
  <c r="BO17" i="12"/>
  <c r="BN17" i="15"/>
  <c r="BO5" i="12"/>
  <c r="BN5" i="15"/>
  <c r="BO18" i="12"/>
  <c r="BN18" i="15"/>
  <c r="BO24" i="12"/>
  <c r="BN24" i="15"/>
  <c r="BO21" i="12"/>
  <c r="BN21" i="15"/>
  <c r="BO2" i="12"/>
  <c r="BN27" i="12"/>
  <c r="BN2" i="15"/>
  <c r="BO7" i="12"/>
  <c r="BN7" i="15"/>
  <c r="BO15" i="12"/>
  <c r="BN15" i="15"/>
  <c r="BO16" i="12"/>
  <c r="BN16" i="15"/>
  <c r="BO19" i="12"/>
  <c r="BN19" i="15"/>
  <c r="BO14" i="12"/>
  <c r="BN14" i="15"/>
  <c r="BO9" i="12"/>
  <c r="BN9" i="15"/>
  <c r="BO11" i="12"/>
  <c r="BN11" i="15"/>
  <c r="BO13" i="12"/>
  <c r="BN13" i="15"/>
  <c r="BO6" i="12"/>
  <c r="BN6" i="15"/>
  <c r="BO25" i="12"/>
  <c r="BN25" i="15"/>
  <c r="BO3" i="12"/>
  <c r="BN3" i="15"/>
  <c r="BO23" i="12"/>
  <c r="BN23" i="15"/>
  <c r="BO8" i="12"/>
  <c r="BN8" i="15"/>
  <c r="BO22" i="12"/>
  <c r="BN22" i="15"/>
  <c r="BO26" i="12"/>
  <c r="BN26" i="15"/>
  <c r="BO12" i="12"/>
  <c r="BN12" i="15"/>
  <c r="BO4" i="12"/>
  <c r="BN4" i="15"/>
  <c r="BO10" i="12"/>
  <c r="BN10" i="15"/>
  <c r="AK27" i="18"/>
  <c r="AQ17" i="16"/>
  <c r="AL13" i="18"/>
  <c r="AL18" i="18"/>
  <c r="AL4" i="18"/>
  <c r="AL23" i="18"/>
  <c r="AL9" i="18"/>
  <c r="AL14" i="18"/>
  <c r="AL19" i="18"/>
  <c r="AL5" i="18"/>
  <c r="AL24" i="18"/>
  <c r="AL10" i="18"/>
  <c r="AL15" i="18"/>
  <c r="AL20" i="18"/>
  <c r="AL6" i="18"/>
  <c r="AL25" i="18"/>
  <c r="AL11" i="18"/>
  <c r="AL16" i="18"/>
  <c r="AL2" i="18"/>
  <c r="AL21" i="18"/>
  <c r="AL7" i="18"/>
  <c r="AL26" i="18"/>
  <c r="AL12" i="18"/>
  <c r="AL17" i="18"/>
  <c r="AL3" i="18"/>
  <c r="AL22" i="18"/>
  <c r="AL8" i="18"/>
  <c r="BT37" i="16"/>
  <c r="BP13" i="12" l="1"/>
  <c r="BO13" i="15"/>
  <c r="BN27" i="15"/>
  <c r="BP18" i="12"/>
  <c r="BO18" i="15"/>
  <c r="BP23" i="12"/>
  <c r="BO23" i="15"/>
  <c r="BP2" i="12"/>
  <c r="BO27" i="12"/>
  <c r="BO2" i="15"/>
  <c r="BP5" i="12"/>
  <c r="BO5" i="15"/>
  <c r="BP26" i="12"/>
  <c r="BO26" i="15"/>
  <c r="BP3" i="12"/>
  <c r="BO3" i="15"/>
  <c r="BP11" i="12"/>
  <c r="BO11" i="15"/>
  <c r="BP16" i="12"/>
  <c r="BO16" i="15"/>
  <c r="BP19" i="12"/>
  <c r="BO19" i="15"/>
  <c r="BP21" i="12"/>
  <c r="BO21" i="15"/>
  <c r="BP17" i="12"/>
  <c r="BO17" i="15"/>
  <c r="BP12" i="12"/>
  <c r="BO12" i="15"/>
  <c r="BP10" i="12"/>
  <c r="BO10" i="15"/>
  <c r="BP22" i="12"/>
  <c r="BO22" i="15"/>
  <c r="BP25" i="12"/>
  <c r="BO25" i="15"/>
  <c r="BP9" i="12"/>
  <c r="BO9" i="15"/>
  <c r="BP15" i="12"/>
  <c r="BO15" i="15"/>
  <c r="BP24" i="12"/>
  <c r="BO24" i="15"/>
  <c r="BP4" i="12"/>
  <c r="BO4" i="15"/>
  <c r="BP8" i="12"/>
  <c r="BO8" i="15"/>
  <c r="BP6" i="12"/>
  <c r="BO6" i="15"/>
  <c r="BP14" i="12"/>
  <c r="BO14" i="15"/>
  <c r="BP7" i="12"/>
  <c r="BO7" i="15"/>
  <c r="BP20" i="12"/>
  <c r="BO20" i="15"/>
  <c r="AL27" i="18"/>
  <c r="AR17" i="16"/>
  <c r="AM18" i="18"/>
  <c r="AM4" i="18"/>
  <c r="AM23" i="18"/>
  <c r="AM9" i="18"/>
  <c r="AM14" i="18"/>
  <c r="AM19" i="18"/>
  <c r="AM5" i="18"/>
  <c r="AM24" i="18"/>
  <c r="AM10" i="18"/>
  <c r="AM15" i="18"/>
  <c r="AM20" i="18"/>
  <c r="AM6" i="18"/>
  <c r="AM25" i="18"/>
  <c r="AM11" i="18"/>
  <c r="AM16" i="18"/>
  <c r="AM2" i="18"/>
  <c r="AM21" i="18"/>
  <c r="AM7" i="18"/>
  <c r="AM26" i="18"/>
  <c r="AM12" i="18"/>
  <c r="AM17" i="18"/>
  <c r="AM3" i="18"/>
  <c r="AM22" i="18"/>
  <c r="AM8" i="18"/>
  <c r="AM13" i="18"/>
  <c r="BU37" i="16"/>
  <c r="BQ22" i="12" l="1"/>
  <c r="BP22" i="15"/>
  <c r="BQ2" i="12"/>
  <c r="BP27" i="12"/>
  <c r="BP2" i="15"/>
  <c r="BQ14" i="12"/>
  <c r="BP14" i="15"/>
  <c r="BQ21" i="12"/>
  <c r="BP21" i="15"/>
  <c r="BQ23" i="12"/>
  <c r="BP23" i="15"/>
  <c r="BQ6" i="12"/>
  <c r="BP6" i="15"/>
  <c r="BQ15" i="12"/>
  <c r="BP15" i="15"/>
  <c r="BQ10" i="12"/>
  <c r="BP10" i="15"/>
  <c r="BQ19" i="12"/>
  <c r="BP19" i="15"/>
  <c r="BQ26" i="12"/>
  <c r="BP26" i="15"/>
  <c r="BQ3" i="12"/>
  <c r="BP3" i="15"/>
  <c r="BQ18" i="12"/>
  <c r="BP18" i="15"/>
  <c r="BQ24" i="12"/>
  <c r="BP24" i="15"/>
  <c r="BQ20" i="12"/>
  <c r="BP20" i="15"/>
  <c r="BQ8" i="12"/>
  <c r="BP8" i="15"/>
  <c r="BQ9" i="12"/>
  <c r="BP9" i="15"/>
  <c r="BQ12" i="12"/>
  <c r="BP12" i="15"/>
  <c r="BQ16" i="12"/>
  <c r="BP16" i="15"/>
  <c r="BQ5" i="12"/>
  <c r="BP5" i="15"/>
  <c r="BO27" i="15"/>
  <c r="BQ7" i="12"/>
  <c r="BP7" i="15"/>
  <c r="BQ4" i="12"/>
  <c r="BP4" i="15"/>
  <c r="BQ25" i="12"/>
  <c r="BP25" i="15"/>
  <c r="BQ17" i="12"/>
  <c r="BP17" i="15"/>
  <c r="BQ11" i="12"/>
  <c r="BP11" i="15"/>
  <c r="BQ13" i="12"/>
  <c r="BP13" i="15"/>
  <c r="AM27" i="18"/>
  <c r="AS17" i="16"/>
  <c r="AN18" i="18"/>
  <c r="AN4" i="18"/>
  <c r="AN23" i="18"/>
  <c r="AN9" i="18"/>
  <c r="AN14" i="18"/>
  <c r="AN19" i="18"/>
  <c r="AN5" i="18"/>
  <c r="AN24" i="18"/>
  <c r="AN10" i="18"/>
  <c r="AN15" i="18"/>
  <c r="AN20" i="18"/>
  <c r="AN6" i="18"/>
  <c r="AN25" i="18"/>
  <c r="AN11" i="18"/>
  <c r="AN16" i="18"/>
  <c r="AN2" i="18"/>
  <c r="AN21" i="18"/>
  <c r="AN7" i="18"/>
  <c r="AN26" i="18"/>
  <c r="AN12" i="18"/>
  <c r="AN17" i="18"/>
  <c r="AN3" i="18"/>
  <c r="AN22" i="18"/>
  <c r="AN8" i="18"/>
  <c r="AN13" i="18"/>
  <c r="BV37" i="16"/>
  <c r="BR9" i="12" l="1"/>
  <c r="BQ9" i="15"/>
  <c r="BR18" i="12"/>
  <c r="BQ18" i="15"/>
  <c r="BR10" i="12"/>
  <c r="BQ10" i="15"/>
  <c r="BR21" i="12"/>
  <c r="BQ21" i="15"/>
  <c r="BR17" i="12"/>
  <c r="BQ17" i="15"/>
  <c r="BR15" i="12"/>
  <c r="BQ15" i="15"/>
  <c r="BR25" i="12"/>
  <c r="BQ25" i="15"/>
  <c r="BP27" i="15"/>
  <c r="AN27" i="18"/>
  <c r="BR8" i="12"/>
  <c r="BQ8" i="15"/>
  <c r="BR16" i="12"/>
  <c r="BQ16" i="15"/>
  <c r="BR20" i="12"/>
  <c r="BQ20" i="15"/>
  <c r="BR26" i="12"/>
  <c r="BQ26" i="15"/>
  <c r="BR6" i="12"/>
  <c r="BQ6" i="15"/>
  <c r="BR5" i="12"/>
  <c r="BQ5" i="15"/>
  <c r="BR3" i="12"/>
  <c r="BQ3" i="15"/>
  <c r="BR14" i="12"/>
  <c r="BQ14" i="15"/>
  <c r="BR13" i="12"/>
  <c r="BQ13" i="15"/>
  <c r="BR4" i="12"/>
  <c r="BQ4" i="15"/>
  <c r="BR2" i="12"/>
  <c r="BQ27" i="12"/>
  <c r="BQ2" i="15"/>
  <c r="BR12" i="12"/>
  <c r="BQ12" i="15"/>
  <c r="BR24" i="12"/>
  <c r="BQ24" i="15"/>
  <c r="BR19" i="12"/>
  <c r="BQ19" i="15"/>
  <c r="BR23" i="12"/>
  <c r="BQ23" i="15"/>
  <c r="BR11" i="12"/>
  <c r="BQ11" i="15"/>
  <c r="BR7" i="12"/>
  <c r="BQ7" i="15"/>
  <c r="BR22" i="12"/>
  <c r="BQ22" i="15"/>
  <c r="AT17" i="16"/>
  <c r="AO23" i="18"/>
  <c r="AO9" i="18"/>
  <c r="AO14" i="18"/>
  <c r="AO19" i="18"/>
  <c r="AO5" i="18"/>
  <c r="AO24" i="18"/>
  <c r="AO10" i="18"/>
  <c r="AO15" i="18"/>
  <c r="AO20" i="18"/>
  <c r="AO6" i="18"/>
  <c r="AO25" i="18"/>
  <c r="AO11" i="18"/>
  <c r="AO16" i="18"/>
  <c r="AO2" i="18"/>
  <c r="AO21" i="18"/>
  <c r="AO7" i="18"/>
  <c r="AO26" i="18"/>
  <c r="AO12" i="18"/>
  <c r="AO17" i="18"/>
  <c r="AO3" i="18"/>
  <c r="AO22" i="18"/>
  <c r="AO8" i="18"/>
  <c r="AO13" i="18"/>
  <c r="AO4" i="18"/>
  <c r="AO18" i="18"/>
  <c r="BW37" i="16"/>
  <c r="BQ27" i="15" l="1"/>
  <c r="BS11" i="12"/>
  <c r="BR11" i="15"/>
  <c r="BS12" i="12"/>
  <c r="BR12" i="15"/>
  <c r="BS26" i="12"/>
  <c r="BR26" i="15"/>
  <c r="BS2" i="12"/>
  <c r="BR27" i="12"/>
  <c r="BR2" i="15"/>
  <c r="BS3" i="12"/>
  <c r="BR3" i="15"/>
  <c r="BS20" i="12"/>
  <c r="BR20" i="15"/>
  <c r="BS25" i="12"/>
  <c r="BR25" i="15"/>
  <c r="BS10" i="12"/>
  <c r="BR10" i="15"/>
  <c r="BS23" i="12"/>
  <c r="BR23" i="15"/>
  <c r="BS22" i="12"/>
  <c r="BR22" i="15"/>
  <c r="BS19" i="12"/>
  <c r="BR19" i="15"/>
  <c r="BS21" i="12"/>
  <c r="BR21" i="15"/>
  <c r="BS4" i="12"/>
  <c r="BR4" i="15"/>
  <c r="BS5" i="12"/>
  <c r="BR5" i="15"/>
  <c r="BS16" i="12"/>
  <c r="BR16" i="15"/>
  <c r="BS15" i="12"/>
  <c r="BR15" i="15"/>
  <c r="BS18" i="12"/>
  <c r="BR18" i="15"/>
  <c r="BS14" i="12"/>
  <c r="BR14" i="15"/>
  <c r="BS7" i="12"/>
  <c r="BR7" i="15"/>
  <c r="BS24" i="12"/>
  <c r="BR24" i="15"/>
  <c r="BS13" i="12"/>
  <c r="BR13" i="15"/>
  <c r="BS6" i="12"/>
  <c r="BR6" i="15"/>
  <c r="BS8" i="12"/>
  <c r="BR8" i="15"/>
  <c r="BS17" i="12"/>
  <c r="BR17" i="15"/>
  <c r="BS9" i="12"/>
  <c r="BR9" i="15"/>
  <c r="AO27" i="18"/>
  <c r="AU17" i="16"/>
  <c r="AP23" i="18"/>
  <c r="AP9" i="18"/>
  <c r="AP14" i="18"/>
  <c r="AP19" i="18"/>
  <c r="AP5" i="18"/>
  <c r="AP24" i="18"/>
  <c r="AP10" i="18"/>
  <c r="AP15" i="18"/>
  <c r="AP20" i="18"/>
  <c r="AP6" i="18"/>
  <c r="AP25" i="18"/>
  <c r="AP11" i="18"/>
  <c r="AP16" i="18"/>
  <c r="AP2" i="18"/>
  <c r="AP21" i="18"/>
  <c r="AP7" i="18"/>
  <c r="AP26" i="18"/>
  <c r="AP12" i="18"/>
  <c r="AP17" i="18"/>
  <c r="AP3" i="18"/>
  <c r="AP22" i="18"/>
  <c r="AP8" i="18"/>
  <c r="AP13" i="18"/>
  <c r="AP4" i="18"/>
  <c r="AP18" i="18"/>
  <c r="BX37" i="16"/>
  <c r="BT9" i="12" l="1"/>
  <c r="BS9" i="15"/>
  <c r="BT18" i="12"/>
  <c r="BS18" i="15"/>
  <c r="BT17" i="12"/>
  <c r="BS17" i="15"/>
  <c r="BT24" i="12"/>
  <c r="BS24" i="15"/>
  <c r="BT15" i="12"/>
  <c r="BS15" i="15"/>
  <c r="BT21" i="12"/>
  <c r="BS21" i="15"/>
  <c r="BT10" i="12"/>
  <c r="BS10" i="15"/>
  <c r="BT8" i="12"/>
  <c r="BS8" i="15"/>
  <c r="BT7" i="12"/>
  <c r="BS7" i="15"/>
  <c r="BT19" i="12"/>
  <c r="BS19" i="15"/>
  <c r="BT25" i="12"/>
  <c r="BS25" i="15"/>
  <c r="BT26" i="12"/>
  <c r="BS26" i="15"/>
  <c r="BT16" i="12"/>
  <c r="BS16" i="15"/>
  <c r="BT6" i="12"/>
  <c r="BS6" i="15"/>
  <c r="BT14" i="12"/>
  <c r="BS14" i="15"/>
  <c r="BT5" i="12"/>
  <c r="BS5" i="15"/>
  <c r="BT22" i="12"/>
  <c r="BS22" i="15"/>
  <c r="BT20" i="12"/>
  <c r="BS20" i="15"/>
  <c r="BT2" i="12"/>
  <c r="BS27" i="12"/>
  <c r="BS2" i="15"/>
  <c r="BT12" i="12"/>
  <c r="BS12" i="15"/>
  <c r="BT13" i="12"/>
  <c r="BS13" i="15"/>
  <c r="BT4" i="12"/>
  <c r="BS4" i="15"/>
  <c r="BT23" i="12"/>
  <c r="BS23" i="15"/>
  <c r="BT3" i="12"/>
  <c r="BS3" i="15"/>
  <c r="BR27" i="15"/>
  <c r="BT11" i="12"/>
  <c r="BS11" i="15"/>
  <c r="AP27" i="18"/>
  <c r="AV17" i="16"/>
  <c r="AQ14" i="18"/>
  <c r="AQ19" i="18"/>
  <c r="AQ5" i="18"/>
  <c r="AQ24" i="18"/>
  <c r="AQ10" i="18"/>
  <c r="AQ15" i="18"/>
  <c r="AQ20" i="18"/>
  <c r="AQ6" i="18"/>
  <c r="AQ25" i="18"/>
  <c r="AQ11" i="18"/>
  <c r="AQ16" i="18"/>
  <c r="AQ2" i="18"/>
  <c r="AQ21" i="18"/>
  <c r="AQ7" i="18"/>
  <c r="AQ26" i="18"/>
  <c r="AQ12" i="18"/>
  <c r="AQ17" i="18"/>
  <c r="AQ3" i="18"/>
  <c r="AQ22" i="18"/>
  <c r="AQ8" i="18"/>
  <c r="AQ13" i="18"/>
  <c r="AQ18" i="18"/>
  <c r="AQ4" i="18"/>
  <c r="AQ9" i="18"/>
  <c r="AQ23" i="18"/>
  <c r="BY37" i="16"/>
  <c r="BS27" i="15" l="1"/>
  <c r="BU5" i="12"/>
  <c r="BT5" i="15"/>
  <c r="BU3" i="12"/>
  <c r="BT3" i="15"/>
  <c r="BU12" i="12"/>
  <c r="BT12" i="15"/>
  <c r="BU24" i="12"/>
  <c r="BT24" i="15"/>
  <c r="BU2" i="12"/>
  <c r="BT27" i="12"/>
  <c r="BT2" i="15"/>
  <c r="BU14" i="12"/>
  <c r="BT14" i="15"/>
  <c r="BU25" i="12"/>
  <c r="BT25" i="15"/>
  <c r="BU10" i="12"/>
  <c r="BT10" i="15"/>
  <c r="BU17" i="12"/>
  <c r="BT17" i="15"/>
  <c r="BU26" i="12"/>
  <c r="BT26" i="15"/>
  <c r="BU4" i="12"/>
  <c r="BT4" i="15"/>
  <c r="BU8" i="12"/>
  <c r="BT8" i="15"/>
  <c r="BU23" i="12"/>
  <c r="BT23" i="15"/>
  <c r="BU11" i="12"/>
  <c r="BT11" i="15"/>
  <c r="BU20" i="12"/>
  <c r="BT20" i="15"/>
  <c r="BU6" i="12"/>
  <c r="BT6" i="15"/>
  <c r="BU19" i="12"/>
  <c r="BT19" i="15"/>
  <c r="BU21" i="12"/>
  <c r="BT21" i="15"/>
  <c r="BU18" i="12"/>
  <c r="BT18" i="15"/>
  <c r="BU13" i="12"/>
  <c r="BT13" i="15"/>
  <c r="BU22" i="12"/>
  <c r="BT22" i="15"/>
  <c r="BU16" i="12"/>
  <c r="BT16" i="15"/>
  <c r="BU7" i="12"/>
  <c r="BT7" i="15"/>
  <c r="BU15" i="12"/>
  <c r="BT15" i="15"/>
  <c r="BU9" i="12"/>
  <c r="BT9" i="15"/>
  <c r="AQ27" i="18"/>
  <c r="AW17" i="16"/>
  <c r="AR14" i="18"/>
  <c r="AR19" i="18"/>
  <c r="AR5" i="18"/>
  <c r="AR24" i="18"/>
  <c r="AR10" i="18"/>
  <c r="AR15" i="18"/>
  <c r="AR20" i="18"/>
  <c r="AR6" i="18"/>
  <c r="AR25" i="18"/>
  <c r="AR11" i="18"/>
  <c r="AR16" i="18"/>
  <c r="AR2" i="18"/>
  <c r="AR21" i="18"/>
  <c r="AR7" i="18"/>
  <c r="AR26" i="18"/>
  <c r="AR12" i="18"/>
  <c r="AR17" i="18"/>
  <c r="AR3" i="18"/>
  <c r="AR22" i="18"/>
  <c r="AR8" i="18"/>
  <c r="AR13" i="18"/>
  <c r="AR18" i="18"/>
  <c r="AR4" i="18"/>
  <c r="AR23" i="18"/>
  <c r="AR9" i="18"/>
  <c r="BZ37" i="16"/>
  <c r="BV13" i="12" l="1"/>
  <c r="BU13" i="15"/>
  <c r="BV24" i="12"/>
  <c r="BU24" i="15"/>
  <c r="BV8" i="12"/>
  <c r="BU8" i="15"/>
  <c r="BV7" i="12"/>
  <c r="BU7" i="15"/>
  <c r="BV18" i="12"/>
  <c r="BU18" i="15"/>
  <c r="BV20" i="12"/>
  <c r="BU20" i="15"/>
  <c r="BV4" i="12"/>
  <c r="BU4" i="15"/>
  <c r="BV25" i="12"/>
  <c r="BU25" i="15"/>
  <c r="BV12" i="12"/>
  <c r="BU12" i="15"/>
  <c r="BV16" i="12"/>
  <c r="BU16" i="15"/>
  <c r="BV21" i="12"/>
  <c r="BU21" i="15"/>
  <c r="BV11" i="12"/>
  <c r="BU11" i="15"/>
  <c r="BV26" i="12"/>
  <c r="BU26" i="15"/>
  <c r="BV14" i="12"/>
  <c r="BU14" i="15"/>
  <c r="BV15" i="12"/>
  <c r="BU15" i="15"/>
  <c r="BV10" i="12"/>
  <c r="BU10" i="15"/>
  <c r="BT27" i="15"/>
  <c r="BV3" i="12"/>
  <c r="BU3" i="15"/>
  <c r="BV6" i="12"/>
  <c r="BU6" i="15"/>
  <c r="BV9" i="12"/>
  <c r="BU9" i="15"/>
  <c r="BV22" i="12"/>
  <c r="BU22" i="15"/>
  <c r="BV19" i="12"/>
  <c r="BU19" i="15"/>
  <c r="BV23" i="12"/>
  <c r="BU23" i="15"/>
  <c r="BV17" i="12"/>
  <c r="BU17" i="15"/>
  <c r="BV2" i="12"/>
  <c r="BU27" i="12"/>
  <c r="BU2" i="15"/>
  <c r="BV5" i="12"/>
  <c r="BU5" i="15"/>
  <c r="AR27" i="18"/>
  <c r="AX17" i="16"/>
  <c r="AS19" i="18"/>
  <c r="AS5" i="18"/>
  <c r="AS24" i="18"/>
  <c r="AS10" i="18"/>
  <c r="AS15" i="18"/>
  <c r="AS20" i="18"/>
  <c r="AS6" i="18"/>
  <c r="AS25" i="18"/>
  <c r="AS11" i="18"/>
  <c r="AS16" i="18"/>
  <c r="AS2" i="18"/>
  <c r="AS21" i="18"/>
  <c r="AS7" i="18"/>
  <c r="AS26" i="18"/>
  <c r="AS12" i="18"/>
  <c r="AS17" i="18"/>
  <c r="AS3" i="18"/>
  <c r="AS22" i="18"/>
  <c r="AS8" i="18"/>
  <c r="AS13" i="18"/>
  <c r="AS18" i="18"/>
  <c r="AS4" i="18"/>
  <c r="AS23" i="18"/>
  <c r="AS9" i="18"/>
  <c r="AS14" i="18"/>
  <c r="CA37" i="16"/>
  <c r="BW10" i="12" l="1"/>
  <c r="BV10" i="15"/>
  <c r="BW11" i="12"/>
  <c r="BV11" i="15"/>
  <c r="BW25" i="12"/>
  <c r="BV25" i="15"/>
  <c r="BW7" i="12"/>
  <c r="BV7" i="15"/>
  <c r="BW22" i="12"/>
  <c r="BV22" i="15"/>
  <c r="BW17" i="12"/>
  <c r="BV17" i="15"/>
  <c r="BW9" i="12"/>
  <c r="BV9" i="15"/>
  <c r="BW15" i="12"/>
  <c r="BV15" i="15"/>
  <c r="BW21" i="12"/>
  <c r="BV21" i="15"/>
  <c r="BW4" i="12"/>
  <c r="BV4" i="15"/>
  <c r="BW8" i="12"/>
  <c r="BV8" i="15"/>
  <c r="BW23" i="12"/>
  <c r="BV23" i="15"/>
  <c r="BW6" i="12"/>
  <c r="BV6" i="15"/>
  <c r="BW5" i="12"/>
  <c r="BV5" i="15"/>
  <c r="BW14" i="12"/>
  <c r="BV14" i="15"/>
  <c r="BW16" i="12"/>
  <c r="BV16" i="15"/>
  <c r="BW20" i="12"/>
  <c r="BV20" i="15"/>
  <c r="BW24" i="12"/>
  <c r="BV24" i="15"/>
  <c r="BU27" i="15"/>
  <c r="BW19" i="12"/>
  <c r="BV19" i="15"/>
  <c r="BW3" i="12"/>
  <c r="BV3" i="15"/>
  <c r="BW2" i="12"/>
  <c r="BV27" i="12"/>
  <c r="BV2" i="15"/>
  <c r="BW26" i="12"/>
  <c r="BV26" i="15"/>
  <c r="BW12" i="12"/>
  <c r="BV12" i="15"/>
  <c r="BW18" i="12"/>
  <c r="BV18" i="15"/>
  <c r="BW13" i="12"/>
  <c r="BV13" i="15"/>
  <c r="AS27" i="18"/>
  <c r="AY17" i="16"/>
  <c r="AT19" i="18"/>
  <c r="AT5" i="18"/>
  <c r="AT24" i="18"/>
  <c r="AT10" i="18"/>
  <c r="AT15" i="18"/>
  <c r="AT20" i="18"/>
  <c r="AT6" i="18"/>
  <c r="AT25" i="18"/>
  <c r="AT11" i="18"/>
  <c r="AT16" i="18"/>
  <c r="AT2" i="18"/>
  <c r="AT21" i="18"/>
  <c r="AT7" i="18"/>
  <c r="AT26" i="18"/>
  <c r="AT12" i="18"/>
  <c r="AT17" i="18"/>
  <c r="AT3" i="18"/>
  <c r="AT22" i="18"/>
  <c r="AT8" i="18"/>
  <c r="AT13" i="18"/>
  <c r="AT18" i="18"/>
  <c r="AT4" i="18"/>
  <c r="AT23" i="18"/>
  <c r="AT9" i="18"/>
  <c r="AT14" i="18"/>
  <c r="CB37" i="16"/>
  <c r="BX12" i="12" l="1"/>
  <c r="BW12" i="15"/>
  <c r="BX7" i="12"/>
  <c r="BW7" i="15"/>
  <c r="BX3" i="12"/>
  <c r="BW3" i="15"/>
  <c r="BX23" i="12"/>
  <c r="BW23" i="15"/>
  <c r="BX19" i="12"/>
  <c r="BW19" i="15"/>
  <c r="BX26" i="12"/>
  <c r="BW26" i="15"/>
  <c r="BX14" i="12"/>
  <c r="BW14" i="15"/>
  <c r="BX8" i="12"/>
  <c r="BW8" i="15"/>
  <c r="BX9" i="12"/>
  <c r="BW9" i="15"/>
  <c r="BX25" i="12"/>
  <c r="BW25" i="15"/>
  <c r="BX16" i="12"/>
  <c r="BW16" i="15"/>
  <c r="BV27" i="15"/>
  <c r="BX15" i="12"/>
  <c r="BW15" i="15"/>
  <c r="BX13" i="12"/>
  <c r="BW13" i="15"/>
  <c r="BX24" i="12"/>
  <c r="BW24" i="15"/>
  <c r="BX5" i="12"/>
  <c r="BW5" i="15"/>
  <c r="BX4" i="12"/>
  <c r="BW4" i="15"/>
  <c r="BX17" i="12"/>
  <c r="BW17" i="15"/>
  <c r="BX11" i="12"/>
  <c r="BW11" i="15"/>
  <c r="BX2" i="12"/>
  <c r="BW27" i="12"/>
  <c r="BW2" i="15"/>
  <c r="BX18" i="12"/>
  <c r="BW18" i="15"/>
  <c r="BX20" i="12"/>
  <c r="BW20" i="15"/>
  <c r="BX6" i="12"/>
  <c r="BW6" i="15"/>
  <c r="BX21" i="12"/>
  <c r="BW21" i="15"/>
  <c r="BX22" i="12"/>
  <c r="BW22" i="15"/>
  <c r="BX10" i="12"/>
  <c r="BW10" i="15"/>
  <c r="AT27" i="18"/>
  <c r="AZ17" i="16"/>
  <c r="AU24" i="18"/>
  <c r="AU10" i="18"/>
  <c r="AU15" i="18"/>
  <c r="AU20" i="18"/>
  <c r="AU6" i="18"/>
  <c r="AU25" i="18"/>
  <c r="AU11" i="18"/>
  <c r="AU16" i="18"/>
  <c r="AU2" i="18"/>
  <c r="AU21" i="18"/>
  <c r="AU7" i="18"/>
  <c r="AU26" i="18"/>
  <c r="AU12" i="18"/>
  <c r="AU17" i="18"/>
  <c r="AU3" i="18"/>
  <c r="AU22" i="18"/>
  <c r="AU8" i="18"/>
  <c r="AU13" i="18"/>
  <c r="AU18" i="18"/>
  <c r="AU4" i="18"/>
  <c r="AU23" i="18"/>
  <c r="AU9" i="18"/>
  <c r="AU14" i="18"/>
  <c r="AU5" i="18"/>
  <c r="AU19" i="18"/>
  <c r="CC37" i="16"/>
  <c r="BW27" i="15" l="1"/>
  <c r="BY21" i="12"/>
  <c r="BX21" i="15"/>
  <c r="BY8" i="12"/>
  <c r="BX8" i="15"/>
  <c r="BY23" i="12"/>
  <c r="BX23" i="15"/>
  <c r="BY15" i="12"/>
  <c r="BX15" i="15"/>
  <c r="BY2" i="12"/>
  <c r="BX27" i="12"/>
  <c r="BX2" i="15"/>
  <c r="BY5" i="12"/>
  <c r="BX5" i="15"/>
  <c r="BY6" i="12"/>
  <c r="BX6" i="15"/>
  <c r="BY16" i="12"/>
  <c r="BX16" i="15"/>
  <c r="BY14" i="12"/>
  <c r="BX14" i="15"/>
  <c r="BY3" i="12"/>
  <c r="BX3" i="15"/>
  <c r="BY11" i="12"/>
  <c r="BX11" i="15"/>
  <c r="BY24" i="12"/>
  <c r="BX24" i="15"/>
  <c r="BY4" i="12"/>
  <c r="BX4" i="15"/>
  <c r="BY10" i="12"/>
  <c r="BX10" i="15"/>
  <c r="BY20" i="12"/>
  <c r="BX20" i="15"/>
  <c r="BY25" i="12"/>
  <c r="BX25" i="15"/>
  <c r="BY26" i="12"/>
  <c r="BX26" i="15"/>
  <c r="BY7" i="12"/>
  <c r="BX7" i="15"/>
  <c r="BY17" i="12"/>
  <c r="BX17" i="15"/>
  <c r="BY13" i="12"/>
  <c r="BX13" i="15"/>
  <c r="BY22" i="12"/>
  <c r="BX22" i="15"/>
  <c r="BY18" i="12"/>
  <c r="BX18" i="15"/>
  <c r="BY9" i="12"/>
  <c r="BX9" i="15"/>
  <c r="BY19" i="12"/>
  <c r="BX19" i="15"/>
  <c r="BY12" i="12"/>
  <c r="BX12" i="15"/>
  <c r="AU27" i="18"/>
  <c r="BA17" i="16"/>
  <c r="AV24" i="18"/>
  <c r="AV10" i="18"/>
  <c r="AV15" i="18"/>
  <c r="AV20" i="18"/>
  <c r="AV6" i="18"/>
  <c r="AV25" i="18"/>
  <c r="AV11" i="18"/>
  <c r="AV16" i="18"/>
  <c r="AV2" i="18"/>
  <c r="AV21" i="18"/>
  <c r="AV7" i="18"/>
  <c r="AV26" i="18"/>
  <c r="AV12" i="18"/>
  <c r="AV17" i="18"/>
  <c r="AV3" i="18"/>
  <c r="AV22" i="18"/>
  <c r="AV8" i="18"/>
  <c r="AV13" i="18"/>
  <c r="AV18" i="18"/>
  <c r="AV4" i="18"/>
  <c r="AV23" i="18"/>
  <c r="AV9" i="18"/>
  <c r="AV14" i="18"/>
  <c r="AV5" i="18"/>
  <c r="AV19" i="18"/>
  <c r="CD37" i="16"/>
  <c r="BZ15" i="12" l="1"/>
  <c r="BY15" i="15"/>
  <c r="BZ25" i="12"/>
  <c r="BY25" i="15"/>
  <c r="BZ9" i="12"/>
  <c r="BY9" i="15"/>
  <c r="BZ17" i="12"/>
  <c r="BY17" i="15"/>
  <c r="BZ20" i="12"/>
  <c r="BY20" i="15"/>
  <c r="BZ11" i="12"/>
  <c r="BY11" i="15"/>
  <c r="BZ6" i="12"/>
  <c r="BY6" i="15"/>
  <c r="BZ23" i="12"/>
  <c r="BY23" i="15"/>
  <c r="BZ18" i="12"/>
  <c r="BY18" i="15"/>
  <c r="BZ7" i="12"/>
  <c r="BY7" i="15"/>
  <c r="BZ10" i="12"/>
  <c r="BY10" i="15"/>
  <c r="BZ3" i="12"/>
  <c r="BY3" i="15"/>
  <c r="BZ5" i="12"/>
  <c r="BY5" i="15"/>
  <c r="BZ13" i="12"/>
  <c r="BY13" i="15"/>
  <c r="BZ16" i="12"/>
  <c r="BY16" i="15"/>
  <c r="BX27" i="15"/>
  <c r="BZ8" i="12"/>
  <c r="BY8" i="15"/>
  <c r="BZ19" i="12"/>
  <c r="BY19" i="15"/>
  <c r="BZ24" i="12"/>
  <c r="BY24" i="15"/>
  <c r="BZ12" i="12"/>
  <c r="BY12" i="15"/>
  <c r="BZ22" i="12"/>
  <c r="BY22" i="15"/>
  <c r="BZ26" i="12"/>
  <c r="BY26" i="15"/>
  <c r="BZ4" i="12"/>
  <c r="BY4" i="15"/>
  <c r="BZ14" i="12"/>
  <c r="BY14" i="15"/>
  <c r="BZ2" i="12"/>
  <c r="BY27" i="12"/>
  <c r="BY2" i="15"/>
  <c r="BZ21" i="12"/>
  <c r="BY21" i="15"/>
  <c r="AV27" i="18"/>
  <c r="BB17" i="16"/>
  <c r="AW15" i="18"/>
  <c r="AW20" i="18"/>
  <c r="AW6" i="18"/>
  <c r="AW25" i="18"/>
  <c r="AW11" i="18"/>
  <c r="AW16" i="18"/>
  <c r="AW2" i="18"/>
  <c r="AW21" i="18"/>
  <c r="AW7" i="18"/>
  <c r="AW26" i="18"/>
  <c r="AW12" i="18"/>
  <c r="AW17" i="18"/>
  <c r="AW3" i="18"/>
  <c r="AW22" i="18"/>
  <c r="AW8" i="18"/>
  <c r="AW13" i="18"/>
  <c r="AW18" i="18"/>
  <c r="AW4" i="18"/>
  <c r="AW23" i="18"/>
  <c r="AW9" i="18"/>
  <c r="AW14" i="18"/>
  <c r="AW19" i="18"/>
  <c r="AW5" i="18"/>
  <c r="AW10" i="18"/>
  <c r="AW24" i="18"/>
  <c r="CE37" i="16"/>
  <c r="BY27" i="15" l="1"/>
  <c r="CA19" i="12"/>
  <c r="BZ19" i="15"/>
  <c r="CA2" i="12"/>
  <c r="BZ27" i="12"/>
  <c r="BZ2" i="15"/>
  <c r="CA22" i="12"/>
  <c r="BZ22" i="15"/>
  <c r="CA8" i="12"/>
  <c r="BZ8" i="15"/>
  <c r="CA23" i="12"/>
  <c r="BZ23" i="15"/>
  <c r="CA14" i="12"/>
  <c r="BZ14" i="15"/>
  <c r="CA12" i="12"/>
  <c r="BZ12" i="15"/>
  <c r="CA16" i="12"/>
  <c r="BZ16" i="15"/>
  <c r="CA10" i="12"/>
  <c r="BZ10" i="15"/>
  <c r="CA6" i="12"/>
  <c r="BZ6" i="15"/>
  <c r="CA9" i="12"/>
  <c r="BZ9" i="15"/>
  <c r="CA3" i="12"/>
  <c r="BZ3" i="15"/>
  <c r="CA4" i="12"/>
  <c r="BZ4" i="15"/>
  <c r="CA24" i="12"/>
  <c r="BZ24" i="15"/>
  <c r="CA17" i="12"/>
  <c r="BZ17" i="15"/>
  <c r="CA21" i="12"/>
  <c r="BZ21" i="15"/>
  <c r="CA13" i="12"/>
  <c r="BZ13" i="15"/>
  <c r="CA7" i="12"/>
  <c r="BZ7" i="15"/>
  <c r="CA11" i="12"/>
  <c r="BZ11" i="15"/>
  <c r="CA25" i="12"/>
  <c r="BZ25" i="15"/>
  <c r="CA26" i="12"/>
  <c r="BZ26" i="15"/>
  <c r="CA5" i="12"/>
  <c r="BZ5" i="15"/>
  <c r="CA18" i="12"/>
  <c r="BZ18" i="15"/>
  <c r="CA20" i="12"/>
  <c r="BZ20" i="15"/>
  <c r="CA15" i="12"/>
  <c r="BZ15" i="15"/>
  <c r="BC17" i="16"/>
  <c r="AX15" i="18"/>
  <c r="AX20" i="18"/>
  <c r="AX6" i="18"/>
  <c r="AX25" i="18"/>
  <c r="AX11" i="18"/>
  <c r="AX16" i="18"/>
  <c r="AX2" i="18"/>
  <c r="AX21" i="18"/>
  <c r="AX7" i="18"/>
  <c r="AX26" i="18"/>
  <c r="AX12" i="18"/>
  <c r="AX17" i="18"/>
  <c r="AX3" i="18"/>
  <c r="AX22" i="18"/>
  <c r="AX8" i="18"/>
  <c r="AX13" i="18"/>
  <c r="AX18" i="18"/>
  <c r="AX4" i="18"/>
  <c r="AX23" i="18"/>
  <c r="AX9" i="18"/>
  <c r="AX14" i="18"/>
  <c r="AX19" i="18"/>
  <c r="AX5" i="18"/>
  <c r="AX24" i="18"/>
  <c r="AX10" i="18"/>
  <c r="AW27" i="18"/>
  <c r="CB17" i="12" l="1"/>
  <c r="CB17" i="15" s="1"/>
  <c r="CA17" i="15"/>
  <c r="CB22" i="12"/>
  <c r="CB22" i="15" s="1"/>
  <c r="CA22" i="15"/>
  <c r="BZ27" i="15"/>
  <c r="CB5" i="12"/>
  <c r="CB5" i="15" s="1"/>
  <c r="CA5" i="15"/>
  <c r="CB7" i="12"/>
  <c r="CB7" i="15" s="1"/>
  <c r="CA7" i="15"/>
  <c r="CB24" i="12"/>
  <c r="CB24" i="15" s="1"/>
  <c r="CA24" i="15"/>
  <c r="CB6" i="12"/>
  <c r="CB6" i="15" s="1"/>
  <c r="CA6" i="15"/>
  <c r="CB14" i="12"/>
  <c r="CB14" i="15" s="1"/>
  <c r="CA14" i="15"/>
  <c r="CB9" i="12"/>
  <c r="CB9" i="15" s="1"/>
  <c r="CA9" i="15"/>
  <c r="CB2" i="12"/>
  <c r="CA27" i="12"/>
  <c r="CA2" i="15"/>
  <c r="CB18" i="12"/>
  <c r="CB18" i="15" s="1"/>
  <c r="CA18" i="15"/>
  <c r="CB12" i="12"/>
  <c r="CB12" i="15" s="1"/>
  <c r="CA12" i="15"/>
  <c r="CB15" i="12"/>
  <c r="CB15" i="15" s="1"/>
  <c r="CA15" i="15"/>
  <c r="CB26" i="12"/>
  <c r="CB26" i="15" s="1"/>
  <c r="CA26" i="15"/>
  <c r="CB13" i="12"/>
  <c r="CB13" i="15" s="1"/>
  <c r="CA13" i="15"/>
  <c r="CB4" i="12"/>
  <c r="CB4" i="15" s="1"/>
  <c r="CA4" i="15"/>
  <c r="CB10" i="12"/>
  <c r="CB10" i="15" s="1"/>
  <c r="CA10" i="15"/>
  <c r="CB23" i="12"/>
  <c r="CB23" i="15" s="1"/>
  <c r="CA23" i="15"/>
  <c r="CB11" i="12"/>
  <c r="CB11" i="15" s="1"/>
  <c r="CA11" i="15"/>
  <c r="CB19" i="12"/>
  <c r="CB19" i="15" s="1"/>
  <c r="CA19" i="15"/>
  <c r="CB20" i="12"/>
  <c r="CB20" i="15" s="1"/>
  <c r="CA20" i="15"/>
  <c r="CB25" i="12"/>
  <c r="CB25" i="15" s="1"/>
  <c r="CA25" i="15"/>
  <c r="CB21" i="12"/>
  <c r="CB21" i="15" s="1"/>
  <c r="CA21" i="15"/>
  <c r="CB3" i="12"/>
  <c r="CB3" i="15" s="1"/>
  <c r="CA3" i="15"/>
  <c r="CB16" i="12"/>
  <c r="CB16" i="15" s="1"/>
  <c r="CA16" i="15"/>
  <c r="CB8" i="12"/>
  <c r="CB8" i="15" s="1"/>
  <c r="CA8" i="15"/>
  <c r="AX27" i="18"/>
  <c r="BD17" i="16"/>
  <c r="AY20" i="18"/>
  <c r="AY6" i="18"/>
  <c r="AY25" i="18"/>
  <c r="AY11" i="18"/>
  <c r="AY16" i="18"/>
  <c r="AY2" i="18"/>
  <c r="AY21" i="18"/>
  <c r="AY7" i="18"/>
  <c r="AY26" i="18"/>
  <c r="AY12" i="18"/>
  <c r="AY17" i="18"/>
  <c r="AY3" i="18"/>
  <c r="AY22" i="18"/>
  <c r="AY8" i="18"/>
  <c r="AY13" i="18"/>
  <c r="AY18" i="18"/>
  <c r="AY4" i="18"/>
  <c r="AY23" i="18"/>
  <c r="AY9" i="18"/>
  <c r="AY14" i="18"/>
  <c r="AY19" i="18"/>
  <c r="AY5" i="18"/>
  <c r="AY24" i="18"/>
  <c r="AY10" i="18"/>
  <c r="AY15" i="18"/>
  <c r="CA27" i="15" l="1"/>
  <c r="CB27" i="12"/>
  <c r="CB2" i="15"/>
  <c r="CB27" i="15" s="1"/>
  <c r="BE17" i="16"/>
  <c r="AZ20" i="18"/>
  <c r="AZ6" i="18"/>
  <c r="AZ25" i="18"/>
  <c r="AZ11" i="18"/>
  <c r="AZ16" i="18"/>
  <c r="AZ2" i="18"/>
  <c r="AZ21" i="18"/>
  <c r="AZ7" i="18"/>
  <c r="AZ26" i="18"/>
  <c r="AZ12" i="18"/>
  <c r="AZ17" i="18"/>
  <c r="AZ3" i="18"/>
  <c r="AZ22" i="18"/>
  <c r="AZ8" i="18"/>
  <c r="AZ13" i="18"/>
  <c r="AZ18" i="18"/>
  <c r="AZ4" i="18"/>
  <c r="AZ23" i="18"/>
  <c r="AZ9" i="18"/>
  <c r="AZ14" i="18"/>
  <c r="AZ19" i="18"/>
  <c r="AZ5" i="18"/>
  <c r="AZ24" i="18"/>
  <c r="AZ10" i="18"/>
  <c r="AZ15" i="18"/>
  <c r="AY27" i="18"/>
  <c r="AZ27" i="18" l="1"/>
  <c r="BF17" i="16"/>
  <c r="BA25" i="18"/>
  <c r="BA11" i="18"/>
  <c r="BA16" i="18"/>
  <c r="BA2" i="18"/>
  <c r="BA21" i="18"/>
  <c r="BA7" i="18"/>
  <c r="BA26" i="18"/>
  <c r="BA12" i="18"/>
  <c r="BA17" i="18"/>
  <c r="BA3" i="18"/>
  <c r="BA22" i="18"/>
  <c r="BA8" i="18"/>
  <c r="BA13" i="18"/>
  <c r="BA18" i="18"/>
  <c r="BA4" i="18"/>
  <c r="BA23" i="18"/>
  <c r="BA9" i="18"/>
  <c r="BA14" i="18"/>
  <c r="BA19" i="18"/>
  <c r="BA5" i="18"/>
  <c r="BA24" i="18"/>
  <c r="BA10" i="18"/>
  <c r="BA15" i="18"/>
  <c r="BA6" i="18"/>
  <c r="BA20" i="18"/>
  <c r="BA27" i="18" l="1"/>
  <c r="BG17" i="16"/>
  <c r="BB25" i="18"/>
  <c r="BB11" i="18"/>
  <c r="BB16" i="18"/>
  <c r="BB2" i="18"/>
  <c r="BB21" i="18"/>
  <c r="BB7" i="18"/>
  <c r="BB26" i="18"/>
  <c r="BB12" i="18"/>
  <c r="BB17" i="18"/>
  <c r="BB3" i="18"/>
  <c r="BB22" i="18"/>
  <c r="BB8" i="18"/>
  <c r="BB13" i="18"/>
  <c r="BB18" i="18"/>
  <c r="BB4" i="18"/>
  <c r="BB23" i="18"/>
  <c r="BB9" i="18"/>
  <c r="BB14" i="18"/>
  <c r="BB19" i="18"/>
  <c r="BB5" i="18"/>
  <c r="BB24" i="18"/>
  <c r="BB10" i="18"/>
  <c r="BB15" i="18"/>
  <c r="BB20" i="18"/>
  <c r="BB6" i="18"/>
  <c r="BB27" i="18" l="1"/>
  <c r="BH17" i="16"/>
  <c r="BC16" i="18"/>
  <c r="BC2" i="18"/>
  <c r="BC21" i="18"/>
  <c r="BC7" i="18"/>
  <c r="BC26" i="18"/>
  <c r="BC12" i="18"/>
  <c r="BC17" i="18"/>
  <c r="BC3" i="18"/>
  <c r="BC22" i="18"/>
  <c r="BC8" i="18"/>
  <c r="BC13" i="18"/>
  <c r="BC18" i="18"/>
  <c r="BC4" i="18"/>
  <c r="BC23" i="18"/>
  <c r="BC9" i="18"/>
  <c r="BC14" i="18"/>
  <c r="BC19" i="18"/>
  <c r="BC5" i="18"/>
  <c r="BC24" i="18"/>
  <c r="BC10" i="18"/>
  <c r="BC15" i="18"/>
  <c r="BC20" i="18"/>
  <c r="BC6" i="18"/>
  <c r="BC11" i="18"/>
  <c r="BC25" i="18"/>
  <c r="BC27" i="18" l="1"/>
  <c r="BI17" i="16"/>
  <c r="BD16" i="18"/>
  <c r="BD2" i="18"/>
  <c r="BD21" i="18"/>
  <c r="BD7" i="18"/>
  <c r="BD26" i="18"/>
  <c r="BD12" i="18"/>
  <c r="BD17" i="18"/>
  <c r="BD3" i="18"/>
  <c r="BD22" i="18"/>
  <c r="BD8" i="18"/>
  <c r="BD13" i="18"/>
  <c r="BD18" i="18"/>
  <c r="BD4" i="18"/>
  <c r="BD23" i="18"/>
  <c r="BD9" i="18"/>
  <c r="BD14" i="18"/>
  <c r="BD19" i="18"/>
  <c r="BD5" i="18"/>
  <c r="BD24" i="18"/>
  <c r="BD10" i="18"/>
  <c r="BD15" i="18"/>
  <c r="BD20" i="18"/>
  <c r="BD6" i="18"/>
  <c r="BD25" i="18"/>
  <c r="BD11" i="18"/>
  <c r="BD27" i="18" l="1"/>
  <c r="BJ17" i="16"/>
  <c r="BE21" i="18"/>
  <c r="BE7" i="18"/>
  <c r="BE26" i="18"/>
  <c r="BE12" i="18"/>
  <c r="BE17" i="18"/>
  <c r="BE3" i="18"/>
  <c r="BE22" i="18"/>
  <c r="BE8" i="18"/>
  <c r="BE13" i="18"/>
  <c r="BE18" i="18"/>
  <c r="BE4" i="18"/>
  <c r="BE23" i="18"/>
  <c r="BE9" i="18"/>
  <c r="BE14" i="18"/>
  <c r="BE19" i="18"/>
  <c r="BE5" i="18"/>
  <c r="BE24" i="18"/>
  <c r="BE10" i="18"/>
  <c r="BE15" i="18"/>
  <c r="BE20" i="18"/>
  <c r="BE6" i="18"/>
  <c r="BE25" i="18"/>
  <c r="BE11" i="18"/>
  <c r="BE2" i="18"/>
  <c r="BE16" i="18"/>
  <c r="BE27" i="18" l="1"/>
  <c r="BK17" i="16"/>
  <c r="BF21" i="18"/>
  <c r="BF7" i="18"/>
  <c r="BF26" i="18"/>
  <c r="BF12" i="18"/>
  <c r="BF17" i="18"/>
  <c r="BF3" i="18"/>
  <c r="BF22" i="18"/>
  <c r="BF8" i="18"/>
  <c r="BF13" i="18"/>
  <c r="BF18" i="18"/>
  <c r="BF4" i="18"/>
  <c r="BF23" i="18"/>
  <c r="BF9" i="18"/>
  <c r="BF14" i="18"/>
  <c r="BF19" i="18"/>
  <c r="BF5" i="18"/>
  <c r="BF24" i="18"/>
  <c r="BF10" i="18"/>
  <c r="BF15" i="18"/>
  <c r="BF20" i="18"/>
  <c r="BF6" i="18"/>
  <c r="BF25" i="18"/>
  <c r="BF11" i="18"/>
  <c r="BF2" i="18"/>
  <c r="BF16" i="18"/>
  <c r="BF27" i="18" l="1"/>
  <c r="BL17" i="16"/>
  <c r="BG26" i="18"/>
  <c r="BG12" i="18"/>
  <c r="BG17" i="18"/>
  <c r="BG3" i="18"/>
  <c r="BG22" i="18"/>
  <c r="BG8" i="18"/>
  <c r="BG13" i="18"/>
  <c r="BG18" i="18"/>
  <c r="BG4" i="18"/>
  <c r="BG23" i="18"/>
  <c r="BG9" i="18"/>
  <c r="BG14" i="18"/>
  <c r="BG19" i="18"/>
  <c r="BG5" i="18"/>
  <c r="BG24" i="18"/>
  <c r="BG10" i="18"/>
  <c r="BG15" i="18"/>
  <c r="BG20" i="18"/>
  <c r="BG6" i="18"/>
  <c r="BG25" i="18"/>
  <c r="BG11" i="18"/>
  <c r="BG16" i="18"/>
  <c r="BG2" i="18"/>
  <c r="BG21" i="18"/>
  <c r="BG7" i="18"/>
  <c r="BG27" i="18" l="1"/>
  <c r="BM17" i="16"/>
  <c r="BH26" i="18"/>
  <c r="BH12" i="18"/>
  <c r="BH17" i="18"/>
  <c r="BH3" i="18"/>
  <c r="BH22" i="18"/>
  <c r="BH8" i="18"/>
  <c r="BH13" i="18"/>
  <c r="BH18" i="18"/>
  <c r="BH4" i="18"/>
  <c r="BH23" i="18"/>
  <c r="BH9" i="18"/>
  <c r="BH14" i="18"/>
  <c r="BH19" i="18"/>
  <c r="BH5" i="18"/>
  <c r="BH24" i="18"/>
  <c r="BH10" i="18"/>
  <c r="BH15" i="18"/>
  <c r="BH20" i="18"/>
  <c r="BH6" i="18"/>
  <c r="BH25" i="18"/>
  <c r="BH11" i="18"/>
  <c r="BH16" i="18"/>
  <c r="BH2" i="18"/>
  <c r="BH21" i="18"/>
  <c r="BH7" i="18"/>
  <c r="BH27" i="18" l="1"/>
  <c r="BN17" i="16"/>
  <c r="BI17" i="18"/>
  <c r="BI3" i="18"/>
  <c r="BI22" i="18"/>
  <c r="BI8" i="18"/>
  <c r="BI13" i="18"/>
  <c r="BI18" i="18"/>
  <c r="BI4" i="18"/>
  <c r="BI23" i="18"/>
  <c r="BI9" i="18"/>
  <c r="BI14" i="18"/>
  <c r="BI19" i="18"/>
  <c r="BI5" i="18"/>
  <c r="BI24" i="18"/>
  <c r="BI10" i="18"/>
  <c r="BI15" i="18"/>
  <c r="BI20" i="18"/>
  <c r="BI6" i="18"/>
  <c r="BI25" i="18"/>
  <c r="BI11" i="18"/>
  <c r="BI16" i="18"/>
  <c r="BI2" i="18"/>
  <c r="BI21" i="18"/>
  <c r="BI7" i="18"/>
  <c r="BI12" i="18"/>
  <c r="BI26" i="18"/>
  <c r="BI27" i="18" l="1"/>
  <c r="BO17" i="16"/>
  <c r="BJ17" i="18"/>
  <c r="BJ3" i="18"/>
  <c r="BJ22" i="18"/>
  <c r="BJ8" i="18"/>
  <c r="BJ13" i="18"/>
  <c r="BJ18" i="18"/>
  <c r="BJ4" i="18"/>
  <c r="BJ23" i="18"/>
  <c r="BJ9" i="18"/>
  <c r="BJ14" i="18"/>
  <c r="BJ19" i="18"/>
  <c r="BJ5" i="18"/>
  <c r="BJ24" i="18"/>
  <c r="BJ10" i="18"/>
  <c r="BJ15" i="18"/>
  <c r="BJ20" i="18"/>
  <c r="BJ6" i="18"/>
  <c r="BJ25" i="18"/>
  <c r="BJ11" i="18"/>
  <c r="BJ16" i="18"/>
  <c r="BJ2" i="18"/>
  <c r="BJ21" i="18"/>
  <c r="BJ7" i="18"/>
  <c r="BJ26" i="18"/>
  <c r="BJ12" i="18"/>
  <c r="BJ27" i="18" l="1"/>
  <c r="BP17" i="16"/>
  <c r="BK22" i="18"/>
  <c r="BK8" i="18"/>
  <c r="BK13" i="18"/>
  <c r="BK18" i="18"/>
  <c r="BK4" i="18"/>
  <c r="BK23" i="18"/>
  <c r="BK9" i="18"/>
  <c r="BK14" i="18"/>
  <c r="BK19" i="18"/>
  <c r="BK5" i="18"/>
  <c r="BK24" i="18"/>
  <c r="BK10" i="18"/>
  <c r="BK15" i="18"/>
  <c r="BK20" i="18"/>
  <c r="BK6" i="18"/>
  <c r="BK25" i="18"/>
  <c r="BK11" i="18"/>
  <c r="BK16" i="18"/>
  <c r="BK2" i="18"/>
  <c r="BK21" i="18"/>
  <c r="BK7" i="18"/>
  <c r="BK26" i="18"/>
  <c r="BK12" i="18"/>
  <c r="BK3" i="18"/>
  <c r="BK17" i="18"/>
  <c r="BK27" i="18" l="1"/>
  <c r="BQ17" i="16"/>
  <c r="BL22" i="18"/>
  <c r="BL8" i="18"/>
  <c r="BL13" i="18"/>
  <c r="BL18" i="18"/>
  <c r="BL4" i="18"/>
  <c r="BL23" i="18"/>
  <c r="BL9" i="18"/>
  <c r="BL14" i="18"/>
  <c r="BL19" i="18"/>
  <c r="BL5" i="18"/>
  <c r="BL24" i="18"/>
  <c r="BL10" i="18"/>
  <c r="BL15" i="18"/>
  <c r="BL20" i="18"/>
  <c r="BL6" i="18"/>
  <c r="BL25" i="18"/>
  <c r="BL11" i="18"/>
  <c r="BL16" i="18"/>
  <c r="BL2" i="18"/>
  <c r="BL21" i="18"/>
  <c r="BL7" i="18"/>
  <c r="BL26" i="18"/>
  <c r="BL12" i="18"/>
  <c r="BL3" i="18"/>
  <c r="BL17" i="18"/>
  <c r="BL27" i="18" l="1"/>
  <c r="BR17" i="16"/>
  <c r="BM13" i="18"/>
  <c r="BM18" i="18"/>
  <c r="BM4" i="18"/>
  <c r="BM23" i="18"/>
  <c r="BM9" i="18"/>
  <c r="BM14" i="18"/>
  <c r="BM19" i="18"/>
  <c r="BM5" i="18"/>
  <c r="BM24" i="18"/>
  <c r="BM10" i="18"/>
  <c r="BM15" i="18"/>
  <c r="BM20" i="18"/>
  <c r="BM6" i="18"/>
  <c r="BM25" i="18"/>
  <c r="BM11" i="18"/>
  <c r="BM16" i="18"/>
  <c r="BM2" i="18"/>
  <c r="BM21" i="18"/>
  <c r="BM7" i="18"/>
  <c r="BM26" i="18"/>
  <c r="BM12" i="18"/>
  <c r="BM17" i="18"/>
  <c r="BM3" i="18"/>
  <c r="BM8" i="18"/>
  <c r="BM22" i="18"/>
  <c r="BM27" i="18" l="1"/>
  <c r="BS17" i="16"/>
  <c r="BN13" i="18"/>
  <c r="BN18" i="18"/>
  <c r="BN4" i="18"/>
  <c r="BN23" i="18"/>
  <c r="BN9" i="18"/>
  <c r="BN14" i="18"/>
  <c r="BN19" i="18"/>
  <c r="BN5" i="18"/>
  <c r="BN24" i="18"/>
  <c r="BN10" i="18"/>
  <c r="BN15" i="18"/>
  <c r="BN20" i="18"/>
  <c r="BN6" i="18"/>
  <c r="BN25" i="18"/>
  <c r="BN11" i="18"/>
  <c r="BN16" i="18"/>
  <c r="BN2" i="18"/>
  <c r="BN21" i="18"/>
  <c r="BN7" i="18"/>
  <c r="BN26" i="18"/>
  <c r="BN12" i="18"/>
  <c r="BN17" i="18"/>
  <c r="BN3" i="18"/>
  <c r="BN22" i="18"/>
  <c r="BN8" i="18"/>
  <c r="BN27" i="18" l="1"/>
  <c r="BT17" i="16"/>
  <c r="BO18" i="18"/>
  <c r="BO4" i="18"/>
  <c r="BO23" i="18"/>
  <c r="BO9" i="18"/>
  <c r="BO14" i="18"/>
  <c r="BO19" i="18"/>
  <c r="BO5" i="18"/>
  <c r="BO24" i="18"/>
  <c r="BO10" i="18"/>
  <c r="BO15" i="18"/>
  <c r="BO20" i="18"/>
  <c r="BO6" i="18"/>
  <c r="BO25" i="18"/>
  <c r="BO11" i="18"/>
  <c r="BO16" i="18"/>
  <c r="BO2" i="18"/>
  <c r="BO21" i="18"/>
  <c r="BO7" i="18"/>
  <c r="BO26" i="18"/>
  <c r="BO12" i="18"/>
  <c r="BO17" i="18"/>
  <c r="BO3" i="18"/>
  <c r="BO22" i="18"/>
  <c r="BO8" i="18"/>
  <c r="BO13" i="18"/>
  <c r="BO27" i="18" l="1"/>
  <c r="BU17" i="16"/>
  <c r="BP18" i="18"/>
  <c r="BP4" i="18"/>
  <c r="BP23" i="18"/>
  <c r="BP9" i="18"/>
  <c r="BP14" i="18"/>
  <c r="BP19" i="18"/>
  <c r="BP5" i="18"/>
  <c r="BP24" i="18"/>
  <c r="BP10" i="18"/>
  <c r="BP15" i="18"/>
  <c r="BP20" i="18"/>
  <c r="BP6" i="18"/>
  <c r="BP25" i="18"/>
  <c r="BP11" i="18"/>
  <c r="BP16" i="18"/>
  <c r="BP2" i="18"/>
  <c r="BP21" i="18"/>
  <c r="BP7" i="18"/>
  <c r="BP26" i="18"/>
  <c r="BP12" i="18"/>
  <c r="BP17" i="18"/>
  <c r="BP3" i="18"/>
  <c r="BP22" i="18"/>
  <c r="BP8" i="18"/>
  <c r="BP13" i="18"/>
  <c r="BP27" i="18" l="1"/>
  <c r="BV17" i="16"/>
  <c r="BQ23" i="18"/>
  <c r="BQ9" i="18"/>
  <c r="BQ14" i="18"/>
  <c r="BQ19" i="18"/>
  <c r="BQ5" i="18"/>
  <c r="BQ24" i="18"/>
  <c r="BQ10" i="18"/>
  <c r="BQ15" i="18"/>
  <c r="BQ20" i="18"/>
  <c r="BQ6" i="18"/>
  <c r="BQ25" i="18"/>
  <c r="BQ11" i="18"/>
  <c r="BQ16" i="18"/>
  <c r="BQ2" i="18"/>
  <c r="BQ21" i="18"/>
  <c r="BQ7" i="18"/>
  <c r="BQ26" i="18"/>
  <c r="BQ12" i="18"/>
  <c r="BQ17" i="18"/>
  <c r="BQ3" i="18"/>
  <c r="BQ22" i="18"/>
  <c r="BQ8" i="18"/>
  <c r="BQ13" i="18"/>
  <c r="BQ18" i="18"/>
  <c r="BQ4" i="18"/>
  <c r="BQ27" i="18" l="1"/>
  <c r="BW17" i="16"/>
  <c r="BR23" i="18"/>
  <c r="BR9" i="18"/>
  <c r="BR14" i="18"/>
  <c r="BR19" i="18"/>
  <c r="BR5" i="18"/>
  <c r="BR24" i="18"/>
  <c r="BR10" i="18"/>
  <c r="BR15" i="18"/>
  <c r="BR20" i="18"/>
  <c r="BR6" i="18"/>
  <c r="BR25" i="18"/>
  <c r="BR11" i="18"/>
  <c r="BR16" i="18"/>
  <c r="BR2" i="18"/>
  <c r="BR21" i="18"/>
  <c r="BR7" i="18"/>
  <c r="BR26" i="18"/>
  <c r="BR12" i="18"/>
  <c r="BR17" i="18"/>
  <c r="BR3" i="18"/>
  <c r="BR22" i="18"/>
  <c r="BR8" i="18"/>
  <c r="BR13" i="18"/>
  <c r="BR4" i="18"/>
  <c r="BR18" i="18"/>
  <c r="BR27" i="18" l="1"/>
  <c r="BX17" i="16"/>
  <c r="BS14" i="18"/>
  <c r="BS19" i="18"/>
  <c r="BS5" i="18"/>
  <c r="BS24" i="18"/>
  <c r="BS10" i="18"/>
  <c r="BS15" i="18"/>
  <c r="BS20" i="18"/>
  <c r="BS6" i="18"/>
  <c r="BS25" i="18"/>
  <c r="BS11" i="18"/>
  <c r="BS16" i="18"/>
  <c r="BS2" i="18"/>
  <c r="BS21" i="18"/>
  <c r="BS7" i="18"/>
  <c r="BS26" i="18"/>
  <c r="BS12" i="18"/>
  <c r="BS17" i="18"/>
  <c r="BS3" i="18"/>
  <c r="BS22" i="18"/>
  <c r="BS8" i="18"/>
  <c r="BS13" i="18"/>
  <c r="BS18" i="18"/>
  <c r="BS4" i="18"/>
  <c r="BS9" i="18"/>
  <c r="BS23" i="18"/>
  <c r="BS27" i="18" l="1"/>
  <c r="BY17" i="16"/>
  <c r="BT14" i="18"/>
  <c r="BT19" i="18"/>
  <c r="BT5" i="18"/>
  <c r="BT24" i="18"/>
  <c r="BT10" i="18"/>
  <c r="BT15" i="18"/>
  <c r="BT20" i="18"/>
  <c r="BT6" i="18"/>
  <c r="BT25" i="18"/>
  <c r="BT11" i="18"/>
  <c r="BT16" i="18"/>
  <c r="BT2" i="18"/>
  <c r="BT21" i="18"/>
  <c r="BT7" i="18"/>
  <c r="BT26" i="18"/>
  <c r="BT12" i="18"/>
  <c r="BT17" i="18"/>
  <c r="BT3" i="18"/>
  <c r="BT22" i="18"/>
  <c r="BT8" i="18"/>
  <c r="BT13" i="18"/>
  <c r="BT18" i="18"/>
  <c r="BT4" i="18"/>
  <c r="BT23" i="18"/>
  <c r="BT9" i="18"/>
  <c r="BT27" i="18" l="1"/>
  <c r="BZ17" i="16"/>
  <c r="BU19" i="18"/>
  <c r="BU5" i="18"/>
  <c r="BU24" i="18"/>
  <c r="BU10" i="18"/>
  <c r="BU15" i="18"/>
  <c r="BU20" i="18"/>
  <c r="BU6" i="18"/>
  <c r="BU25" i="18"/>
  <c r="BU11" i="18"/>
  <c r="BU16" i="18"/>
  <c r="BU2" i="18"/>
  <c r="BU21" i="18"/>
  <c r="BU7" i="18"/>
  <c r="BU26" i="18"/>
  <c r="BU12" i="18"/>
  <c r="BU17" i="18"/>
  <c r="BU3" i="18"/>
  <c r="BU22" i="18"/>
  <c r="BU8" i="18"/>
  <c r="BU13" i="18"/>
  <c r="BU18" i="18"/>
  <c r="BU4" i="18"/>
  <c r="BU23" i="18"/>
  <c r="BU9" i="18"/>
  <c r="BU14" i="18"/>
  <c r="BU27" i="18" l="1"/>
  <c r="CA17" i="16"/>
  <c r="BV19" i="18"/>
  <c r="BV5" i="18"/>
  <c r="BV24" i="18"/>
  <c r="BV10" i="18"/>
  <c r="BV15" i="18"/>
  <c r="BV20" i="18"/>
  <c r="BV6" i="18"/>
  <c r="BV25" i="18"/>
  <c r="BV11" i="18"/>
  <c r="BV16" i="18"/>
  <c r="BV2" i="18"/>
  <c r="BV21" i="18"/>
  <c r="BV7" i="18"/>
  <c r="BV26" i="18"/>
  <c r="BV12" i="18"/>
  <c r="BV17" i="18"/>
  <c r="BV3" i="18"/>
  <c r="BV22" i="18"/>
  <c r="BV8" i="18"/>
  <c r="BV13" i="18"/>
  <c r="BV18" i="18"/>
  <c r="BV4" i="18"/>
  <c r="BV23" i="18"/>
  <c r="BV9" i="18"/>
  <c r="BV14" i="18"/>
  <c r="BV27" i="18" l="1"/>
  <c r="CB17" i="16"/>
  <c r="BW24" i="18"/>
  <c r="BW10" i="18"/>
  <c r="BW15" i="18"/>
  <c r="BW20" i="18"/>
  <c r="BW6" i="18"/>
  <c r="BW25" i="18"/>
  <c r="BW11" i="18"/>
  <c r="BW16" i="18"/>
  <c r="BW2" i="18"/>
  <c r="BW21" i="18"/>
  <c r="BW7" i="18"/>
  <c r="BW26" i="18"/>
  <c r="BW12" i="18"/>
  <c r="BW17" i="18"/>
  <c r="BW3" i="18"/>
  <c r="BW22" i="18"/>
  <c r="BW8" i="18"/>
  <c r="BW13" i="18"/>
  <c r="BW18" i="18"/>
  <c r="BW4" i="18"/>
  <c r="BW23" i="18"/>
  <c r="BW9" i="18"/>
  <c r="BW14" i="18"/>
  <c r="BW5" i="18"/>
  <c r="BW19" i="18"/>
  <c r="BW27" i="18" l="1"/>
  <c r="CC17" i="16"/>
  <c r="BX24" i="18"/>
  <c r="BX10" i="18"/>
  <c r="BX15" i="18"/>
  <c r="BX20" i="18"/>
  <c r="BX6" i="18"/>
  <c r="BX25" i="18"/>
  <c r="BX11" i="18"/>
  <c r="BX16" i="18"/>
  <c r="BX2" i="18"/>
  <c r="BX21" i="18"/>
  <c r="BX7" i="18"/>
  <c r="BX26" i="18"/>
  <c r="BX12" i="18"/>
  <c r="BX17" i="18"/>
  <c r="BX3" i="18"/>
  <c r="BX22" i="18"/>
  <c r="BX8" i="18"/>
  <c r="BX13" i="18"/>
  <c r="BX18" i="18"/>
  <c r="BX4" i="18"/>
  <c r="BX23" i="18"/>
  <c r="BX9" i="18"/>
  <c r="BX14" i="18"/>
  <c r="BX19" i="18"/>
  <c r="BX5" i="18"/>
  <c r="BX27" i="18" l="1"/>
  <c r="CD17" i="16"/>
  <c r="BY15" i="18"/>
  <c r="BY20" i="18"/>
  <c r="BY6" i="18"/>
  <c r="BY25" i="18"/>
  <c r="BY11" i="18"/>
  <c r="BY16" i="18"/>
  <c r="BY2" i="18"/>
  <c r="BY21" i="18"/>
  <c r="BY7" i="18"/>
  <c r="BY26" i="18"/>
  <c r="BY12" i="18"/>
  <c r="BY17" i="18"/>
  <c r="BY3" i="18"/>
  <c r="BY22" i="18"/>
  <c r="BY8" i="18"/>
  <c r="BY13" i="18"/>
  <c r="BY18" i="18"/>
  <c r="BY4" i="18"/>
  <c r="BY23" i="18"/>
  <c r="BY9" i="18"/>
  <c r="BY14" i="18"/>
  <c r="BY19" i="18"/>
  <c r="BY5" i="18"/>
  <c r="BY10" i="18"/>
  <c r="BY24" i="18"/>
  <c r="BY27" i="18" l="1"/>
  <c r="CE17" i="16"/>
  <c r="BZ15" i="18"/>
  <c r="BZ20" i="18"/>
  <c r="BZ6" i="18"/>
  <c r="BZ25" i="18"/>
  <c r="BZ11" i="18"/>
  <c r="BZ16" i="18"/>
  <c r="BZ2" i="18"/>
  <c r="BZ21" i="18"/>
  <c r="BZ7" i="18"/>
  <c r="BZ26" i="18"/>
  <c r="BZ12" i="18"/>
  <c r="BZ17" i="18"/>
  <c r="BZ3" i="18"/>
  <c r="BZ22" i="18"/>
  <c r="BZ8" i="18"/>
  <c r="BZ13" i="18"/>
  <c r="BZ18" i="18"/>
  <c r="BZ4" i="18"/>
  <c r="BZ23" i="18"/>
  <c r="BZ9" i="18"/>
  <c r="BZ14" i="18"/>
  <c r="BZ19" i="18"/>
  <c r="BZ5" i="18"/>
  <c r="BZ24" i="18"/>
  <c r="BZ10" i="18"/>
  <c r="BZ27" i="18" l="1"/>
  <c r="CA20" i="18"/>
  <c r="CA6" i="18"/>
  <c r="CA25" i="18"/>
  <c r="CA11" i="18"/>
  <c r="CA16" i="18"/>
  <c r="CA2" i="18"/>
  <c r="CA21" i="18"/>
  <c r="CA7" i="18"/>
  <c r="CA26" i="18"/>
  <c r="CA12" i="18"/>
  <c r="CA17" i="18"/>
  <c r="CA3" i="18"/>
  <c r="CA22" i="18"/>
  <c r="CA8" i="18"/>
  <c r="CA13" i="18"/>
  <c r="CA18" i="18"/>
  <c r="CA4" i="18"/>
  <c r="CA23" i="18"/>
  <c r="CA9" i="18"/>
  <c r="CA14" i="18"/>
  <c r="CA19" i="18"/>
  <c r="CA5" i="18"/>
  <c r="CA24" i="18"/>
  <c r="CA10" i="18"/>
  <c r="CA15" i="18"/>
  <c r="CA27" i="18" l="1"/>
</calcChain>
</file>

<file path=xl/sharedStrings.xml><?xml version="1.0" encoding="utf-8"?>
<sst xmlns="http://schemas.openxmlformats.org/spreadsheetml/2006/main" count="3714" uniqueCount="862">
  <si>
    <r>
      <rPr>
        <b/>
        <u/>
        <sz val="12"/>
        <color rgb="FF000000"/>
        <rFont val="Calibri"/>
        <family val="2"/>
        <scheme val="minor"/>
      </rPr>
      <t>Raw data from NCSI :</t>
    </r>
    <r>
      <rPr>
        <sz val="10"/>
        <color rgb="FF000000"/>
        <rFont val="Calibri"/>
        <family val="2"/>
        <scheme val="minor"/>
      </rPr>
      <t xml:space="preserve"> Forecast Omani (21-40) + Forecast Expats (21-40)</t>
    </r>
  </si>
  <si>
    <r>
      <rPr>
        <b/>
        <u/>
        <sz val="12"/>
        <color rgb="FF000000"/>
        <rFont val="Calibri"/>
        <family val="2"/>
        <scheme val="minor"/>
      </rPr>
      <t>Extrapolation :</t>
    </r>
    <r>
      <rPr>
        <sz val="10"/>
        <color rgb="FF000000"/>
        <rFont val="Calibri"/>
        <family val="2"/>
        <scheme val="minor"/>
      </rPr>
      <t xml:space="preserve"> Omani (41-50) + Expats (41-50) [cf Technical Note on Population]</t>
    </r>
  </si>
  <si>
    <t>Gov_Code</t>
  </si>
  <si>
    <t>Wilayat_Code</t>
  </si>
  <si>
    <t>Name</t>
  </si>
  <si>
    <t>01</t>
  </si>
  <si>
    <t>03</t>
  </si>
  <si>
    <t>04</t>
  </si>
  <si>
    <t>MAHADAH</t>
  </si>
  <si>
    <t>05</t>
  </si>
  <si>
    <t>06</t>
  </si>
  <si>
    <t>AL KHABURAH</t>
  </si>
  <si>
    <t>07</t>
  </si>
  <si>
    <t>08</t>
  </si>
  <si>
    <t>09</t>
  </si>
  <si>
    <t>AL QABIL</t>
  </si>
  <si>
    <t>10</t>
  </si>
  <si>
    <t>1001</t>
  </si>
  <si>
    <t>IBRI</t>
  </si>
  <si>
    <t>11</t>
  </si>
  <si>
    <t>TOTAL Population</t>
  </si>
  <si>
    <t>Code</t>
  </si>
  <si>
    <t>Muscat</t>
  </si>
  <si>
    <t>Musandam</t>
  </si>
  <si>
    <t>Al Buraymi</t>
  </si>
  <si>
    <t>Ad Dakhliyah</t>
  </si>
  <si>
    <t>Al Batinah North</t>
  </si>
  <si>
    <t>Al Batinah South</t>
  </si>
  <si>
    <t>Ash Sharqiyah South</t>
  </si>
  <si>
    <t>Ash Sharqiyah North</t>
  </si>
  <si>
    <t>Adh Dhahirah</t>
  </si>
  <si>
    <t>Al Wusta</t>
  </si>
  <si>
    <t>TOTAL NWS</t>
  </si>
  <si>
    <t>Ibri</t>
  </si>
  <si>
    <t>Growth Rate</t>
  </si>
  <si>
    <t>AD DARIZ</t>
  </si>
  <si>
    <t>TANAM</t>
  </si>
  <si>
    <t>AL MAKHTIBYAH</t>
  </si>
  <si>
    <t>AL WAHRAH</t>
  </si>
  <si>
    <t>AL GHUBAYRAH</t>
  </si>
  <si>
    <t>AD DIBAYSHI</t>
  </si>
  <si>
    <t>AL QURAYN</t>
  </si>
  <si>
    <t>WADI AL MANKAS</t>
  </si>
  <si>
    <t>AL AYNAYN</t>
  </si>
  <si>
    <t>SATWAH</t>
  </si>
  <si>
    <t>ASH SHIAB</t>
  </si>
  <si>
    <t>AT TAYYIB</t>
  </si>
  <si>
    <t>AL JIBAYYAH</t>
  </si>
  <si>
    <t>SHALASHIL</t>
  </si>
  <si>
    <t>HIJAR</t>
  </si>
  <si>
    <t>AL JAHLI</t>
  </si>
  <si>
    <t>USAYBUQ</t>
  </si>
  <si>
    <t>SUWAYDA AL MA</t>
  </si>
  <si>
    <t>SAYH AL MASARRAT</t>
  </si>
  <si>
    <t>BAT</t>
  </si>
  <si>
    <t>AL AKHEEDAR</t>
  </si>
  <si>
    <t>AL QALI</t>
  </si>
  <si>
    <t>AL ARAQI</t>
  </si>
  <si>
    <t>MIAYRID</t>
  </si>
  <si>
    <t>No.</t>
  </si>
  <si>
    <t>Governorate</t>
  </si>
  <si>
    <t>Wilayah</t>
  </si>
  <si>
    <t>Water Supply Zone</t>
  </si>
  <si>
    <t>Settlement</t>
  </si>
  <si>
    <t>Settlement Code</t>
  </si>
  <si>
    <t>TOWN_CODE</t>
  </si>
  <si>
    <t>WSZ 7</t>
  </si>
  <si>
    <t>WSZ 9</t>
  </si>
  <si>
    <t>AL MAHYUL</t>
  </si>
  <si>
    <t>AL HAJIR</t>
  </si>
  <si>
    <t>WSZ 8</t>
  </si>
  <si>
    <t>WSZ 10</t>
  </si>
  <si>
    <t>WSZ 15</t>
  </si>
  <si>
    <t>AR RAWDAH</t>
  </si>
  <si>
    <t>WSZ 2</t>
  </si>
  <si>
    <t>AL HAYL</t>
  </si>
  <si>
    <t>AT TUWAYYAH</t>
  </si>
  <si>
    <t>WSZ 6</t>
  </si>
  <si>
    <t>AL MAMUR</t>
  </si>
  <si>
    <t>MALAB</t>
  </si>
  <si>
    <t>ASH SHUWAYI</t>
  </si>
  <si>
    <t>NATIH</t>
  </si>
  <si>
    <t>AL ARID</t>
  </si>
  <si>
    <t>AL UWAYNAH</t>
  </si>
  <si>
    <t>AL AYN</t>
  </si>
  <si>
    <t>AR RISSAH</t>
  </si>
  <si>
    <t>AR RUHBAH</t>
  </si>
  <si>
    <t>AN NIJAYD</t>
  </si>
  <si>
    <t>AS SAQAH</t>
  </si>
  <si>
    <t>WSZ 3</t>
  </si>
  <si>
    <t>AL KHAN</t>
  </si>
  <si>
    <t>WSZ 1</t>
  </si>
  <si>
    <t>GHADFAN</t>
  </si>
  <si>
    <t>WSZ 4</t>
  </si>
  <si>
    <t>AL HUWAYL</t>
  </si>
  <si>
    <t>AL FIJAYJ</t>
  </si>
  <si>
    <t>AN NAAMAH</t>
  </si>
  <si>
    <t>MAJZI</t>
  </si>
  <si>
    <t>AS SUBAYKHI</t>
  </si>
  <si>
    <t>WSZ 5</t>
  </si>
  <si>
    <t>AL BUWAYDAH</t>
  </si>
  <si>
    <t>AL MAYS</t>
  </si>
  <si>
    <t>AL GHAWR</t>
  </si>
  <si>
    <t>TAWI AS SAYH</t>
  </si>
  <si>
    <t>WSZ 11</t>
  </si>
  <si>
    <t>UYUN</t>
  </si>
  <si>
    <t>KHAFIYAH</t>
  </si>
  <si>
    <t>WADI SAL</t>
  </si>
  <si>
    <t>WSZ 16</t>
  </si>
  <si>
    <t>WSZ 12</t>
  </si>
  <si>
    <t>KUBARAH</t>
  </si>
  <si>
    <t>AL AFLAJ</t>
  </si>
  <si>
    <t>AL BILAYDAH</t>
  </si>
  <si>
    <t>AL LIKHAYDIR</t>
  </si>
  <si>
    <t>AL HAYLAH</t>
  </si>
  <si>
    <t>WSZ 13</t>
  </si>
  <si>
    <t>FAJJ AL QADAB</t>
  </si>
  <si>
    <t>100120340</t>
  </si>
  <si>
    <t>AL ABLAH</t>
  </si>
  <si>
    <t>100120401</t>
  </si>
  <si>
    <t>AMLA</t>
  </si>
  <si>
    <t>100120403</t>
  </si>
  <si>
    <t>QURA ASH SHUA</t>
  </si>
  <si>
    <t>100120412</t>
  </si>
  <si>
    <t>100120413</t>
  </si>
  <si>
    <t>AS SUDUD</t>
  </si>
  <si>
    <t>100120433</t>
  </si>
  <si>
    <t>SUNI</t>
  </si>
  <si>
    <t>100120434</t>
  </si>
  <si>
    <t>AL AJUZ</t>
  </si>
  <si>
    <t>100120440</t>
  </si>
  <si>
    <t>100120441</t>
  </si>
  <si>
    <t>100130100</t>
  </si>
  <si>
    <t>100130130</t>
  </si>
  <si>
    <t>WADI AT TUWAYYAH</t>
  </si>
  <si>
    <t>100121030</t>
  </si>
  <si>
    <t>100110231</t>
  </si>
  <si>
    <t>AL MATHAIB / GHILLAN AL QASH</t>
  </si>
  <si>
    <t>100110240</t>
  </si>
  <si>
    <t>100110254</t>
  </si>
  <si>
    <t>100110280</t>
  </si>
  <si>
    <t>AS SIRAYR</t>
  </si>
  <si>
    <t>100110290</t>
  </si>
  <si>
    <t>SAHLAH</t>
  </si>
  <si>
    <t>100110300</t>
  </si>
  <si>
    <t>LIMQAYTIBAH</t>
  </si>
  <si>
    <t>100110310</t>
  </si>
  <si>
    <t>100110311</t>
  </si>
  <si>
    <t>100130080</t>
  </si>
  <si>
    <t>TAWI WURAYQAH</t>
  </si>
  <si>
    <t>100120451</t>
  </si>
  <si>
    <t>100100000</t>
  </si>
  <si>
    <t>GHALILIYAH</t>
  </si>
  <si>
    <t>100130140</t>
  </si>
  <si>
    <t>AYYASH</t>
  </si>
  <si>
    <t>100130160</t>
  </si>
  <si>
    <t>DAMM</t>
  </si>
  <si>
    <t>100110563</t>
  </si>
  <si>
    <t>WADI KHASHT</t>
  </si>
  <si>
    <t>100110572</t>
  </si>
  <si>
    <t>TAWI TIKHAH</t>
  </si>
  <si>
    <t>100110573</t>
  </si>
  <si>
    <t>BILAD ASH SHUHUM</t>
  </si>
  <si>
    <t>100110574</t>
  </si>
  <si>
    <t>AS SIRAYMIYAH</t>
  </si>
  <si>
    <t>100110575</t>
  </si>
  <si>
    <t>AR RIHAYBAH</t>
  </si>
  <si>
    <t>100110576</t>
  </si>
  <si>
    <t>100110579</t>
  </si>
  <si>
    <t>AL QAWR</t>
  </si>
  <si>
    <t>100110585</t>
  </si>
  <si>
    <t>RIMI</t>
  </si>
  <si>
    <t>100110586</t>
  </si>
  <si>
    <t>100110030</t>
  </si>
  <si>
    <t>100110070</t>
  </si>
  <si>
    <t>100110100</t>
  </si>
  <si>
    <t>100110151</t>
  </si>
  <si>
    <t>100110180</t>
  </si>
  <si>
    <t>FITAYHAH</t>
  </si>
  <si>
    <t>100120782</t>
  </si>
  <si>
    <t>SIBA</t>
  </si>
  <si>
    <t>100120830</t>
  </si>
  <si>
    <t>100120850</t>
  </si>
  <si>
    <t>FALAJ HARRAN</t>
  </si>
  <si>
    <t>100120880</t>
  </si>
  <si>
    <t>WADI AZ ZABRAH</t>
  </si>
  <si>
    <t>100120930</t>
  </si>
  <si>
    <t>GHUNUMAH</t>
  </si>
  <si>
    <t>100120480</t>
  </si>
  <si>
    <t>MITNAH</t>
  </si>
  <si>
    <t>100120510</t>
  </si>
  <si>
    <t>100120530</t>
  </si>
  <si>
    <t>WADI JIL</t>
  </si>
  <si>
    <t>100120551</t>
  </si>
  <si>
    <t>AR RIKZAH</t>
  </si>
  <si>
    <t>100120552</t>
  </si>
  <si>
    <t>BARMALAH</t>
  </si>
  <si>
    <t>100120581</t>
  </si>
  <si>
    <t>RIKHAYMAH</t>
  </si>
  <si>
    <t>100120582</t>
  </si>
  <si>
    <t>SHIKAYLAT</t>
  </si>
  <si>
    <t>100120584</t>
  </si>
  <si>
    <t>AL MIZAYRI</t>
  </si>
  <si>
    <t>100120592</t>
  </si>
  <si>
    <t>JIAH</t>
  </si>
  <si>
    <t>100120620</t>
  </si>
  <si>
    <t>AL KHUTMAH</t>
  </si>
  <si>
    <t>100120630</t>
  </si>
  <si>
    <t>KABSHAT</t>
  </si>
  <si>
    <t>100120700</t>
  </si>
  <si>
    <t>100120060</t>
  </si>
  <si>
    <t>ABU DHIKRI</t>
  </si>
  <si>
    <t>100110555</t>
  </si>
  <si>
    <t>100120081</t>
  </si>
  <si>
    <t>100120082</t>
  </si>
  <si>
    <t>BAYH</t>
  </si>
  <si>
    <t>100110551</t>
  </si>
  <si>
    <t>100110552</t>
  </si>
  <si>
    <t>SHIHAYSAH</t>
  </si>
  <si>
    <t>100110553</t>
  </si>
  <si>
    <t>SHINAYTAH</t>
  </si>
  <si>
    <t>100110554</t>
  </si>
  <si>
    <t>AL HAJAR</t>
  </si>
  <si>
    <t>100110406</t>
  </si>
  <si>
    <t>AS SIBAYKAH</t>
  </si>
  <si>
    <t>100110410</t>
  </si>
  <si>
    <t>100140052</t>
  </si>
  <si>
    <t>100140081</t>
  </si>
  <si>
    <t>100140082</t>
  </si>
  <si>
    <t>DHAHARAT AL JIMAYMAH</t>
  </si>
  <si>
    <t>100110456</t>
  </si>
  <si>
    <t>WADI AL LITHLI</t>
  </si>
  <si>
    <t>100110461</t>
  </si>
  <si>
    <t>AL JARZAH</t>
  </si>
  <si>
    <t>100110462</t>
  </si>
  <si>
    <t>SADADIB</t>
  </si>
  <si>
    <t>100110463</t>
  </si>
  <si>
    <t>100140350</t>
  </si>
  <si>
    <t>ABU KHABI</t>
  </si>
  <si>
    <t>100140402</t>
  </si>
  <si>
    <t>100140422</t>
  </si>
  <si>
    <t>100110464</t>
  </si>
  <si>
    <t>AL BUKHAYRAH</t>
  </si>
  <si>
    <t>100110471</t>
  </si>
  <si>
    <t>AL YIFAYF</t>
  </si>
  <si>
    <t>100140433</t>
  </si>
  <si>
    <t>SIMAYNI</t>
  </si>
  <si>
    <t>100120384</t>
  </si>
  <si>
    <t>100120390</t>
  </si>
  <si>
    <t>RIHAB</t>
  </si>
  <si>
    <t>100120402</t>
  </si>
  <si>
    <t>TUWIYAN MISKIN</t>
  </si>
  <si>
    <t>100110494</t>
  </si>
  <si>
    <t>HARAH</t>
  </si>
  <si>
    <t>100110501</t>
  </si>
  <si>
    <t>MUHAYNAH</t>
  </si>
  <si>
    <t>100110503</t>
  </si>
  <si>
    <t>100110504</t>
  </si>
  <si>
    <t>TAWI LUHRAYJAH</t>
  </si>
  <si>
    <t>100110505</t>
  </si>
  <si>
    <t>100110507</t>
  </si>
  <si>
    <t>GHAYL AS SARM</t>
  </si>
  <si>
    <t>100110508</t>
  </si>
  <si>
    <t>SAAB</t>
  </si>
  <si>
    <t>100110521</t>
  </si>
  <si>
    <t>AQUL HIRAYTH</t>
  </si>
  <si>
    <t>100110522</t>
  </si>
  <si>
    <t>AL MIRAYFUQ</t>
  </si>
  <si>
    <t>100110526</t>
  </si>
  <si>
    <t>SIDAQ</t>
  </si>
  <si>
    <t>100110588</t>
  </si>
  <si>
    <t>AR RIQAYYID</t>
  </si>
  <si>
    <t>100110590</t>
  </si>
  <si>
    <t>AL IYAYNI</t>
  </si>
  <si>
    <t>100110601</t>
  </si>
  <si>
    <t>AQBAT AS SAQBAH</t>
  </si>
  <si>
    <t>100110602</t>
  </si>
  <si>
    <t>100110620</t>
  </si>
  <si>
    <t>AL JANNUZ</t>
  </si>
  <si>
    <t>100110640</t>
  </si>
  <si>
    <t>100110532</t>
  </si>
  <si>
    <t>100110533</t>
  </si>
  <si>
    <t>SHUWAYHUT</t>
  </si>
  <si>
    <t>100110534</t>
  </si>
  <si>
    <t>AL JABUH</t>
  </si>
  <si>
    <t>100110535</t>
  </si>
  <si>
    <t>100110537</t>
  </si>
  <si>
    <t>GHAYL SUBAYH</t>
  </si>
  <si>
    <t>100110538</t>
  </si>
  <si>
    <t>LIMTABBAH</t>
  </si>
  <si>
    <t>100110539</t>
  </si>
  <si>
    <t>AL JIHAL</t>
  </si>
  <si>
    <t>100110541</t>
  </si>
  <si>
    <t>WADI MIDILLI</t>
  </si>
  <si>
    <t>100110542</t>
  </si>
  <si>
    <t>DAYQARAH</t>
  </si>
  <si>
    <t>100110543</t>
  </si>
  <si>
    <t>HAYL BANI GHARIB</t>
  </si>
  <si>
    <t>100110545</t>
  </si>
  <si>
    <t>AD DISHAH</t>
  </si>
  <si>
    <t>100120383</t>
  </si>
  <si>
    <t>ABU MILI</t>
  </si>
  <si>
    <t>100120640</t>
  </si>
  <si>
    <t>MIKAYSAN</t>
  </si>
  <si>
    <t>100120670</t>
  </si>
  <si>
    <t>AT TAWIYAYN</t>
  </si>
  <si>
    <t>100120680</t>
  </si>
  <si>
    <t>KHADAL FALAJ AL ALI</t>
  </si>
  <si>
    <t>100110340</t>
  </si>
  <si>
    <t>HAYL AN NIJAYD</t>
  </si>
  <si>
    <t>100110569</t>
  </si>
  <si>
    <t>100110571</t>
  </si>
  <si>
    <t>100120151</t>
  </si>
  <si>
    <t>FAYRAH</t>
  </si>
  <si>
    <t>100120210</t>
  </si>
  <si>
    <t>100120230</t>
  </si>
  <si>
    <t>WADI RAFASH</t>
  </si>
  <si>
    <t>100120250</t>
  </si>
  <si>
    <t>MATHUL</t>
  </si>
  <si>
    <t>100120280</t>
  </si>
  <si>
    <t>MIHAYMIR</t>
  </si>
  <si>
    <t>100120420</t>
  </si>
  <si>
    <t>100120431</t>
  </si>
  <si>
    <t>AL HUWAYRAH</t>
  </si>
  <si>
    <t>100120432</t>
  </si>
  <si>
    <t>100120453</t>
  </si>
  <si>
    <t>100110354</t>
  </si>
  <si>
    <t>WADI AL AYTHAM</t>
  </si>
  <si>
    <t>100130730</t>
  </si>
  <si>
    <t>MASRUQ</t>
  </si>
  <si>
    <t>100130860</t>
  </si>
  <si>
    <t>AS SAFA WA AL MANARAH</t>
  </si>
  <si>
    <t>100131080</t>
  </si>
  <si>
    <t>100110382</t>
  </si>
  <si>
    <t>LIKHBAYB</t>
  </si>
  <si>
    <t>100110385</t>
  </si>
  <si>
    <t>KAHNAT</t>
  </si>
  <si>
    <t>100110391</t>
  </si>
  <si>
    <t>AL BANAH</t>
  </si>
  <si>
    <t>100110392</t>
  </si>
  <si>
    <t>AL JUMAYMAH</t>
  </si>
  <si>
    <t>100110401</t>
  </si>
  <si>
    <t>MIRAYFIAH</t>
  </si>
  <si>
    <t>100120290</t>
  </si>
  <si>
    <t>LUWAYMAT</t>
  </si>
  <si>
    <t>100120301</t>
  </si>
  <si>
    <t>LIMDAYSAH</t>
  </si>
  <si>
    <t>100120302</t>
  </si>
  <si>
    <t>DIF WADI AL AYN</t>
  </si>
  <si>
    <t>100120320</t>
  </si>
  <si>
    <t>AL KHUWAYRAT / AL KHAWR</t>
  </si>
  <si>
    <t>100110546</t>
  </si>
  <si>
    <t>AL BASATIN</t>
  </si>
  <si>
    <t>100110547</t>
  </si>
  <si>
    <t>AR RISAYSI</t>
  </si>
  <si>
    <t>100110548</t>
  </si>
  <si>
    <t>AL JAMMTAYN</t>
  </si>
  <si>
    <t>100110562</t>
  </si>
  <si>
    <t>100130230</t>
  </si>
  <si>
    <t>SHURSAH</t>
  </si>
  <si>
    <t>100110320</t>
  </si>
  <si>
    <t>100140230</t>
  </si>
  <si>
    <t>UMM SALIMAH</t>
  </si>
  <si>
    <t>100140242</t>
  </si>
  <si>
    <t>GHALIL AL HAYJAH</t>
  </si>
  <si>
    <t>100140243</t>
  </si>
  <si>
    <t>AL JIFRAH</t>
  </si>
  <si>
    <t>100140282</t>
  </si>
  <si>
    <t>ASH SHIBAY</t>
  </si>
  <si>
    <t>100110474</t>
  </si>
  <si>
    <t>AL QASMIYAH</t>
  </si>
  <si>
    <t>100110481</t>
  </si>
  <si>
    <t>ASH SHAKHKHUT</t>
  </si>
  <si>
    <t>100110332</t>
  </si>
  <si>
    <t>AL WUSHAL</t>
  </si>
  <si>
    <t>100110351</t>
  </si>
  <si>
    <t>AL ARYAH</t>
  </si>
  <si>
    <t>100140170</t>
  </si>
  <si>
    <t>100140200</t>
  </si>
  <si>
    <t>HARAT ADH DHAHRAH</t>
  </si>
  <si>
    <t>100110442</t>
  </si>
  <si>
    <t>HARAT AL HAWATIM</t>
  </si>
  <si>
    <t>100110443</t>
  </si>
  <si>
    <t>100110434</t>
  </si>
  <si>
    <t>AL MADRAKAH</t>
  </si>
  <si>
    <t>100110441</t>
  </si>
  <si>
    <t>100110444</t>
  </si>
  <si>
    <t>QALAT</t>
  </si>
  <si>
    <t>100110451</t>
  </si>
  <si>
    <t>ASH SHIBAYNI</t>
  </si>
  <si>
    <t>100140384</t>
  </si>
  <si>
    <t>DADDAT MAJZI</t>
  </si>
  <si>
    <t>100110411</t>
  </si>
  <si>
    <t>WADI SHIMAYT</t>
  </si>
  <si>
    <t>100110413</t>
  </si>
  <si>
    <t>AL KHIRAYS</t>
  </si>
  <si>
    <t>100110421</t>
  </si>
  <si>
    <t>HAYL BISAYR</t>
  </si>
  <si>
    <t>100110422</t>
  </si>
  <si>
    <t>AZ ZINJIYAH</t>
  </si>
  <si>
    <t>100110424</t>
  </si>
  <si>
    <t>KHIMAYKHIMAH</t>
  </si>
  <si>
    <t>100110426</t>
  </si>
  <si>
    <t>MISKIN</t>
  </si>
  <si>
    <t>100110472</t>
  </si>
  <si>
    <t>AZ ZAKIYAH</t>
  </si>
  <si>
    <t>100110473</t>
  </si>
  <si>
    <t>QARN AL KABSH</t>
  </si>
  <si>
    <t>100110253</t>
  </si>
  <si>
    <t>100110255</t>
  </si>
  <si>
    <t>AS SABBAH</t>
  </si>
  <si>
    <t>100110281</t>
  </si>
  <si>
    <t>UMM RUWAYKAH</t>
  </si>
  <si>
    <t>100130200</t>
  </si>
  <si>
    <t>100110334</t>
  </si>
  <si>
    <t>AL HUWMANIYAH</t>
  </si>
  <si>
    <t>100110353</t>
  </si>
  <si>
    <t>KHADAL FALAJ AS SAFIL</t>
  </si>
  <si>
    <t>100110331</t>
  </si>
  <si>
    <t>HIJAYRMAT</t>
  </si>
  <si>
    <t>100110333</t>
  </si>
  <si>
    <t>AL HAYYAL</t>
  </si>
  <si>
    <t>100110352</t>
  </si>
  <si>
    <t>LIQAYYA</t>
  </si>
  <si>
    <t>100120200</t>
  </si>
  <si>
    <t>100120411</t>
  </si>
  <si>
    <t>HAYL AL QASH</t>
  </si>
  <si>
    <t>100110381</t>
  </si>
  <si>
    <t>AS SIDFAH</t>
  </si>
  <si>
    <t>100110412</t>
  </si>
  <si>
    <t>AL HASI</t>
  </si>
  <si>
    <t>100110251</t>
  </si>
  <si>
    <t>TAWI RAGHUDAH</t>
  </si>
  <si>
    <t>100110355</t>
  </si>
  <si>
    <t>AL TARFAH</t>
  </si>
  <si>
    <t>100120361</t>
  </si>
  <si>
    <t>UMM SULB</t>
  </si>
  <si>
    <t>100140201</t>
  </si>
  <si>
    <t>SHIBAT ADH DHAFRAH</t>
  </si>
  <si>
    <t>100140270</t>
  </si>
  <si>
    <t>ARHAB</t>
  </si>
  <si>
    <t>100140281</t>
  </si>
  <si>
    <t>QALAL</t>
  </si>
  <si>
    <t>100110489</t>
  </si>
  <si>
    <t>ARAKAH</t>
  </si>
  <si>
    <t>100110491</t>
  </si>
  <si>
    <t>GHUWAYLMIYAH</t>
  </si>
  <si>
    <t>100110492</t>
  </si>
  <si>
    <t>HAYL BALGHUL</t>
  </si>
  <si>
    <t>100110495</t>
  </si>
  <si>
    <t>AL MAZIM</t>
  </si>
  <si>
    <t>100140310</t>
  </si>
  <si>
    <t>MASHARIB</t>
  </si>
  <si>
    <t>100140330</t>
  </si>
  <si>
    <t>100120370</t>
  </si>
  <si>
    <t>LIHASHIYA</t>
  </si>
  <si>
    <t>100120381</t>
  </si>
  <si>
    <t>100140030</t>
  </si>
  <si>
    <t>100140051</t>
  </si>
  <si>
    <t>AS SABGHAH</t>
  </si>
  <si>
    <t>100120362</t>
  </si>
  <si>
    <t>100110081</t>
  </si>
  <si>
    <t>UMM AR RUS</t>
  </si>
  <si>
    <t>100110414</t>
  </si>
  <si>
    <t>DAR GHAF</t>
  </si>
  <si>
    <t>100110556</t>
  </si>
  <si>
    <t>100110557</t>
  </si>
  <si>
    <t>DAWKHFAT</t>
  </si>
  <si>
    <t>100110559</t>
  </si>
  <si>
    <t>AL HIYAL</t>
  </si>
  <si>
    <t>100110561</t>
  </si>
  <si>
    <t>AL MANZIFAH</t>
  </si>
  <si>
    <t>100110581</t>
  </si>
  <si>
    <t>KHUWAYR JAWAH</t>
  </si>
  <si>
    <t>100130500</t>
  </si>
  <si>
    <t>GHUBRAT AL MINAYSIF</t>
  </si>
  <si>
    <t>100110360</t>
  </si>
  <si>
    <t>100110082</t>
  </si>
  <si>
    <t>MIAYWIL</t>
  </si>
  <si>
    <t>100120600</t>
  </si>
  <si>
    <t>AL GHUWAYL</t>
  </si>
  <si>
    <t>100120100</t>
  </si>
  <si>
    <t>AL BAYYAD</t>
  </si>
  <si>
    <t>100130380</t>
  </si>
  <si>
    <t>AS SAFIN</t>
  </si>
  <si>
    <t>100110152</t>
  </si>
  <si>
    <t>100110153</t>
  </si>
  <si>
    <t>MAQNIYAT</t>
  </si>
  <si>
    <t>100110423</t>
  </si>
  <si>
    <t>DIQAYQ</t>
  </si>
  <si>
    <t>100110425</t>
  </si>
  <si>
    <t>AS SAMMAH</t>
  </si>
  <si>
    <t>100110403</t>
  </si>
  <si>
    <t>BARUT</t>
  </si>
  <si>
    <t>100110523</t>
  </si>
  <si>
    <t>ASH SHIRJIBANI</t>
  </si>
  <si>
    <t>100110536</t>
  </si>
  <si>
    <t>100131090</t>
  </si>
  <si>
    <t>FUHUD</t>
  </si>
  <si>
    <t>100131151</t>
  </si>
  <si>
    <t>MIHAYRIQAH</t>
  </si>
  <si>
    <t>100110402</t>
  </si>
  <si>
    <t>100110404</t>
  </si>
  <si>
    <t>WADI ASWAD</t>
  </si>
  <si>
    <t>100120781</t>
  </si>
  <si>
    <t>MUSBIHIYAH</t>
  </si>
  <si>
    <t>100110452</t>
  </si>
  <si>
    <t>100110454</t>
  </si>
  <si>
    <t>100110405</t>
  </si>
  <si>
    <t>AL MURUJI</t>
  </si>
  <si>
    <t>100140401</t>
  </si>
  <si>
    <t>WADI NAJD</t>
  </si>
  <si>
    <t>100110482</t>
  </si>
  <si>
    <t>DHAHIR AL FAWARIS</t>
  </si>
  <si>
    <t>100110483</t>
  </si>
  <si>
    <t>AL GHUZLANIYAH</t>
  </si>
  <si>
    <t>100110484</t>
  </si>
  <si>
    <t>WADI YABT</t>
  </si>
  <si>
    <t>100110486</t>
  </si>
  <si>
    <t>ASH SHAQAYQAH</t>
  </si>
  <si>
    <t>100110488</t>
  </si>
  <si>
    <t>SANNUTAH</t>
  </si>
  <si>
    <t>100120351</t>
  </si>
  <si>
    <t>100120352</t>
  </si>
  <si>
    <t>100110431</t>
  </si>
  <si>
    <t>100110432</t>
  </si>
  <si>
    <t>WADI AS SAFA</t>
  </si>
  <si>
    <t>100131252</t>
  </si>
  <si>
    <t>KHIRAYM</t>
  </si>
  <si>
    <t>100120435</t>
  </si>
  <si>
    <t>WSZ 14</t>
  </si>
  <si>
    <t>WSZ 17</t>
  </si>
  <si>
    <t>Total NWS</t>
  </si>
  <si>
    <t>WSZ</t>
  </si>
  <si>
    <t>Liwa and Shinas</t>
  </si>
  <si>
    <t>Sohar</t>
  </si>
  <si>
    <t>Muscat East</t>
  </si>
  <si>
    <t>Muscat West</t>
  </si>
  <si>
    <t>Al Amrat</t>
  </si>
  <si>
    <t>Qurrayat</t>
  </si>
  <si>
    <t>Adh Dhahirah Zone 1</t>
  </si>
  <si>
    <t>Adh Dhahirah Zone 2</t>
  </si>
  <si>
    <t>Khasab</t>
  </si>
  <si>
    <t>Masirah</t>
  </si>
  <si>
    <t>W_Pop_Connected</t>
  </si>
  <si>
    <t>Pop 2023</t>
  </si>
  <si>
    <t>Pop 2024</t>
  </si>
  <si>
    <t>Pop 2025</t>
  </si>
  <si>
    <t>Pop 2026</t>
  </si>
  <si>
    <t>Pop 2027</t>
  </si>
  <si>
    <t>Pop 2028</t>
  </si>
  <si>
    <t>Pop 2029</t>
  </si>
  <si>
    <t>Pop 2030</t>
  </si>
  <si>
    <t>Pop 2031</t>
  </si>
  <si>
    <t>Pop 2032</t>
  </si>
  <si>
    <t>Pop 2033</t>
  </si>
  <si>
    <t>Pop 2034</t>
  </si>
  <si>
    <t>Pop 2035</t>
  </si>
  <si>
    <t>Pop 2036</t>
  </si>
  <si>
    <t>Pop 2037</t>
  </si>
  <si>
    <t>Pop 2038</t>
  </si>
  <si>
    <t>Pop 2039</t>
  </si>
  <si>
    <t>Pop 2040</t>
  </si>
  <si>
    <t>Pop 2041</t>
  </si>
  <si>
    <t>Pop 2042</t>
  </si>
  <si>
    <t>Pop 2043</t>
  </si>
  <si>
    <t>Pop 2044</t>
  </si>
  <si>
    <t>Pop 2045</t>
  </si>
  <si>
    <t>Pop 2046</t>
  </si>
  <si>
    <t>Pop 2047</t>
  </si>
  <si>
    <t>Pop 2048</t>
  </si>
  <si>
    <t>Pop 2049</t>
  </si>
  <si>
    <t>Pop 2050</t>
  </si>
  <si>
    <t>Pop 2051</t>
  </si>
  <si>
    <t>Pop 2052</t>
  </si>
  <si>
    <t>Pop 2053</t>
  </si>
  <si>
    <t>Pop 2054</t>
  </si>
  <si>
    <t>Pop 2055</t>
  </si>
  <si>
    <t>Pop 2056</t>
  </si>
  <si>
    <t>Pop 2057</t>
  </si>
  <si>
    <t>Pop 2058</t>
  </si>
  <si>
    <t>Pop 2059</t>
  </si>
  <si>
    <t>Pop 2060</t>
  </si>
  <si>
    <t>Pop 2061</t>
  </si>
  <si>
    <t>Pop 2062</t>
  </si>
  <si>
    <t>Pop 2063</t>
  </si>
  <si>
    <t>Pop 2064</t>
  </si>
  <si>
    <t>Pop 2065</t>
  </si>
  <si>
    <t>Pop 2066</t>
  </si>
  <si>
    <t>Pop 2067</t>
  </si>
  <si>
    <t>Pop 2068</t>
  </si>
  <si>
    <t>Pop 2069</t>
  </si>
  <si>
    <t>Pop 2070</t>
  </si>
  <si>
    <t>Pop 2071</t>
  </si>
  <si>
    <t>Pop 2072</t>
  </si>
  <si>
    <t>Pop 2073</t>
  </si>
  <si>
    <t>Pop 2074</t>
  </si>
  <si>
    <t>Pop 2075</t>
  </si>
  <si>
    <t>Pop 2076</t>
  </si>
  <si>
    <t>Pop 2077</t>
  </si>
  <si>
    <t>Pop 2078</t>
  </si>
  <si>
    <t>Pop 2079</t>
  </si>
  <si>
    <t>Pop 2080</t>
  </si>
  <si>
    <t>Pop 2081</t>
  </si>
  <si>
    <t>Pop 2082</t>
  </si>
  <si>
    <t>Pop 2083</t>
  </si>
  <si>
    <t>Pop 2084</t>
  </si>
  <si>
    <t>Pop 2085</t>
  </si>
  <si>
    <t>Pop 2086</t>
  </si>
  <si>
    <t>Pop 2087</t>
  </si>
  <si>
    <t>Pop 2088</t>
  </si>
  <si>
    <t>Pop 2089</t>
  </si>
  <si>
    <t>Pop 2090</t>
  </si>
  <si>
    <t>Pop 2091</t>
  </si>
  <si>
    <t>Pop 2092</t>
  </si>
  <si>
    <t>Pop 2093</t>
  </si>
  <si>
    <t>Pop 2094</t>
  </si>
  <si>
    <t>Pop 2095</t>
  </si>
  <si>
    <t>Pop 2096</t>
  </si>
  <si>
    <t>Pop 2097</t>
  </si>
  <si>
    <t>Pop 2098</t>
  </si>
  <si>
    <t>Pop 2099</t>
  </si>
  <si>
    <t>Pop 2100</t>
  </si>
  <si>
    <t>Index</t>
  </si>
  <si>
    <t>WILLAYAT</t>
  </si>
  <si>
    <t>Ratio Settl/Gov</t>
  </si>
  <si>
    <t>Ratio Settl/Wilayat</t>
  </si>
  <si>
    <t>NAMEEN</t>
  </si>
  <si>
    <t>Water Demand Criteria - Assumptions &amp; Calculation</t>
  </si>
  <si>
    <t>LPCD Calculation &amp; Projection [Liter/capita/day]</t>
  </si>
  <si>
    <t>2021 - 2023 : Annual Consumption / [365 * Customer * OR * 1000]</t>
  </si>
  <si>
    <t>2024 - 2050 : Average (2021 - 2023) ==&gt; [Fixed in Time]</t>
  </si>
  <si>
    <t>INDEX Annual Consumption &amp; Customer</t>
  </si>
  <si>
    <t>INDEX - Occupancy Rate</t>
  </si>
  <si>
    <t>Governmental Ratio</t>
  </si>
  <si>
    <r>
      <rPr>
        <b/>
        <sz val="18"/>
        <color theme="1"/>
        <rFont val="Calibri"/>
        <family val="2"/>
      </rPr>
      <t xml:space="preserve">2022-2023 : </t>
    </r>
    <r>
      <rPr>
        <b/>
        <i/>
        <sz val="18"/>
        <color theme="1"/>
        <rFont val="Calibri"/>
        <family val="2"/>
      </rPr>
      <t>Gov consumption(year) / Dom consumption(year)</t>
    </r>
  </si>
  <si>
    <t>(Al Wusta is calculated only on 2023 because of negative data in 2022)</t>
  </si>
  <si>
    <r>
      <rPr>
        <b/>
        <sz val="18"/>
        <color theme="1"/>
        <rFont val="Calibri"/>
        <family val="2"/>
      </rPr>
      <t>2024 : ∑</t>
    </r>
    <r>
      <rPr>
        <b/>
        <i/>
        <sz val="18"/>
        <color theme="1"/>
        <rFont val="Calibri"/>
        <family val="2"/>
      </rPr>
      <t>Gov consumption(22-23) / ∑Dom consumption(22-23)</t>
    </r>
  </si>
  <si>
    <t>2025 - 2050 : [Fixed in Time]</t>
  </si>
  <si>
    <t>INDEX Dom Consumption &amp; Gov Consumption</t>
  </si>
  <si>
    <t>Non-Domestic Ratio</t>
  </si>
  <si>
    <r>
      <rPr>
        <b/>
        <sz val="18"/>
        <color theme="1"/>
        <rFont val="Calibri"/>
        <family val="2"/>
      </rPr>
      <t xml:space="preserve">2022-2023 : </t>
    </r>
    <r>
      <rPr>
        <b/>
        <i/>
        <sz val="18"/>
        <color theme="1"/>
        <rFont val="Calibri"/>
        <family val="2"/>
      </rPr>
      <t>ND consumption(year) / Dom consumption(year)</t>
    </r>
  </si>
  <si>
    <r>
      <rPr>
        <b/>
        <sz val="18"/>
        <color theme="1"/>
        <rFont val="Calibri"/>
        <family val="2"/>
      </rPr>
      <t>2024 : ∑</t>
    </r>
    <r>
      <rPr>
        <b/>
        <i/>
        <sz val="18"/>
        <color theme="1"/>
        <rFont val="Calibri"/>
        <family val="2"/>
      </rPr>
      <t>ND consumption(22-23) / ∑Dom consumption(22-23)</t>
    </r>
  </si>
  <si>
    <t>Connection Ratio</t>
  </si>
  <si>
    <t>2021 - 2023: Connected Pop / Total Pop *</t>
  </si>
  <si>
    <t>2025 - 2034 : Connection Ratio(year-1) + Annual increase</t>
  </si>
  <si>
    <t>Annual Increase: Calculation of yearly objective to reach targeted date 2035</t>
  </si>
  <si>
    <t>2024 : Connection Ratio 2023 + Average Increase (22/23 &amp; 21/22)**</t>
  </si>
  <si>
    <t>2035 : To Ajust</t>
  </si>
  <si>
    <t>2036 - 2050 : [Fixed in Time]</t>
  </si>
  <si>
    <t>To meet 2035</t>
  </si>
  <si>
    <t>Index Water Connection &amp; Total Population</t>
  </si>
  <si>
    <t>Index OR</t>
  </si>
  <si>
    <t>***To be noted that Al Wusta has been modified to include the new connections done in 2024 directly from project but not consilidated in data yet.</t>
  </si>
  <si>
    <t>****The data from 2021 to 2023 are calculated with OR not round up, this will have a slight impact on the demand and connected population value from 2024 to 2035 results</t>
  </si>
  <si>
    <t>Weekly Peak Factor</t>
  </si>
  <si>
    <t>2024 - 2050 : 20% as per Planning Parameters</t>
  </si>
  <si>
    <t>Can be adjusted after proper studie</t>
  </si>
  <si>
    <t>WSZ_Code</t>
  </si>
  <si>
    <t>Tanker Demand [m3/d]</t>
  </si>
  <si>
    <t>2021 - 2023 : Yearly Consumption / 365</t>
  </si>
  <si>
    <t>2024 : Average (2021 to 2023)</t>
  </si>
  <si>
    <t>Tanker Yearly Consumption Index</t>
  </si>
  <si>
    <t>Headroom Factor</t>
  </si>
  <si>
    <t>2022 - 2045 : Value from "Water demand - HR Factor V1.03 Amended by MP" Witteveen Bos Study from 23/10/2023</t>
  </si>
  <si>
    <t>2046 - 2050 : [Fixed in Time] with 2045 value</t>
  </si>
  <si>
    <t>Wastewater Generation Criteria - Assumptions &amp; Calculation</t>
  </si>
  <si>
    <t>Return Ratio</t>
  </si>
  <si>
    <t>TE Production Rate</t>
  </si>
  <si>
    <t>Domestic Ratio</t>
  </si>
  <si>
    <t>Can be adjusted</t>
  </si>
  <si>
    <t>Tanker Ratio</t>
  </si>
  <si>
    <t>Sludge Production Rate</t>
  </si>
  <si>
    <t>Maximum Distance from STP by road</t>
  </si>
  <si>
    <t>Sludge rate [kg/m3]</t>
  </si>
  <si>
    <t>Distance (km)</t>
  </si>
  <si>
    <t>Infiltration Ratio</t>
  </si>
  <si>
    <t>*Only applied to settlement with network</t>
  </si>
  <si>
    <t>STP Margin Security</t>
  </si>
  <si>
    <t>Margin coefficient</t>
  </si>
  <si>
    <t>Weekly Peak</t>
  </si>
  <si>
    <t>Collection Factor</t>
  </si>
  <si>
    <t xml:space="preserve">Assumptions: 1 customer collected either by tanker or network produce the same amount of wastewater to the STP. If a customer is not collected by network he is collected by tanker. His flow is accounted 100% to the STP. </t>
  </si>
  <si>
    <t>* This factor will be impacting the wastewater generation collected by tanker, fine tuning it could allow to calibrate the wastewater generation in order to fit the actual flow treated by the STPs.</t>
  </si>
  <si>
    <t>Footprint Assumptions</t>
  </si>
  <si>
    <t>Type of STPs</t>
  </si>
  <si>
    <t>Capacity</t>
  </si>
  <si>
    <t>Ratio (m²/m3/d)</t>
  </si>
  <si>
    <t>MBR/SBR</t>
  </si>
  <si>
    <t>Extension</t>
  </si>
  <si>
    <t>Large STPs</t>
  </si>
  <si>
    <t>Medium STPs</t>
  </si>
  <si>
    <t>Small STPs (&lt;20,000)</t>
  </si>
  <si>
    <t>(the equation is from the graph below with empiric value from the existing STPs)</t>
  </si>
  <si>
    <t>Energy Assumptions</t>
  </si>
  <si>
    <t>kWh/m3</t>
  </si>
  <si>
    <t>RG MP 2018</t>
  </si>
  <si>
    <t>ECAS</t>
  </si>
  <si>
    <t>CAS</t>
  </si>
  <si>
    <t>Solar Irradiance</t>
  </si>
  <si>
    <t>kWh/m²/day</t>
  </si>
  <si>
    <t>average value from bibliography</t>
  </si>
  <si>
    <t>Panel Efficiency</t>
  </si>
  <si>
    <t>Energy Production</t>
  </si>
  <si>
    <t>(calculation)</t>
  </si>
  <si>
    <t>Assumptions of quantity to supply the STP</t>
  </si>
  <si>
    <t>Assumptions, based on what is done on several assets</t>
  </si>
  <si>
    <t>WWG 2024</t>
  </si>
  <si>
    <t>WWG 2025</t>
  </si>
  <si>
    <t>WWG 2026</t>
  </si>
  <si>
    <t>WWG 2027</t>
  </si>
  <si>
    <t>WWG 2028</t>
  </si>
  <si>
    <t>WWG 2029</t>
  </si>
  <si>
    <t>WWG 2030</t>
  </si>
  <si>
    <t>WWG 2031</t>
  </si>
  <si>
    <t>WWG 2032</t>
  </si>
  <si>
    <t>WWG 2033</t>
  </si>
  <si>
    <t>WWG 2034</t>
  </si>
  <si>
    <t>WWG 2035</t>
  </si>
  <si>
    <t>WWG 2036</t>
  </si>
  <si>
    <t>WWG 2037</t>
  </si>
  <si>
    <t>WWG 2038</t>
  </si>
  <si>
    <t>WWG 2039</t>
  </si>
  <si>
    <t>WWG 2040</t>
  </si>
  <si>
    <t>WWG 2041</t>
  </si>
  <si>
    <t>WWG 2042</t>
  </si>
  <si>
    <t>WWG 2043</t>
  </si>
  <si>
    <t>WWG 2044</t>
  </si>
  <si>
    <t>WWG 2045</t>
  </si>
  <si>
    <t>WWG 2046</t>
  </si>
  <si>
    <t>WWG 2047</t>
  </si>
  <si>
    <t>WWG 2048</t>
  </si>
  <si>
    <t>WWG 2049</t>
  </si>
  <si>
    <t>WWG 2050</t>
  </si>
  <si>
    <t>WWG 2051</t>
  </si>
  <si>
    <t>WWG 2052</t>
  </si>
  <si>
    <t>WWG 2053</t>
  </si>
  <si>
    <t>WWG 2054</t>
  </si>
  <si>
    <t>WWG 2055</t>
  </si>
  <si>
    <t>WWG 2056</t>
  </si>
  <si>
    <t>WWG 2057</t>
  </si>
  <si>
    <t>WWG 2058</t>
  </si>
  <si>
    <t>WWG 2059</t>
  </si>
  <si>
    <t>WWG 2060</t>
  </si>
  <si>
    <t>WWG 2061</t>
  </si>
  <si>
    <t>WWG 2062</t>
  </si>
  <si>
    <t>WWG 2063</t>
  </si>
  <si>
    <t>WWG 2064</t>
  </si>
  <si>
    <t>WWG 2065</t>
  </si>
  <si>
    <t>WWG 2066</t>
  </si>
  <si>
    <t>WWG 2067</t>
  </si>
  <si>
    <t>WWG 2068</t>
  </si>
  <si>
    <t>WWG 2069</t>
  </si>
  <si>
    <t>WWG 2070</t>
  </si>
  <si>
    <t>WWG 2071</t>
  </si>
  <si>
    <t>WWG 2072</t>
  </si>
  <si>
    <t>WWG 2073</t>
  </si>
  <si>
    <t>WWG 2074</t>
  </si>
  <si>
    <t>WWG 2075</t>
  </si>
  <si>
    <t>WWG 2076</t>
  </si>
  <si>
    <t>WWG 2077</t>
  </si>
  <si>
    <t>WWG 2078</t>
  </si>
  <si>
    <t>WWG 2079</t>
  </si>
  <si>
    <t>WWG 2080</t>
  </si>
  <si>
    <t>WWG 2081</t>
  </si>
  <si>
    <t>WWG 2082</t>
  </si>
  <si>
    <t>WWG 2083</t>
  </si>
  <si>
    <t>WWG 2084</t>
  </si>
  <si>
    <t>WWG 2085</t>
  </si>
  <si>
    <t>WWG 2086</t>
  </si>
  <si>
    <t>WWG 2087</t>
  </si>
  <si>
    <t>WWG 2088</t>
  </si>
  <si>
    <t>WWG 2089</t>
  </si>
  <si>
    <t>WWG 2090</t>
  </si>
  <si>
    <t>WWG 2091</t>
  </si>
  <si>
    <t>WWG 2092</t>
  </si>
  <si>
    <t>WWG 2093</t>
  </si>
  <si>
    <t>WWG 2094</t>
  </si>
  <si>
    <t>WWG 2095</t>
  </si>
  <si>
    <t>WWG 2096</t>
  </si>
  <si>
    <t>WWG 2097</t>
  </si>
  <si>
    <t>WWG 2098</t>
  </si>
  <si>
    <t>WWG 2099</t>
  </si>
  <si>
    <t>WWG 2100</t>
  </si>
  <si>
    <t>Tan 2024</t>
  </si>
  <si>
    <t>Tan 2025</t>
  </si>
  <si>
    <t>Tan 2026</t>
  </si>
  <si>
    <t>Tan 2027</t>
  </si>
  <si>
    <t>Tan 2028</t>
  </si>
  <si>
    <t>Tan 2029</t>
  </si>
  <si>
    <t>Tan 2030</t>
  </si>
  <si>
    <t>Tan 2031</t>
  </si>
  <si>
    <t>Tan 2032</t>
  </si>
  <si>
    <t>Tan 2033</t>
  </si>
  <si>
    <t>Tan 2034</t>
  </si>
  <si>
    <t>Tan 2035</t>
  </si>
  <si>
    <t>Tan 2036</t>
  </si>
  <si>
    <t>Tan 2037</t>
  </si>
  <si>
    <t>Tan 2038</t>
  </si>
  <si>
    <t>Tan 2039</t>
  </si>
  <si>
    <t>Tan 2040</t>
  </si>
  <si>
    <t>Tan 2041</t>
  </si>
  <si>
    <t>Tan 2042</t>
  </si>
  <si>
    <t>Tan 2043</t>
  </si>
  <si>
    <t>Tan 2044</t>
  </si>
  <si>
    <t>Tan 2045</t>
  </si>
  <si>
    <t>Tan 2046</t>
  </si>
  <si>
    <t>Tan 2047</t>
  </si>
  <si>
    <t>Tan 2048</t>
  </si>
  <si>
    <t>Tan 2049</t>
  </si>
  <si>
    <t>Tan 2050</t>
  </si>
  <si>
    <t>Tan 2051</t>
  </si>
  <si>
    <t>Tan 2052</t>
  </si>
  <si>
    <t>Tan 2053</t>
  </si>
  <si>
    <t>Tan 2054</t>
  </si>
  <si>
    <t>Tan 2055</t>
  </si>
  <si>
    <t>Tan 2056</t>
  </si>
  <si>
    <t>Tan 2057</t>
  </si>
  <si>
    <t>Tan 2058</t>
  </si>
  <si>
    <t>Tan 2059</t>
  </si>
  <si>
    <t>Tan 2060</t>
  </si>
  <si>
    <t>Tan 2061</t>
  </si>
  <si>
    <t>Tan 2062</t>
  </si>
  <si>
    <t>Tan 2063</t>
  </si>
  <si>
    <t>Tan 2064</t>
  </si>
  <si>
    <t>Tan 2065</t>
  </si>
  <si>
    <t>Tan 2066</t>
  </si>
  <si>
    <t>Tan 2067</t>
  </si>
  <si>
    <t>Tan 2068</t>
  </si>
  <si>
    <t>Tan 2069</t>
  </si>
  <si>
    <t>Tan 2070</t>
  </si>
  <si>
    <t>Tan 2071</t>
  </si>
  <si>
    <t>Tan 2072</t>
  </si>
  <si>
    <t>Tan 2073</t>
  </si>
  <si>
    <t>Tan 2074</t>
  </si>
  <si>
    <t>Tan 2075</t>
  </si>
  <si>
    <t>Tan 2076</t>
  </si>
  <si>
    <t>Tan 2077</t>
  </si>
  <si>
    <t>Tan 2078</t>
  </si>
  <si>
    <t>Tan 2079</t>
  </si>
  <si>
    <t>Tan 2080</t>
  </si>
  <si>
    <t>Tan 2081</t>
  </si>
  <si>
    <t>Tan 2082</t>
  </si>
  <si>
    <t>Tan 2083</t>
  </si>
  <si>
    <t>Tan 2084</t>
  </si>
  <si>
    <t>Tan 2085</t>
  </si>
  <si>
    <t>Tan 2086</t>
  </si>
  <si>
    <t>Tan 2087</t>
  </si>
  <si>
    <t>Tan 2088</t>
  </si>
  <si>
    <t>Tan 2089</t>
  </si>
  <si>
    <t>Tan 2090</t>
  </si>
  <si>
    <t>Tan 2091</t>
  </si>
  <si>
    <t>Tan 2092</t>
  </si>
  <si>
    <t>Tan 2093</t>
  </si>
  <si>
    <t>Tan 2094</t>
  </si>
  <si>
    <t>Tan 2095</t>
  </si>
  <si>
    <t>Tan 2096</t>
  </si>
  <si>
    <t>Tan 2097</t>
  </si>
  <si>
    <t>Tan 2098</t>
  </si>
  <si>
    <t>Tan 2099</t>
  </si>
  <si>
    <t>Tan 2100</t>
  </si>
  <si>
    <r>
      <t>Total (m</t>
    </r>
    <r>
      <rPr>
        <b/>
        <vertAlign val="superscript"/>
        <sz val="11"/>
        <color theme="1"/>
        <rFont val="Calibri"/>
        <family val="2"/>
        <scheme val="minor"/>
      </rPr>
      <t>3</t>
    </r>
    <r>
      <rPr>
        <b/>
        <sz val="11"/>
        <color theme="1"/>
        <rFont val="Calibri"/>
        <family val="2"/>
        <scheme val="minor"/>
      </rPr>
      <t>/d)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</si>
</sst>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 #,##0.00_-;_-* &quot;-&quot;??_-;_-@_-"/>
    <numFmt numFmtId="165" formatCode="_-* #,##0_-;\-* #,##0_-;_-* &quot;-&quot;??_-;_-@_-"/>
    <numFmt numFmtId="166" formatCode="0.0"/>
    <numFmt numFmtId="167" formatCode="0.0%"/>
    <numFmt numFmtId="168" formatCode="_-* #,##0_-;\-* #,##0_-;_-* &quot;-&quot;??_-;_-@"/>
    <numFmt numFmtId="169" formatCode="0.000"/>
    <numFmt numFmtId="170" formatCode="_(* #,##0_);_(* \(#,##0\);_(* &quot;-&quot;??_);_(@_)"/>
    <numFmt numFmtId="171" formatCode="_(* #,##0.000_);_(* \(#,##0.000\);_(* &quot;-&quot;??_);_(@_)"/>
    <numFmt numFmtId="172" formatCode="_-* #,##0.0000_-;\-* #,##0.0000_-;_-* &quot;-&quot;??_-;_-@"/>
    <numFmt numFmtId="173" formatCode="_-* #,##0.000_-;\-* #,##0.000_-;_-* &quot;-&quot;??_-;_-@"/>
  </numFmts>
  <fonts count="43"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Calibri"/>
      <family val="2"/>
      <scheme val="minor"/>
    </font>
    <font>
      <sz val="10"/>
      <color rgb="FF000000"/>
      <name val="Calibri"/>
      <family val="2"/>
      <scheme val="minor"/>
    </font>
    <font>
      <b/>
      <u/>
      <sz val="12"/>
      <color rgb="FF000000"/>
      <name val="Calibri"/>
      <family val="2"/>
      <scheme val="minor"/>
    </font>
    <font>
      <sz val="10"/>
      <name val="Calibri"/>
      <family val="2"/>
      <scheme val="minor"/>
    </font>
    <font>
      <b/>
      <sz val="11"/>
      <name val="Times New Roman"/>
      <family val="1"/>
    </font>
    <font>
      <b/>
      <sz val="10"/>
      <color theme="1"/>
      <name val="Calibri"/>
      <family val="2"/>
      <scheme val="minor"/>
    </font>
    <font>
      <b/>
      <sz val="12"/>
      <color theme="1"/>
      <name val="Calibri"/>
      <family val="2"/>
      <scheme val="minor"/>
    </font>
    <font>
      <b/>
      <sz val="10"/>
      <color rgb="FF000000"/>
      <name val="Calibri"/>
      <family val="2"/>
      <scheme val="minor"/>
    </font>
    <font>
      <sz val="10"/>
      <color theme="1"/>
      <name val="Arial"/>
      <family val="2"/>
    </font>
    <font>
      <b/>
      <sz val="10"/>
      <color rgb="FFFF0000"/>
      <name val="Calibri"/>
      <family val="2"/>
      <scheme val="minor"/>
    </font>
    <font>
      <sz val="11"/>
      <color theme="1"/>
      <name val="Calibri"/>
      <family val="2"/>
    </font>
    <font>
      <sz val="10"/>
      <color theme="1"/>
      <name val="Calibri"/>
      <family val="2"/>
      <scheme val="minor"/>
    </font>
    <font>
      <sz val="10"/>
      <name val="Arial"/>
      <family val="2"/>
    </font>
    <font>
      <b/>
      <sz val="10"/>
      <color rgb="FFE7E6E6"/>
      <name val="Arial"/>
      <family val="2"/>
    </font>
    <font>
      <b/>
      <sz val="26"/>
      <color theme="1"/>
      <name val="Calibri"/>
      <family val="2"/>
    </font>
    <font>
      <b/>
      <sz val="10"/>
      <color theme="1"/>
      <name val="Arial"/>
      <family val="2"/>
    </font>
    <font>
      <b/>
      <vertAlign val="superscript"/>
      <sz val="11"/>
      <color theme="1"/>
      <name val="Calibri"/>
      <family val="2"/>
      <scheme val="minor"/>
    </font>
    <font>
      <sz val="8"/>
      <name val="Calibri"/>
      <family val="2"/>
      <scheme val="minor"/>
    </font>
    <font>
      <b/>
      <sz val="12"/>
      <color theme="1"/>
      <name val="Calibri"/>
      <family val="2"/>
    </font>
    <font>
      <b/>
      <u/>
      <sz val="20"/>
      <color rgb="FF000000"/>
      <name val="Calibri"/>
      <family val="2"/>
      <scheme val="minor"/>
    </font>
    <font>
      <b/>
      <sz val="11"/>
      <color theme="1"/>
      <name val="Calibri"/>
      <family val="2"/>
    </font>
    <font>
      <b/>
      <i/>
      <sz val="18"/>
      <color theme="1"/>
      <name val="Calibri"/>
      <family val="2"/>
    </font>
    <font>
      <b/>
      <i/>
      <sz val="16"/>
      <color theme="1"/>
      <name val="Calibri"/>
      <family val="2"/>
    </font>
    <font>
      <b/>
      <sz val="11"/>
      <color rgb="FFFF0000"/>
      <name val="Calibri"/>
      <family val="2"/>
    </font>
    <font>
      <b/>
      <sz val="18"/>
      <color theme="1"/>
      <name val="Calibri"/>
      <family val="2"/>
    </font>
    <font>
      <i/>
      <sz val="18"/>
      <color rgb="FFFF0000"/>
      <name val="Calibri"/>
      <family val="2"/>
    </font>
    <font>
      <b/>
      <sz val="11"/>
      <color theme="4"/>
      <name val="Calibri"/>
      <family val="2"/>
    </font>
    <font>
      <b/>
      <i/>
      <sz val="18"/>
      <color rgb="FFFF0000"/>
      <name val="Calibri"/>
      <family val="2"/>
    </font>
    <font>
      <b/>
      <sz val="18"/>
      <color rgb="FFFF0000"/>
      <name val="Calibri"/>
      <family val="2"/>
    </font>
    <font>
      <b/>
      <sz val="16"/>
      <color rgb="FFFF0000"/>
      <name val="Calibri"/>
      <family val="2"/>
      <scheme val="minor"/>
    </font>
    <font>
      <sz val="11"/>
      <color rgb="FFFF0000"/>
      <name val="Calibri"/>
      <family val="2"/>
    </font>
    <font>
      <sz val="14"/>
      <color theme="0"/>
      <name val="Calibri"/>
      <family val="2"/>
    </font>
    <font>
      <sz val="11"/>
      <name val="Calibri"/>
      <family val="2"/>
    </font>
    <font>
      <sz val="16"/>
      <color theme="1"/>
      <name val="Calibri"/>
      <family val="2"/>
    </font>
    <font>
      <b/>
      <sz val="10"/>
      <color rgb="FFFFFFFF"/>
      <name val="Arial"/>
      <family val="2"/>
    </font>
    <font>
      <b/>
      <sz val="10"/>
      <color rgb="FF555559"/>
      <name val="Arial"/>
      <family val="2"/>
    </font>
    <font>
      <sz val="26"/>
      <color theme="1"/>
      <name val="Calibri"/>
      <family val="2"/>
    </font>
    <font>
      <b/>
      <sz val="12"/>
      <color rgb="FFFF0000"/>
      <name val="Calibri"/>
      <family val="2"/>
    </font>
    <font>
      <b/>
      <i/>
      <sz val="10"/>
      <color rgb="FFFF0000"/>
      <name val="Calibri"/>
      <family val="2"/>
    </font>
    <font>
      <b/>
      <sz val="11"/>
      <color rgb="FF000000"/>
      <name val="Calibri"/>
      <family val="2"/>
      <scheme val="minor"/>
    </font>
  </fonts>
  <fills count="22">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rgb="FFC3C7C8"/>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rgb="FFFFFFB9"/>
        <bgColor indexed="64"/>
      </patternFill>
    </fill>
    <fill>
      <patternFill patternType="solid">
        <fgColor theme="8"/>
        <bgColor indexed="64"/>
      </patternFill>
    </fill>
    <fill>
      <patternFill patternType="solid">
        <fgColor rgb="FF548135"/>
        <bgColor rgb="FF548135"/>
      </patternFill>
    </fill>
    <fill>
      <patternFill patternType="solid">
        <fgColor theme="9"/>
        <bgColor indexed="64"/>
      </patternFill>
    </fill>
    <fill>
      <patternFill patternType="solid">
        <fgColor theme="5"/>
        <bgColor indexed="64"/>
      </patternFill>
    </fill>
    <fill>
      <patternFill patternType="solid">
        <fgColor theme="9" tint="0.79998168889431442"/>
        <bgColor indexed="64"/>
      </patternFill>
    </fill>
    <fill>
      <patternFill patternType="solid">
        <fgColor rgb="FFF7CAAC"/>
        <bgColor rgb="FFF7CAAC"/>
      </patternFill>
    </fill>
    <fill>
      <patternFill patternType="solid">
        <fgColor rgb="FFB4C6E7"/>
        <bgColor rgb="FFB4C6E7"/>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2" tint="-4.9989318521683403E-2"/>
        <bgColor indexed="64"/>
      </patternFill>
    </fill>
    <fill>
      <patternFill patternType="solid">
        <fgColor rgb="FF82E6E6"/>
        <bgColor indexed="64"/>
      </patternFill>
    </fill>
    <fill>
      <patternFill patternType="solid">
        <fgColor theme="0" tint="-0.249977111117893"/>
        <bgColor indexed="64"/>
      </patternFill>
    </fill>
    <fill>
      <patternFill patternType="solid">
        <fgColor rgb="FF00B0F0"/>
        <bgColor indexed="64"/>
      </patternFill>
    </fill>
  </fills>
  <borders count="38">
    <border>
      <left/>
      <right/>
      <top/>
      <bottom/>
      <diagonal/>
    </border>
    <border>
      <left style="medium">
        <color rgb="FFCCCCCC"/>
      </left>
      <right style="medium">
        <color rgb="FFCCCCCC"/>
      </right>
      <top style="medium">
        <color rgb="FFCCCCCC"/>
      </top>
      <bottom style="medium">
        <color rgb="FFCCCCCC"/>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s>
  <cellStyleXfs count="9">
    <xf numFmtId="0" fontId="0" fillId="0" borderId="0"/>
    <xf numFmtId="9" fontId="1" fillId="0" borderId="0" applyFont="0" applyFill="0" applyBorder="0" applyAlignment="0" applyProtection="0"/>
    <xf numFmtId="0" fontId="3" fillId="0" borderId="0"/>
    <xf numFmtId="0" fontId="6" fillId="0" borderId="0"/>
    <xf numFmtId="164" fontId="4" fillId="0" borderId="0" applyFont="0" applyFill="0" applyBorder="0" applyAlignment="0" applyProtection="0"/>
    <xf numFmtId="9" fontId="4" fillId="0" borderId="0" applyFont="0" applyFill="0" applyBorder="0" applyAlignment="0" applyProtection="0"/>
    <xf numFmtId="0" fontId="4" fillId="0" borderId="0"/>
    <xf numFmtId="164" fontId="3" fillId="0" borderId="0" applyFont="0" applyFill="0" applyBorder="0" applyAlignment="0" applyProtection="0"/>
    <xf numFmtId="9" fontId="3" fillId="0" borderId="0" applyFont="0" applyFill="0" applyBorder="0" applyAlignment="0" applyProtection="0"/>
  </cellStyleXfs>
  <cellXfs count="335">
    <xf numFmtId="0" fontId="0" fillId="0" borderId="0" xfId="0"/>
    <xf numFmtId="0" fontId="3" fillId="0" borderId="0" xfId="2"/>
    <xf numFmtId="0" fontId="7" fillId="4" borderId="0" xfId="3" applyFont="1" applyFill="1" applyAlignment="1">
      <alignment horizontal="center" vertical="center" readingOrder="2"/>
    </xf>
    <xf numFmtId="0" fontId="8" fillId="4" borderId="1" xfId="2" applyFont="1" applyFill="1" applyBorder="1" applyAlignment="1">
      <alignment horizontal="center" vertical="center" wrapText="1"/>
    </xf>
    <xf numFmtId="0" fontId="9" fillId="2" borderId="0" xfId="2" applyFont="1" applyFill="1"/>
    <xf numFmtId="0" fontId="9" fillId="3" borderId="0" xfId="2" applyFont="1" applyFill="1"/>
    <xf numFmtId="0" fontId="7" fillId="5" borderId="0" xfId="3" quotePrefix="1" applyFont="1" applyFill="1" applyAlignment="1">
      <alignment horizontal="center" vertical="center" readingOrder="2"/>
    </xf>
    <xf numFmtId="165" fontId="0" fillId="2" borderId="0" xfId="4" applyNumberFormat="1" applyFont="1" applyFill="1"/>
    <xf numFmtId="165" fontId="0" fillId="3" borderId="0" xfId="4" applyNumberFormat="1" applyFont="1" applyFill="1"/>
    <xf numFmtId="0" fontId="10" fillId="0" borderId="0" xfId="4" applyNumberFormat="1" applyFont="1" applyFill="1" applyAlignment="1">
      <alignment horizontal="center" vertical="center"/>
    </xf>
    <xf numFmtId="0" fontId="8" fillId="4" borderId="2" xfId="2" applyFont="1" applyFill="1" applyBorder="1" applyAlignment="1">
      <alignment horizontal="center" vertical="center" wrapText="1"/>
    </xf>
    <xf numFmtId="165" fontId="10" fillId="2" borderId="3" xfId="4" applyNumberFormat="1" applyFont="1" applyFill="1" applyBorder="1" applyAlignment="1">
      <alignment vertical="center"/>
    </xf>
    <xf numFmtId="165" fontId="10" fillId="3" borderId="3" xfId="4" applyNumberFormat="1" applyFont="1" applyFill="1" applyBorder="1" applyAlignment="1">
      <alignment vertical="center"/>
    </xf>
    <xf numFmtId="165" fontId="10" fillId="3" borderId="4" xfId="4" applyNumberFormat="1" applyFont="1" applyFill="1" applyBorder="1" applyAlignment="1">
      <alignment vertical="center"/>
    </xf>
    <xf numFmtId="0" fontId="7" fillId="5" borderId="2" xfId="3" quotePrefix="1" applyFont="1" applyFill="1" applyBorder="1" applyAlignment="1">
      <alignment horizontal="center" vertical="center" readingOrder="2"/>
    </xf>
    <xf numFmtId="0" fontId="8" fillId="4" borderId="3" xfId="2" applyFont="1" applyFill="1" applyBorder="1" applyAlignment="1">
      <alignment horizontal="center" vertical="center" wrapText="1"/>
    </xf>
    <xf numFmtId="0" fontId="10" fillId="5" borderId="3" xfId="4" applyNumberFormat="1" applyFont="1" applyFill="1" applyBorder="1" applyAlignment="1">
      <alignment horizontal="center" vertical="center"/>
    </xf>
    <xf numFmtId="0" fontId="10" fillId="5" borderId="4" xfId="4" applyNumberFormat="1" applyFont="1" applyFill="1" applyBorder="1" applyAlignment="1">
      <alignment horizontal="center" vertical="center"/>
    </xf>
    <xf numFmtId="0" fontId="7" fillId="5" borderId="5" xfId="3" quotePrefix="1" applyFont="1" applyFill="1" applyBorder="1" applyAlignment="1">
      <alignment horizontal="center" vertical="center" readingOrder="2"/>
    </xf>
    <xf numFmtId="0" fontId="8" fillId="4" borderId="0" xfId="2" applyFont="1" applyFill="1" applyAlignment="1">
      <alignment horizontal="center" vertical="center" wrapText="1"/>
    </xf>
    <xf numFmtId="165" fontId="0" fillId="2" borderId="0" xfId="4" applyNumberFormat="1" applyFont="1" applyFill="1" applyBorder="1"/>
    <xf numFmtId="165" fontId="0" fillId="3" borderId="0" xfId="4" applyNumberFormat="1" applyFont="1" applyFill="1" applyBorder="1"/>
    <xf numFmtId="165" fontId="0" fillId="3" borderId="6" xfId="4" applyNumberFormat="1" applyFont="1" applyFill="1" applyBorder="1"/>
    <xf numFmtId="0" fontId="8" fillId="4" borderId="10" xfId="2" applyFont="1" applyFill="1" applyBorder="1" applyAlignment="1">
      <alignment horizontal="center" vertical="center" wrapText="1"/>
    </xf>
    <xf numFmtId="164" fontId="0" fillId="0" borderId="0" xfId="4" applyFont="1"/>
    <xf numFmtId="0" fontId="10" fillId="0" borderId="13" xfId="2" applyFont="1" applyBorder="1" applyAlignment="1">
      <alignment horizontal="center" vertical="center"/>
    </xf>
    <xf numFmtId="0" fontId="3" fillId="0" borderId="13" xfId="2" applyBorder="1"/>
    <xf numFmtId="10" fontId="3" fillId="0" borderId="13" xfId="1" applyNumberFormat="1" applyFont="1" applyBorder="1"/>
    <xf numFmtId="0" fontId="13" fillId="0" borderId="0" xfId="2" applyFont="1"/>
    <xf numFmtId="0" fontId="13" fillId="0" borderId="0" xfId="2" applyFont="1" applyAlignment="1">
      <alignment horizontal="right" vertical="center"/>
    </xf>
    <xf numFmtId="0" fontId="11" fillId="0" borderId="0" xfId="2" applyFont="1"/>
    <xf numFmtId="3" fontId="0" fillId="0" borderId="0" xfId="0" applyNumberFormat="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3" fontId="0" fillId="0" borderId="13" xfId="0" applyNumberFormat="1" applyBorder="1" applyAlignment="1">
      <alignment horizontal="center" vertical="center"/>
    </xf>
    <xf numFmtId="0" fontId="2" fillId="8" borderId="13" xfId="0" applyFont="1" applyFill="1" applyBorder="1" applyAlignment="1">
      <alignment horizontal="center" vertical="center"/>
    </xf>
    <xf numFmtId="0" fontId="0" fillId="0" borderId="13" xfId="0" applyBorder="1" applyAlignment="1">
      <alignment horizontal="left" vertical="center"/>
    </xf>
    <xf numFmtId="0" fontId="18" fillId="6" borderId="14" xfId="2" applyFont="1" applyFill="1" applyBorder="1" applyAlignment="1">
      <alignment horizontal="center"/>
    </xf>
    <xf numFmtId="0" fontId="3" fillId="0" borderId="0" xfId="2" applyAlignment="1">
      <alignment horizontal="right" wrapText="1"/>
    </xf>
    <xf numFmtId="0" fontId="3" fillId="0" borderId="0" xfId="2" applyAlignment="1">
      <alignment wrapText="1"/>
    </xf>
    <xf numFmtId="0" fontId="3" fillId="0" borderId="0" xfId="2" applyAlignment="1">
      <alignment horizontal="center" vertical="center"/>
    </xf>
    <xf numFmtId="0" fontId="3" fillId="0" borderId="0" xfId="2" applyAlignment="1">
      <alignment vertical="center"/>
    </xf>
    <xf numFmtId="0" fontId="10" fillId="10" borderId="0" xfId="2" applyFont="1" applyFill="1" applyAlignment="1">
      <alignment horizontal="center" vertical="center"/>
    </xf>
    <xf numFmtId="0" fontId="2" fillId="11" borderId="13" xfId="0" applyFont="1" applyFill="1" applyBorder="1" applyAlignment="1">
      <alignment horizontal="center" vertical="center"/>
    </xf>
    <xf numFmtId="3" fontId="0" fillId="12" borderId="13" xfId="0" applyNumberFormat="1" applyFill="1" applyBorder="1" applyAlignment="1">
      <alignment horizontal="center" vertical="center"/>
    </xf>
    <xf numFmtId="0" fontId="2" fillId="10" borderId="13" xfId="0" applyFont="1" applyFill="1" applyBorder="1" applyAlignment="1">
      <alignment horizontal="center" vertical="center"/>
    </xf>
    <xf numFmtId="0" fontId="11" fillId="0" borderId="14" xfId="2" applyFont="1" applyBorder="1" applyAlignment="1">
      <alignment horizontal="center"/>
    </xf>
    <xf numFmtId="0" fontId="11" fillId="0" borderId="25" xfId="2" applyFont="1" applyBorder="1" applyAlignment="1">
      <alignment horizontal="center"/>
    </xf>
    <xf numFmtId="0" fontId="11" fillId="0" borderId="13" xfId="2" applyFont="1" applyBorder="1" applyAlignment="1">
      <alignment horizontal="center"/>
    </xf>
    <xf numFmtId="0" fontId="11" fillId="0" borderId="26" xfId="2" applyFont="1" applyBorder="1" applyAlignment="1">
      <alignment horizontal="center"/>
    </xf>
    <xf numFmtId="0" fontId="18" fillId="6" borderId="14" xfId="2" applyFont="1" applyFill="1" applyBorder="1" applyAlignment="1">
      <alignment horizontal="center" vertical="center"/>
    </xf>
    <xf numFmtId="0" fontId="11" fillId="0" borderId="14" xfId="2" applyFont="1" applyBorder="1" applyAlignment="1">
      <alignment horizontal="center" wrapText="1"/>
    </xf>
    <xf numFmtId="0" fontId="21" fillId="13" borderId="14" xfId="2" applyFont="1" applyFill="1" applyBorder="1" applyAlignment="1">
      <alignment horizontal="center"/>
    </xf>
    <xf numFmtId="0" fontId="21" fillId="14" borderId="14" xfId="2" applyFont="1" applyFill="1" applyBorder="1" applyAlignment="1">
      <alignment horizontal="center"/>
    </xf>
    <xf numFmtId="0" fontId="11" fillId="0" borderId="0" xfId="2" applyFont="1" applyAlignment="1">
      <alignment horizontal="center"/>
    </xf>
    <xf numFmtId="0" fontId="14" fillId="0" borderId="0" xfId="2" applyFont="1"/>
    <xf numFmtId="9" fontId="11" fillId="0" borderId="0" xfId="2" applyNumberFormat="1" applyFont="1"/>
    <xf numFmtId="3" fontId="11" fillId="0" borderId="0" xfId="2" applyNumberFormat="1" applyFont="1"/>
    <xf numFmtId="0" fontId="11" fillId="0" borderId="14" xfId="2" applyFont="1" applyBorder="1" applyAlignment="1">
      <alignment horizontal="center" vertical="center"/>
    </xf>
    <xf numFmtId="0" fontId="11" fillId="0" borderId="25" xfId="2" applyFont="1" applyBorder="1" applyAlignment="1">
      <alignment horizontal="center" vertical="center"/>
    </xf>
    <xf numFmtId="0" fontId="14" fillId="0" borderId="13" xfId="2" applyFont="1" applyBorder="1" applyAlignment="1">
      <alignment horizontal="center" vertical="center"/>
    </xf>
    <xf numFmtId="0" fontId="11" fillId="0" borderId="26" xfId="2" applyFont="1" applyBorder="1" applyAlignment="1">
      <alignment horizontal="center" vertical="center"/>
    </xf>
    <xf numFmtId="3" fontId="11" fillId="0" borderId="14" xfId="2" applyNumberFormat="1" applyFont="1" applyBorder="1" applyAlignment="1">
      <alignment horizontal="center" vertical="center"/>
    </xf>
    <xf numFmtId="0" fontId="11" fillId="0" borderId="14" xfId="2" applyFont="1" applyBorder="1" applyAlignment="1">
      <alignment horizontal="left" vertical="center" wrapText="1"/>
    </xf>
    <xf numFmtId="0" fontId="7" fillId="0" borderId="0" xfId="3" quotePrefix="1" applyFont="1" applyAlignment="1">
      <alignment horizontal="center" vertical="center" readingOrder="2"/>
    </xf>
    <xf numFmtId="0" fontId="8" fillId="0" borderId="0" xfId="2" applyFont="1" applyAlignment="1">
      <alignment horizontal="center" vertical="center" wrapText="1"/>
    </xf>
    <xf numFmtId="165" fontId="0" fillId="0" borderId="0" xfId="4" applyNumberFormat="1" applyFont="1" applyFill="1" applyBorder="1"/>
    <xf numFmtId="9" fontId="3" fillId="0" borderId="0" xfId="2" applyNumberFormat="1"/>
    <xf numFmtId="9" fontId="11" fillId="0" borderId="0" xfId="2" applyNumberFormat="1" applyFont="1" applyAlignment="1">
      <alignment horizontal="right"/>
    </xf>
    <xf numFmtId="0" fontId="23" fillId="0" borderId="0" xfId="2" applyFont="1"/>
    <xf numFmtId="0" fontId="10" fillId="0" borderId="0" xfId="7" applyNumberFormat="1" applyFont="1" applyFill="1" applyBorder="1" applyAlignment="1">
      <alignment horizontal="center" vertical="center"/>
    </xf>
    <xf numFmtId="1" fontId="23" fillId="0" borderId="0" xfId="2" applyNumberFormat="1" applyFont="1"/>
    <xf numFmtId="168" fontId="13" fillId="0" borderId="0" xfId="2" applyNumberFormat="1" applyFont="1"/>
    <xf numFmtId="165" fontId="13" fillId="0" borderId="0" xfId="7" applyNumberFormat="1" applyFont="1" applyFill="1" applyBorder="1" applyAlignment="1">
      <alignment horizontal="center" vertical="center"/>
    </xf>
    <xf numFmtId="0" fontId="26" fillId="0" borderId="0" xfId="2" applyFont="1"/>
    <xf numFmtId="0" fontId="7" fillId="5" borderId="18" xfId="3" quotePrefix="1" applyFont="1" applyFill="1" applyBorder="1" applyAlignment="1">
      <alignment horizontal="center" vertical="center" readingOrder="2"/>
    </xf>
    <xf numFmtId="0" fontId="8" fillId="4" borderId="21" xfId="2" applyFont="1" applyFill="1" applyBorder="1" applyAlignment="1">
      <alignment horizontal="center" vertical="center" wrapText="1"/>
    </xf>
    <xf numFmtId="0" fontId="10" fillId="5" borderId="28" xfId="7" applyNumberFormat="1" applyFont="1" applyFill="1" applyBorder="1" applyAlignment="1">
      <alignment horizontal="center" vertical="center"/>
    </xf>
    <xf numFmtId="0" fontId="10" fillId="5" borderId="29" xfId="7" applyNumberFormat="1" applyFont="1" applyFill="1" applyBorder="1" applyAlignment="1">
      <alignment horizontal="center" vertical="center"/>
    </xf>
    <xf numFmtId="0" fontId="10" fillId="5" borderId="30" xfId="7" applyNumberFormat="1" applyFont="1" applyFill="1" applyBorder="1" applyAlignment="1">
      <alignment horizontal="center" vertical="center"/>
    </xf>
    <xf numFmtId="0" fontId="10" fillId="5" borderId="31" xfId="7" applyNumberFormat="1" applyFont="1" applyFill="1" applyBorder="1" applyAlignment="1">
      <alignment horizontal="center" vertical="center"/>
    </xf>
    <xf numFmtId="2" fontId="26" fillId="0" borderId="0" xfId="2" applyNumberFormat="1" applyFont="1" applyAlignment="1">
      <alignment horizontal="right"/>
    </xf>
    <xf numFmtId="0" fontId="7" fillId="5" borderId="22" xfId="3" quotePrefix="1" applyFont="1" applyFill="1" applyBorder="1" applyAlignment="1">
      <alignment horizontal="center" vertical="center" readingOrder="2"/>
    </xf>
    <xf numFmtId="0" fontId="8" fillId="4" borderId="17" xfId="2" applyFont="1" applyFill="1" applyBorder="1" applyAlignment="1">
      <alignment horizontal="center" vertical="center" wrapText="1"/>
    </xf>
    <xf numFmtId="1" fontId="13" fillId="15" borderId="2" xfId="2" applyNumberFormat="1" applyFont="1" applyFill="1" applyBorder="1" applyAlignment="1">
      <alignment horizontal="center" vertical="center"/>
    </xf>
    <xf numFmtId="1" fontId="13" fillId="15" borderId="3" xfId="2" applyNumberFormat="1" applyFont="1" applyFill="1" applyBorder="1" applyAlignment="1">
      <alignment horizontal="center" vertical="center"/>
    </xf>
    <xf numFmtId="1" fontId="13" fillId="15" borderId="4" xfId="2" applyNumberFormat="1" applyFont="1" applyFill="1" applyBorder="1" applyAlignment="1">
      <alignment horizontal="center" vertical="center"/>
    </xf>
    <xf numFmtId="1" fontId="13" fillId="16" borderId="3" xfId="2" applyNumberFormat="1" applyFont="1" applyFill="1" applyBorder="1" applyAlignment="1">
      <alignment horizontal="center" vertical="center"/>
    </xf>
    <xf numFmtId="1" fontId="13" fillId="16" borderId="4" xfId="2" applyNumberFormat="1" applyFont="1" applyFill="1" applyBorder="1" applyAlignment="1">
      <alignment horizontal="center" vertical="center"/>
    </xf>
    <xf numFmtId="1" fontId="13" fillId="15" borderId="5" xfId="2" applyNumberFormat="1" applyFont="1" applyFill="1" applyBorder="1" applyAlignment="1">
      <alignment horizontal="center" vertical="center"/>
    </xf>
    <xf numFmtId="1" fontId="13" fillId="15" borderId="0" xfId="2" applyNumberFormat="1" applyFont="1" applyFill="1" applyAlignment="1">
      <alignment horizontal="center" vertical="center"/>
    </xf>
    <xf numFmtId="1" fontId="13" fillId="15" borderId="6" xfId="2" applyNumberFormat="1" applyFont="1" applyFill="1" applyBorder="1" applyAlignment="1">
      <alignment horizontal="center" vertical="center"/>
    </xf>
    <xf numFmtId="1" fontId="13" fillId="16" borderId="0" xfId="2" applyNumberFormat="1" applyFont="1" applyFill="1" applyAlignment="1">
      <alignment horizontal="center" vertical="center"/>
    </xf>
    <xf numFmtId="1" fontId="13" fillId="16" borderId="6" xfId="2" applyNumberFormat="1" applyFont="1" applyFill="1" applyBorder="1" applyAlignment="1">
      <alignment horizontal="center" vertical="center"/>
    </xf>
    <xf numFmtId="0" fontId="26" fillId="0" borderId="0" xfId="2" applyFont="1" applyAlignment="1">
      <alignment horizontal="right" vertical="center"/>
    </xf>
    <xf numFmtId="2" fontId="26" fillId="0" borderId="0" xfId="2" applyNumberFormat="1" applyFont="1" applyAlignment="1">
      <alignment horizontal="right" vertical="center"/>
    </xf>
    <xf numFmtId="0" fontId="26" fillId="0" borderId="0" xfId="2" applyFont="1" applyAlignment="1">
      <alignment horizontal="right"/>
    </xf>
    <xf numFmtId="2" fontId="13" fillId="0" borderId="0" xfId="2" applyNumberFormat="1" applyFont="1" applyAlignment="1">
      <alignment horizontal="right"/>
    </xf>
    <xf numFmtId="0" fontId="7" fillId="5" borderId="23" xfId="3" quotePrefix="1" applyFont="1" applyFill="1" applyBorder="1" applyAlignment="1">
      <alignment horizontal="center" vertical="center" readingOrder="2"/>
    </xf>
    <xf numFmtId="0" fontId="8" fillId="4" borderId="24" xfId="2" applyFont="1" applyFill="1" applyBorder="1" applyAlignment="1">
      <alignment horizontal="center" vertical="center" wrapText="1"/>
    </xf>
    <xf numFmtId="1" fontId="13" fillId="15" borderId="11" xfId="2" applyNumberFormat="1" applyFont="1" applyFill="1" applyBorder="1" applyAlignment="1">
      <alignment horizontal="center" vertical="center"/>
    </xf>
    <xf numFmtId="1" fontId="13" fillId="15" borderId="32" xfId="2" applyNumberFormat="1" applyFont="1" applyFill="1" applyBorder="1" applyAlignment="1">
      <alignment horizontal="center" vertical="center"/>
    </xf>
    <xf numFmtId="1" fontId="13" fillId="15" borderId="12" xfId="2" applyNumberFormat="1" applyFont="1" applyFill="1" applyBorder="1" applyAlignment="1">
      <alignment horizontal="center" vertical="center"/>
    </xf>
    <xf numFmtId="1" fontId="13" fillId="16" borderId="11" xfId="2" applyNumberFormat="1" applyFont="1" applyFill="1" applyBorder="1" applyAlignment="1">
      <alignment horizontal="center" vertical="center"/>
    </xf>
    <xf numFmtId="1" fontId="13" fillId="16" borderId="32" xfId="2" applyNumberFormat="1" applyFont="1" applyFill="1" applyBorder="1" applyAlignment="1">
      <alignment horizontal="center" vertical="center"/>
    </xf>
    <xf numFmtId="1" fontId="13" fillId="16" borderId="12" xfId="2" applyNumberFormat="1" applyFont="1" applyFill="1" applyBorder="1" applyAlignment="1">
      <alignment horizontal="center" vertical="center"/>
    </xf>
    <xf numFmtId="0" fontId="13" fillId="0" borderId="0" xfId="2" applyFont="1" applyAlignment="1">
      <alignment wrapText="1"/>
    </xf>
    <xf numFmtId="1" fontId="13" fillId="0" borderId="0" xfId="2" applyNumberFormat="1" applyFont="1"/>
    <xf numFmtId="1" fontId="11" fillId="0" borderId="0" xfId="2" applyNumberFormat="1" applyFont="1"/>
    <xf numFmtId="0" fontId="28" fillId="0" borderId="0" xfId="2" applyFont="1"/>
    <xf numFmtId="0" fontId="24" fillId="0" borderId="0" xfId="2" applyFont="1"/>
    <xf numFmtId="1" fontId="13" fillId="17" borderId="2" xfId="2" applyNumberFormat="1" applyFont="1" applyFill="1" applyBorder="1" applyAlignment="1">
      <alignment horizontal="center" vertical="center"/>
    </xf>
    <xf numFmtId="2" fontId="13" fillId="12" borderId="3" xfId="2" applyNumberFormat="1" applyFont="1" applyFill="1" applyBorder="1" applyAlignment="1">
      <alignment horizontal="center" vertical="center"/>
    </xf>
    <xf numFmtId="2" fontId="13" fillId="12" borderId="4" xfId="2" applyNumberFormat="1" applyFont="1" applyFill="1" applyBorder="1" applyAlignment="1">
      <alignment horizontal="center" vertical="center"/>
    </xf>
    <xf numFmtId="2" fontId="13" fillId="15" borderId="2" xfId="2" applyNumberFormat="1" applyFont="1" applyFill="1" applyBorder="1" applyAlignment="1">
      <alignment horizontal="center" vertical="center"/>
    </xf>
    <xf numFmtId="2" fontId="13" fillId="16" borderId="3" xfId="2" applyNumberFormat="1" applyFont="1" applyFill="1" applyBorder="1" applyAlignment="1">
      <alignment horizontal="center" vertical="center"/>
    </xf>
    <xf numFmtId="2" fontId="13" fillId="16" borderId="4" xfId="2" applyNumberFormat="1" applyFont="1" applyFill="1" applyBorder="1" applyAlignment="1">
      <alignment horizontal="center" vertical="center"/>
    </xf>
    <xf numFmtId="1" fontId="13" fillId="17" borderId="5" xfId="2" applyNumberFormat="1" applyFont="1" applyFill="1" applyBorder="1" applyAlignment="1">
      <alignment horizontal="center" vertical="center"/>
    </xf>
    <xf numFmtId="2" fontId="13" fillId="12" borderId="0" xfId="2" applyNumberFormat="1" applyFont="1" applyFill="1" applyAlignment="1">
      <alignment horizontal="center" vertical="center"/>
    </xf>
    <xf numFmtId="2" fontId="13" fillId="12" borderId="6" xfId="2" applyNumberFormat="1" applyFont="1" applyFill="1" applyBorder="1" applyAlignment="1">
      <alignment horizontal="center" vertical="center"/>
    </xf>
    <xf numFmtId="2" fontId="13" fillId="15" borderId="5" xfId="2" applyNumberFormat="1" applyFont="1" applyFill="1" applyBorder="1" applyAlignment="1">
      <alignment horizontal="center" vertical="center"/>
    </xf>
    <xf numFmtId="2" fontId="13" fillId="16" borderId="0" xfId="2" applyNumberFormat="1" applyFont="1" applyFill="1" applyAlignment="1">
      <alignment horizontal="center" vertical="center"/>
    </xf>
    <xf numFmtId="2" fontId="13" fillId="16" borderId="6" xfId="2" applyNumberFormat="1" applyFont="1" applyFill="1" applyBorder="1" applyAlignment="1">
      <alignment horizontal="center" vertical="center"/>
    </xf>
    <xf numFmtId="2" fontId="26" fillId="15" borderId="5" xfId="2" applyNumberFormat="1" applyFont="1" applyFill="1" applyBorder="1" applyAlignment="1">
      <alignment horizontal="center" vertical="center"/>
    </xf>
    <xf numFmtId="1" fontId="13" fillId="17" borderId="11" xfId="2" applyNumberFormat="1" applyFont="1" applyFill="1" applyBorder="1" applyAlignment="1">
      <alignment horizontal="center" vertical="center"/>
    </xf>
    <xf numFmtId="2" fontId="13" fillId="12" borderId="32" xfId="2" applyNumberFormat="1" applyFont="1" applyFill="1" applyBorder="1" applyAlignment="1">
      <alignment horizontal="center" vertical="center"/>
    </xf>
    <xf numFmtId="2" fontId="13" fillId="12" borderId="12" xfId="2" applyNumberFormat="1" applyFont="1" applyFill="1" applyBorder="1" applyAlignment="1">
      <alignment horizontal="center" vertical="center"/>
    </xf>
    <xf numFmtId="2" fontId="13" fillId="15" borderId="11" xfId="2" applyNumberFormat="1" applyFont="1" applyFill="1" applyBorder="1" applyAlignment="1">
      <alignment horizontal="center" vertical="center"/>
    </xf>
    <xf numFmtId="2" fontId="13" fillId="16" borderId="32" xfId="2" applyNumberFormat="1" applyFont="1" applyFill="1" applyBorder="1" applyAlignment="1">
      <alignment horizontal="center" vertical="center"/>
    </xf>
    <xf numFmtId="2" fontId="13" fillId="16" borderId="12" xfId="2" applyNumberFormat="1" applyFont="1" applyFill="1" applyBorder="1" applyAlignment="1">
      <alignment horizontal="center" vertical="center"/>
    </xf>
    <xf numFmtId="0" fontId="10" fillId="5" borderId="33" xfId="7" applyNumberFormat="1" applyFont="1" applyFill="1" applyBorder="1" applyAlignment="1">
      <alignment horizontal="center" vertical="center"/>
    </xf>
    <xf numFmtId="0" fontId="10" fillId="5" borderId="34" xfId="7" applyNumberFormat="1" applyFont="1" applyFill="1" applyBorder="1" applyAlignment="1">
      <alignment horizontal="center" vertical="center"/>
    </xf>
    <xf numFmtId="0" fontId="10" fillId="5" borderId="35" xfId="7" applyNumberFormat="1" applyFont="1" applyFill="1" applyBorder="1" applyAlignment="1">
      <alignment horizontal="center" vertical="center"/>
    </xf>
    <xf numFmtId="9" fontId="29" fillId="18" borderId="14" xfId="2" applyNumberFormat="1" applyFont="1" applyFill="1" applyBorder="1"/>
    <xf numFmtId="2" fontId="13" fillId="15" borderId="2" xfId="8" applyNumberFormat="1" applyFont="1" applyFill="1" applyBorder="1" applyAlignment="1">
      <alignment horizontal="center" vertical="center"/>
    </xf>
    <xf numFmtId="2" fontId="13" fillId="15" borderId="3" xfId="8" applyNumberFormat="1" applyFont="1" applyFill="1" applyBorder="1" applyAlignment="1">
      <alignment horizontal="center" vertical="center"/>
    </xf>
    <xf numFmtId="2" fontId="13" fillId="15" borderId="4" xfId="8" applyNumberFormat="1" applyFont="1" applyFill="1" applyBorder="1" applyAlignment="1">
      <alignment horizontal="center" vertical="center"/>
    </xf>
    <xf numFmtId="169" fontId="26" fillId="19" borderId="5" xfId="2" applyNumberFormat="1" applyFont="1" applyFill="1" applyBorder="1" applyAlignment="1">
      <alignment horizontal="center" vertical="center"/>
    </xf>
    <xf numFmtId="2" fontId="26" fillId="7" borderId="0" xfId="2" applyNumberFormat="1" applyFont="1" applyFill="1" applyAlignment="1">
      <alignment horizontal="center" vertical="center"/>
    </xf>
    <xf numFmtId="9" fontId="29" fillId="18" borderId="14" xfId="2" applyNumberFormat="1" applyFont="1" applyFill="1" applyBorder="1" applyAlignment="1">
      <alignment horizontal="center" vertical="center"/>
    </xf>
    <xf numFmtId="2" fontId="13" fillId="15" borderId="5" xfId="8" applyNumberFormat="1" applyFont="1" applyFill="1" applyBorder="1" applyAlignment="1">
      <alignment horizontal="center" vertical="center"/>
    </xf>
    <xf numFmtId="2" fontId="13" fillId="15" borderId="0" xfId="8" applyNumberFormat="1" applyFont="1" applyFill="1" applyBorder="1" applyAlignment="1">
      <alignment horizontal="center" vertical="center"/>
    </xf>
    <xf numFmtId="2" fontId="13" fillId="15" borderId="6" xfId="8" applyNumberFormat="1" applyFont="1" applyFill="1" applyBorder="1" applyAlignment="1">
      <alignment horizontal="center" vertical="center"/>
    </xf>
    <xf numFmtId="2" fontId="13" fillId="15" borderId="7" xfId="8" applyNumberFormat="1" applyFont="1" applyFill="1" applyBorder="1" applyAlignment="1">
      <alignment horizontal="center" vertical="center"/>
    </xf>
    <xf numFmtId="2" fontId="13" fillId="15" borderId="8" xfId="8" applyNumberFormat="1" applyFont="1" applyFill="1" applyBorder="1" applyAlignment="1">
      <alignment horizontal="center" vertical="center"/>
    </xf>
    <xf numFmtId="2" fontId="13" fillId="15" borderId="9" xfId="8" applyNumberFormat="1" applyFont="1" applyFill="1" applyBorder="1" applyAlignment="1">
      <alignment horizontal="center" vertical="center"/>
    </xf>
    <xf numFmtId="169" fontId="26" fillId="19" borderId="7" xfId="2" applyNumberFormat="1" applyFont="1" applyFill="1" applyBorder="1" applyAlignment="1">
      <alignment horizontal="center" vertical="center"/>
    </xf>
    <xf numFmtId="2" fontId="13" fillId="12" borderId="8" xfId="2" applyNumberFormat="1" applyFont="1" applyFill="1" applyBorder="1" applyAlignment="1">
      <alignment horizontal="center" vertical="center"/>
    </xf>
    <xf numFmtId="2" fontId="26" fillId="7" borderId="8" xfId="2" applyNumberFormat="1" applyFont="1" applyFill="1" applyBorder="1" applyAlignment="1">
      <alignment horizontal="center" vertical="center"/>
    </xf>
    <xf numFmtId="2" fontId="13" fillId="16" borderId="8" xfId="2" applyNumberFormat="1" applyFont="1" applyFill="1" applyBorder="1" applyAlignment="1">
      <alignment horizontal="center" vertical="center"/>
    </xf>
    <xf numFmtId="2" fontId="13" fillId="16" borderId="9" xfId="2" applyNumberFormat="1" applyFont="1" applyFill="1" applyBorder="1" applyAlignment="1">
      <alignment horizontal="center" vertical="center"/>
    </xf>
    <xf numFmtId="1" fontId="13" fillId="0" borderId="0" xfId="2" applyNumberFormat="1" applyFont="1" applyAlignment="1">
      <alignment horizontal="right" vertical="center"/>
    </xf>
    <xf numFmtId="0" fontId="13" fillId="0" borderId="0" xfId="2" applyFont="1" applyAlignment="1">
      <alignment horizontal="right"/>
    </xf>
    <xf numFmtId="0" fontId="32" fillId="0" borderId="0" xfId="2" applyFont="1"/>
    <xf numFmtId="2" fontId="13" fillId="0" borderId="0" xfId="2" applyNumberFormat="1" applyFont="1" applyAlignment="1">
      <alignment horizontal="right" vertical="center"/>
    </xf>
    <xf numFmtId="0" fontId="33" fillId="0" borderId="0" xfId="2" applyFont="1"/>
    <xf numFmtId="0" fontId="8" fillId="4" borderId="17" xfId="2" applyFont="1" applyFill="1" applyBorder="1" applyAlignment="1">
      <alignment horizontal="left" vertical="center" wrapText="1"/>
    </xf>
    <xf numFmtId="164" fontId="13" fillId="17" borderId="3" xfId="7" applyFont="1" applyFill="1" applyBorder="1" applyAlignment="1">
      <alignment horizontal="center" vertical="center"/>
    </xf>
    <xf numFmtId="164" fontId="13" fillId="17" borderId="4" xfId="7" applyFont="1" applyFill="1" applyBorder="1" applyAlignment="1">
      <alignment horizontal="center" vertical="center"/>
    </xf>
    <xf numFmtId="164" fontId="13" fillId="12" borderId="3" xfId="7" applyFont="1" applyFill="1" applyBorder="1" applyAlignment="1">
      <alignment horizontal="center" vertical="center"/>
    </xf>
    <xf numFmtId="164" fontId="13" fillId="12" borderId="4" xfId="7" applyFont="1" applyFill="1" applyBorder="1" applyAlignment="1">
      <alignment horizontal="center" vertical="center"/>
    </xf>
    <xf numFmtId="164" fontId="13" fillId="17" borderId="0" xfId="7" applyFont="1" applyFill="1" applyBorder="1" applyAlignment="1">
      <alignment horizontal="center" vertical="center"/>
    </xf>
    <xf numFmtId="164" fontId="13" fillId="17" borderId="6" xfId="7" applyFont="1" applyFill="1" applyBorder="1" applyAlignment="1">
      <alignment horizontal="center" vertical="center"/>
    </xf>
    <xf numFmtId="164" fontId="13" fillId="12" borderId="0" xfId="7" applyFont="1" applyFill="1" applyBorder="1" applyAlignment="1">
      <alignment horizontal="center" vertical="center"/>
    </xf>
    <xf numFmtId="164" fontId="13" fillId="12" borderId="6" xfId="7" applyFont="1" applyFill="1" applyBorder="1" applyAlignment="1">
      <alignment horizontal="center" vertical="center"/>
    </xf>
    <xf numFmtId="0" fontId="8" fillId="4" borderId="20" xfId="2" applyFont="1" applyFill="1" applyBorder="1" applyAlignment="1">
      <alignment horizontal="left" vertical="center" wrapText="1"/>
    </xf>
    <xf numFmtId="0" fontId="8" fillId="4" borderId="24" xfId="2" applyFont="1" applyFill="1" applyBorder="1" applyAlignment="1">
      <alignment horizontal="left" vertical="center" wrapText="1"/>
    </xf>
    <xf numFmtId="1" fontId="13" fillId="17" borderId="7" xfId="2" applyNumberFormat="1" applyFont="1" applyFill="1" applyBorder="1" applyAlignment="1">
      <alignment horizontal="center" vertical="center"/>
    </xf>
    <xf numFmtId="164" fontId="13" fillId="17" borderId="8" xfId="7" applyFont="1" applyFill="1" applyBorder="1" applyAlignment="1">
      <alignment horizontal="center" vertical="center"/>
    </xf>
    <xf numFmtId="164" fontId="13" fillId="17" borderId="9" xfId="7" applyFont="1" applyFill="1" applyBorder="1" applyAlignment="1">
      <alignment horizontal="center" vertical="center"/>
    </xf>
    <xf numFmtId="164" fontId="13" fillId="12" borderId="8" xfId="7" applyFont="1" applyFill="1" applyBorder="1" applyAlignment="1">
      <alignment horizontal="center" vertical="center"/>
    </xf>
    <xf numFmtId="164" fontId="13" fillId="12" borderId="9" xfId="7" applyFont="1" applyFill="1" applyBorder="1" applyAlignment="1">
      <alignment horizontal="center" vertical="center"/>
    </xf>
    <xf numFmtId="0" fontId="34" fillId="0" borderId="0" xfId="2" applyFont="1"/>
    <xf numFmtId="168" fontId="11" fillId="0" borderId="0" xfId="2" applyNumberFormat="1" applyFont="1" applyAlignment="1">
      <alignment horizontal="left"/>
    </xf>
    <xf numFmtId="168" fontId="11" fillId="0" borderId="0" xfId="2" applyNumberFormat="1" applyFont="1"/>
    <xf numFmtId="9" fontId="13" fillId="0" borderId="0" xfId="2" applyNumberFormat="1" applyFont="1"/>
    <xf numFmtId="165" fontId="13" fillId="12" borderId="2" xfId="7" applyNumberFormat="1" applyFont="1" applyFill="1" applyBorder="1" applyAlignment="1">
      <alignment horizontal="center" vertical="center"/>
    </xf>
    <xf numFmtId="165" fontId="13" fillId="12" borderId="3" xfId="7" applyNumberFormat="1" applyFont="1" applyFill="1" applyBorder="1" applyAlignment="1">
      <alignment horizontal="center" vertical="center"/>
    </xf>
    <xf numFmtId="165" fontId="13" fillId="12" borderId="4" xfId="7" applyNumberFormat="1" applyFont="1" applyFill="1" applyBorder="1" applyAlignment="1">
      <alignment horizontal="center" vertical="center"/>
    </xf>
    <xf numFmtId="165" fontId="13" fillId="15" borderId="2" xfId="7" applyNumberFormat="1" applyFont="1" applyFill="1" applyBorder="1" applyAlignment="1">
      <alignment horizontal="center" vertical="center"/>
    </xf>
    <xf numFmtId="165" fontId="13" fillId="16" borderId="3" xfId="7" applyNumberFormat="1" applyFont="1" applyFill="1" applyBorder="1" applyAlignment="1">
      <alignment horizontal="center" vertical="center"/>
    </xf>
    <xf numFmtId="165" fontId="13" fillId="16" borderId="4" xfId="7" applyNumberFormat="1" applyFont="1" applyFill="1" applyBorder="1" applyAlignment="1">
      <alignment horizontal="center" vertical="center"/>
    </xf>
    <xf numFmtId="165" fontId="13" fillId="12" borderId="5" xfId="7" applyNumberFormat="1" applyFont="1" applyFill="1" applyBorder="1" applyAlignment="1">
      <alignment horizontal="center" vertical="center"/>
    </xf>
    <xf numFmtId="165" fontId="13" fillId="12" borderId="0" xfId="7" applyNumberFormat="1" applyFont="1" applyFill="1" applyBorder="1" applyAlignment="1">
      <alignment horizontal="center" vertical="center"/>
    </xf>
    <xf numFmtId="165" fontId="13" fillId="12" borderId="6" xfId="7" applyNumberFormat="1" applyFont="1" applyFill="1" applyBorder="1" applyAlignment="1">
      <alignment horizontal="center" vertical="center"/>
    </xf>
    <xf numFmtId="165" fontId="13" fillId="15" borderId="5" xfId="7" applyNumberFormat="1" applyFont="1" applyFill="1" applyBorder="1" applyAlignment="1">
      <alignment horizontal="center" vertical="center"/>
    </xf>
    <xf numFmtId="165" fontId="13" fillId="16" borderId="0" xfId="7" applyNumberFormat="1" applyFont="1" applyFill="1" applyBorder="1" applyAlignment="1">
      <alignment horizontal="center" vertical="center"/>
    </xf>
    <xf numFmtId="165" fontId="13" fillId="16" borderId="6" xfId="7" applyNumberFormat="1" applyFont="1" applyFill="1" applyBorder="1" applyAlignment="1">
      <alignment horizontal="center" vertical="center"/>
    </xf>
    <xf numFmtId="165" fontId="35" fillId="15" borderId="5" xfId="7" applyNumberFormat="1" applyFont="1" applyFill="1" applyBorder="1" applyAlignment="1">
      <alignment horizontal="center" vertical="center"/>
    </xf>
    <xf numFmtId="165" fontId="13" fillId="12" borderId="11" xfId="7" applyNumberFormat="1" applyFont="1" applyFill="1" applyBorder="1" applyAlignment="1">
      <alignment horizontal="center" vertical="center"/>
    </xf>
    <xf numFmtId="165" fontId="13" fillId="12" borderId="32" xfId="7" applyNumberFormat="1" applyFont="1" applyFill="1" applyBorder="1" applyAlignment="1">
      <alignment horizontal="center" vertical="center"/>
    </xf>
    <xf numFmtId="165" fontId="13" fillId="12" borderId="12" xfId="7" applyNumberFormat="1" applyFont="1" applyFill="1" applyBorder="1" applyAlignment="1">
      <alignment horizontal="center" vertical="center"/>
    </xf>
    <xf numFmtId="165" fontId="13" fillId="15" borderId="11" xfId="7" applyNumberFormat="1" applyFont="1" applyFill="1" applyBorder="1" applyAlignment="1">
      <alignment horizontal="center" vertical="center"/>
    </xf>
    <xf numFmtId="165" fontId="13" fillId="16" borderId="32" xfId="7" applyNumberFormat="1" applyFont="1" applyFill="1" applyBorder="1" applyAlignment="1">
      <alignment horizontal="center" vertical="center"/>
    </xf>
    <xf numFmtId="165" fontId="13" fillId="16" borderId="12" xfId="7" applyNumberFormat="1" applyFont="1" applyFill="1" applyBorder="1" applyAlignment="1">
      <alignment horizontal="center" vertical="center"/>
    </xf>
    <xf numFmtId="0" fontId="36" fillId="0" borderId="0" xfId="2" applyFont="1" applyAlignment="1">
      <alignment wrapText="1"/>
    </xf>
    <xf numFmtId="164" fontId="13" fillId="16" borderId="3" xfId="7" applyFont="1" applyFill="1" applyBorder="1" applyAlignment="1">
      <alignment horizontal="center" vertical="center"/>
    </xf>
    <xf numFmtId="164" fontId="13" fillId="16" borderId="4" xfId="7" applyFont="1" applyFill="1" applyBorder="1" applyAlignment="1">
      <alignment horizontal="center" vertical="center"/>
    </xf>
    <xf numFmtId="164" fontId="13" fillId="16" borderId="0" xfId="7" applyFont="1" applyFill="1" applyBorder="1" applyAlignment="1">
      <alignment horizontal="center" vertical="center"/>
    </xf>
    <xf numFmtId="164" fontId="13" fillId="16" borderId="6" xfId="7" applyFont="1" applyFill="1" applyBorder="1" applyAlignment="1">
      <alignment horizontal="center" vertical="center"/>
    </xf>
    <xf numFmtId="164" fontId="13" fillId="16" borderId="8" xfId="7" applyFont="1" applyFill="1" applyBorder="1" applyAlignment="1">
      <alignment horizontal="center" vertical="center"/>
    </xf>
    <xf numFmtId="164" fontId="13" fillId="16" borderId="9" xfId="7" applyFont="1" applyFill="1" applyBorder="1" applyAlignment="1">
      <alignment horizontal="center" vertical="center"/>
    </xf>
    <xf numFmtId="0" fontId="13" fillId="0" borderId="0" xfId="2" applyFont="1" applyAlignment="1">
      <alignment horizontal="center"/>
    </xf>
    <xf numFmtId="0" fontId="37" fillId="0" borderId="0" xfId="2" applyFont="1" applyAlignment="1">
      <alignment horizontal="left" vertical="center" wrapText="1"/>
    </xf>
    <xf numFmtId="0" fontId="37" fillId="0" borderId="0" xfId="2" applyFont="1" applyAlignment="1">
      <alignment horizontal="center" vertical="top" wrapText="1"/>
    </xf>
    <xf numFmtId="0" fontId="37" fillId="0" borderId="0" xfId="2" applyFont="1" applyAlignment="1">
      <alignment horizontal="left" vertical="top" wrapText="1"/>
    </xf>
    <xf numFmtId="0" fontId="38" fillId="0" borderId="0" xfId="2" applyFont="1" applyAlignment="1">
      <alignment horizontal="center" vertical="center" wrapText="1"/>
    </xf>
    <xf numFmtId="0" fontId="11" fillId="0" borderId="0" xfId="2" applyFont="1" applyAlignment="1">
      <alignment horizontal="center" vertical="center" wrapText="1"/>
    </xf>
    <xf numFmtId="0" fontId="15" fillId="0" borderId="0" xfId="2" applyFont="1"/>
    <xf numFmtId="0" fontId="37" fillId="0" borderId="0" xfId="2" applyFont="1" applyAlignment="1">
      <alignment horizontal="center" vertical="center" wrapText="1"/>
    </xf>
    <xf numFmtId="168" fontId="18" fillId="0" borderId="0" xfId="2" applyNumberFormat="1" applyFont="1"/>
    <xf numFmtId="2" fontId="11" fillId="0" borderId="0" xfId="2" applyNumberFormat="1" applyFont="1"/>
    <xf numFmtId="0" fontId="23" fillId="0" borderId="0" xfId="2" applyFont="1" applyAlignment="1">
      <alignment horizontal="center" vertical="center"/>
    </xf>
    <xf numFmtId="170" fontId="13" fillId="0" borderId="0" xfId="2" applyNumberFormat="1" applyFont="1"/>
    <xf numFmtId="171" fontId="13" fillId="0" borderId="0" xfId="2" applyNumberFormat="1" applyFont="1"/>
    <xf numFmtId="3" fontId="13" fillId="0" borderId="0" xfId="2" applyNumberFormat="1" applyFont="1" applyAlignment="1">
      <alignment horizontal="right"/>
    </xf>
    <xf numFmtId="168" fontId="23" fillId="0" borderId="0" xfId="2" applyNumberFormat="1" applyFont="1"/>
    <xf numFmtId="172" fontId="13" fillId="0" borderId="0" xfId="2" applyNumberFormat="1" applyFont="1"/>
    <xf numFmtId="173" fontId="13" fillId="0" borderId="0" xfId="2" applyNumberFormat="1" applyFont="1"/>
    <xf numFmtId="0" fontId="37" fillId="0" borderId="0" xfId="2" applyFont="1" applyAlignment="1">
      <alignment vertical="top" wrapText="1"/>
    </xf>
    <xf numFmtId="0" fontId="25" fillId="0" borderId="0" xfId="2" applyFont="1" applyAlignment="1">
      <alignment wrapText="1"/>
    </xf>
    <xf numFmtId="0" fontId="14" fillId="0" borderId="0" xfId="2" quotePrefix="1" applyFont="1"/>
    <xf numFmtId="169" fontId="3" fillId="0" borderId="0" xfId="2" applyNumberFormat="1"/>
    <xf numFmtId="9" fontId="26" fillId="7" borderId="0" xfId="2" applyNumberFormat="1" applyFont="1" applyFill="1" applyAlignment="1">
      <alignment horizontal="center" vertical="center"/>
    </xf>
    <xf numFmtId="9" fontId="26" fillId="0" borderId="0" xfId="2" applyNumberFormat="1" applyFont="1" applyAlignment="1">
      <alignment horizontal="center" vertical="center"/>
    </xf>
    <xf numFmtId="0" fontId="26" fillId="7" borderId="0" xfId="8" applyNumberFormat="1" applyFont="1" applyFill="1" applyAlignment="1">
      <alignment horizontal="center" vertical="center"/>
    </xf>
    <xf numFmtId="0" fontId="33" fillId="0" borderId="0" xfId="2" applyFont="1" applyAlignment="1">
      <alignment vertical="center"/>
    </xf>
    <xf numFmtId="9" fontId="13" fillId="0" borderId="0" xfId="8" applyFont="1" applyFill="1" applyBorder="1"/>
    <xf numFmtId="0" fontId="26" fillId="7" borderId="0" xfId="2" applyFont="1" applyFill="1" applyAlignment="1">
      <alignment horizontal="center" vertical="center"/>
    </xf>
    <xf numFmtId="0" fontId="39" fillId="0" borderId="0" xfId="2" applyFont="1" applyAlignment="1">
      <alignment vertical="center" wrapText="1"/>
    </xf>
    <xf numFmtId="0" fontId="12" fillId="0" borderId="0" xfId="2" applyFont="1"/>
    <xf numFmtId="0" fontId="11" fillId="0" borderId="0" xfId="2" quotePrefix="1" applyFont="1"/>
    <xf numFmtId="169" fontId="13" fillId="0" borderId="0" xfId="2" applyNumberFormat="1" applyFont="1"/>
    <xf numFmtId="0" fontId="17" fillId="0" borderId="0" xfId="2" applyFont="1" applyAlignment="1">
      <alignment vertical="center" wrapText="1"/>
    </xf>
    <xf numFmtId="0" fontId="23" fillId="0" borderId="0" xfId="2" applyFont="1" applyAlignment="1">
      <alignment vertical="center"/>
    </xf>
    <xf numFmtId="9" fontId="26" fillId="7" borderId="0" xfId="8" applyFont="1" applyFill="1" applyAlignment="1">
      <alignment horizontal="center" vertical="center"/>
    </xf>
    <xf numFmtId="167" fontId="29" fillId="0" borderId="0" xfId="2" applyNumberFormat="1" applyFont="1" applyAlignment="1">
      <alignment horizontal="center" vertical="center"/>
    </xf>
    <xf numFmtId="9" fontId="29" fillId="0" borderId="0" xfId="2" applyNumberFormat="1" applyFont="1"/>
    <xf numFmtId="0" fontId="8" fillId="4" borderId="16" xfId="2" applyFont="1" applyFill="1" applyBorder="1" applyAlignment="1">
      <alignment horizontal="center" vertical="center" wrapText="1"/>
    </xf>
    <xf numFmtId="1" fontId="13" fillId="17" borderId="3" xfId="2" applyNumberFormat="1" applyFont="1" applyFill="1" applyBorder="1" applyAlignment="1">
      <alignment horizontal="center" vertical="center"/>
    </xf>
    <xf numFmtId="1" fontId="13" fillId="17" borderId="4" xfId="2" applyNumberFormat="1" applyFont="1" applyFill="1" applyBorder="1" applyAlignment="1">
      <alignment horizontal="center" vertical="center"/>
    </xf>
    <xf numFmtId="9" fontId="26" fillId="7" borderId="2" xfId="8" applyFont="1" applyFill="1" applyBorder="1" applyAlignment="1">
      <alignment horizontal="center" vertical="center"/>
    </xf>
    <xf numFmtId="9" fontId="26" fillId="7" borderId="3" xfId="8" applyFont="1" applyFill="1" applyBorder="1" applyAlignment="1">
      <alignment horizontal="center" vertical="center"/>
    </xf>
    <xf numFmtId="9" fontId="26" fillId="7" borderId="4" xfId="8" applyFont="1" applyFill="1" applyBorder="1" applyAlignment="1">
      <alignment horizontal="center" vertical="center"/>
    </xf>
    <xf numFmtId="1" fontId="13" fillId="17" borderId="0" xfId="2" applyNumberFormat="1" applyFont="1" applyFill="1" applyAlignment="1">
      <alignment horizontal="center" vertical="center"/>
    </xf>
    <xf numFmtId="1" fontId="13" fillId="17" borderId="6" xfId="2" applyNumberFormat="1" applyFont="1" applyFill="1" applyBorder="1" applyAlignment="1">
      <alignment horizontal="center" vertical="center"/>
    </xf>
    <xf numFmtId="9" fontId="26" fillId="7" borderId="5" xfId="8" applyFont="1" applyFill="1" applyBorder="1" applyAlignment="1">
      <alignment horizontal="center" vertical="center"/>
    </xf>
    <xf numFmtId="9" fontId="26" fillId="7" borderId="0" xfId="8" applyFont="1" applyFill="1" applyBorder="1" applyAlignment="1">
      <alignment horizontal="center" vertical="center"/>
    </xf>
    <xf numFmtId="9" fontId="26" fillId="7" borderId="6" xfId="8" applyFont="1" applyFill="1" applyBorder="1" applyAlignment="1">
      <alignment horizontal="center" vertical="center"/>
    </xf>
    <xf numFmtId="0" fontId="7" fillId="5" borderId="19" xfId="3" quotePrefix="1" applyFont="1" applyFill="1" applyBorder="1" applyAlignment="1">
      <alignment horizontal="center" vertical="center" readingOrder="2"/>
    </xf>
    <xf numFmtId="0" fontId="8" fillId="4" borderId="36" xfId="2" applyFont="1" applyFill="1" applyBorder="1" applyAlignment="1">
      <alignment horizontal="center" vertical="center" wrapText="1"/>
    </xf>
    <xf numFmtId="0" fontId="7" fillId="20" borderId="22" xfId="3" quotePrefix="1" applyFont="1" applyFill="1" applyBorder="1" applyAlignment="1">
      <alignment horizontal="center" vertical="center" readingOrder="2"/>
    </xf>
    <xf numFmtId="0" fontId="8" fillId="20" borderId="16" xfId="2" applyFont="1" applyFill="1" applyBorder="1" applyAlignment="1">
      <alignment horizontal="center" vertical="center" wrapText="1"/>
    </xf>
    <xf numFmtId="1" fontId="13" fillId="17" borderId="8" xfId="2" applyNumberFormat="1" applyFont="1" applyFill="1" applyBorder="1" applyAlignment="1">
      <alignment horizontal="center" vertical="center"/>
    </xf>
    <xf numFmtId="1" fontId="13" fillId="17" borderId="9" xfId="2" applyNumberFormat="1" applyFont="1" applyFill="1" applyBorder="1" applyAlignment="1">
      <alignment horizontal="center" vertical="center"/>
    </xf>
    <xf numFmtId="9" fontId="26" fillId="7" borderId="7" xfId="8" applyFont="1" applyFill="1" applyBorder="1" applyAlignment="1">
      <alignment horizontal="center" vertical="center"/>
    </xf>
    <xf numFmtId="9" fontId="26" fillId="7" borderId="8" xfId="8" applyFont="1" applyFill="1" applyBorder="1" applyAlignment="1">
      <alignment horizontal="center" vertical="center"/>
    </xf>
    <xf numFmtId="9" fontId="26" fillId="7" borderId="9" xfId="8" applyFont="1" applyFill="1" applyBorder="1" applyAlignment="1">
      <alignment horizontal="center" vertical="center"/>
    </xf>
    <xf numFmtId="0" fontId="13" fillId="20" borderId="23" xfId="2" applyFont="1" applyFill="1" applyBorder="1"/>
    <xf numFmtId="0" fontId="8" fillId="20" borderId="37" xfId="2" applyFont="1" applyFill="1" applyBorder="1" applyAlignment="1">
      <alignment horizontal="center" vertical="center" wrapText="1"/>
    </xf>
    <xf numFmtId="0" fontId="10" fillId="0" borderId="0" xfId="2" applyFont="1" applyAlignment="1">
      <alignment wrapText="1"/>
    </xf>
    <xf numFmtId="0" fontId="3" fillId="0" borderId="0" xfId="2" applyAlignment="1">
      <alignment horizontal="center" wrapText="1"/>
    </xf>
    <xf numFmtId="0" fontId="23" fillId="0" borderId="0" xfId="2" applyFont="1" applyAlignment="1">
      <alignment horizontal="center"/>
    </xf>
    <xf numFmtId="166" fontId="26" fillId="7" borderId="0" xfId="2" applyNumberFormat="1" applyFont="1" applyFill="1" applyAlignment="1">
      <alignment horizontal="center" vertical="center"/>
    </xf>
    <xf numFmtId="0" fontId="10" fillId="0" borderId="0" xfId="2" applyFont="1"/>
    <xf numFmtId="3" fontId="10" fillId="0" borderId="0" xfId="2" applyNumberFormat="1" applyFont="1" applyAlignment="1">
      <alignment horizontal="center"/>
    </xf>
    <xf numFmtId="0" fontId="3" fillId="0" borderId="0" xfId="2" applyAlignment="1">
      <alignment horizontal="right"/>
    </xf>
    <xf numFmtId="0" fontId="42" fillId="6" borderId="0" xfId="2" applyFont="1" applyFill="1" applyAlignment="1">
      <alignment horizontal="center"/>
    </xf>
    <xf numFmtId="0" fontId="10" fillId="0" borderId="0" xfId="2" applyFont="1" applyAlignment="1">
      <alignment vertical="center" wrapText="1"/>
    </xf>
    <xf numFmtId="0" fontId="33" fillId="0" borderId="0" xfId="2" applyFont="1" applyAlignment="1">
      <alignment horizontal="left" vertical="center"/>
    </xf>
    <xf numFmtId="9" fontId="3" fillId="0" borderId="0" xfId="2" applyNumberFormat="1" applyAlignment="1">
      <alignment horizontal="right" wrapText="1"/>
    </xf>
    <xf numFmtId="1" fontId="26" fillId="0" borderId="0" xfId="2" applyNumberFormat="1" applyFont="1" applyAlignment="1">
      <alignment horizontal="center" vertical="center"/>
    </xf>
    <xf numFmtId="9" fontId="26" fillId="0" borderId="0" xfId="8" applyFont="1" applyFill="1" applyBorder="1" applyAlignment="1">
      <alignment horizontal="center" vertical="center"/>
    </xf>
    <xf numFmtId="0" fontId="42" fillId="0" borderId="0" xfId="2" applyFont="1" applyAlignment="1">
      <alignment horizontal="center"/>
    </xf>
    <xf numFmtId="0" fontId="16" fillId="9" borderId="15" xfId="0" applyFont="1" applyFill="1" applyBorder="1" applyAlignment="1">
      <alignment vertical="top"/>
    </xf>
    <xf numFmtId="0" fontId="16" fillId="9" borderId="15" xfId="0" applyFont="1" applyFill="1" applyBorder="1" applyAlignment="1">
      <alignment vertical="center"/>
    </xf>
    <xf numFmtId="0" fontId="0" fillId="10" borderId="0" xfId="0" applyFill="1"/>
    <xf numFmtId="0" fontId="11" fillId="0" borderId="13" xfId="0" applyFont="1" applyBorder="1"/>
    <xf numFmtId="0" fontId="18" fillId="6" borderId="13" xfId="0" applyFont="1" applyFill="1" applyBorder="1" applyAlignment="1">
      <alignment horizontal="center"/>
    </xf>
    <xf numFmtId="3" fontId="11" fillId="0" borderId="13" xfId="0" applyNumberFormat="1" applyFont="1" applyBorder="1"/>
    <xf numFmtId="0" fontId="0" fillId="0" borderId="13" xfId="0" applyBorder="1"/>
    <xf numFmtId="3" fontId="2" fillId="21" borderId="13" xfId="0" applyNumberFormat="1" applyFont="1" applyFill="1" applyBorder="1" applyAlignment="1">
      <alignment horizontal="center" vertical="center"/>
    </xf>
    <xf numFmtId="0" fontId="2" fillId="21" borderId="13" xfId="0" applyFont="1" applyFill="1" applyBorder="1" applyAlignment="1">
      <alignment horizontal="center" vertical="center"/>
    </xf>
    <xf numFmtId="0" fontId="8" fillId="0" borderId="27" xfId="2" applyFont="1" applyBorder="1" applyAlignment="1">
      <alignment horizontal="center" vertical="center" wrapText="1"/>
    </xf>
    <xf numFmtId="0" fontId="8" fillId="0" borderId="0" xfId="2" applyFont="1" applyAlignment="1">
      <alignment horizontal="center" vertical="center" wrapText="1"/>
    </xf>
    <xf numFmtId="0" fontId="4" fillId="2" borderId="0" xfId="2" applyFont="1" applyFill="1" applyAlignment="1">
      <alignment horizontal="center"/>
    </xf>
    <xf numFmtId="0" fontId="3" fillId="2" borderId="0" xfId="2" applyFill="1" applyAlignment="1">
      <alignment horizontal="center"/>
    </xf>
    <xf numFmtId="0" fontId="4" fillId="3" borderId="0" xfId="2" applyFont="1" applyFill="1" applyAlignment="1">
      <alignment horizontal="center"/>
    </xf>
    <xf numFmtId="0" fontId="3" fillId="3" borderId="0" xfId="2" applyFill="1" applyAlignment="1">
      <alignment horizontal="center"/>
    </xf>
    <xf numFmtId="0" fontId="22" fillId="0" borderId="2" xfId="2" applyFont="1" applyBorder="1" applyAlignment="1">
      <alignment horizontal="center" vertical="center"/>
    </xf>
    <xf numFmtId="0" fontId="22" fillId="0" borderId="3" xfId="2" applyFont="1" applyBorder="1" applyAlignment="1">
      <alignment horizontal="center" vertical="center"/>
    </xf>
    <xf numFmtId="0" fontId="22" fillId="0" borderId="4" xfId="2" applyFont="1" applyBorder="1" applyAlignment="1">
      <alignment horizontal="center" vertical="center"/>
    </xf>
    <xf numFmtId="0" fontId="22" fillId="0" borderId="5" xfId="2" applyFont="1" applyBorder="1" applyAlignment="1">
      <alignment horizontal="center" vertical="center"/>
    </xf>
    <xf numFmtId="0" fontId="22" fillId="0" borderId="0" xfId="2" applyFont="1" applyAlignment="1">
      <alignment horizontal="center" vertical="center"/>
    </xf>
    <xf numFmtId="0" fontId="22" fillId="0" borderId="6" xfId="2" applyFont="1" applyBorder="1" applyAlignment="1">
      <alignment horizontal="center" vertical="center"/>
    </xf>
    <xf numFmtId="0" fontId="22" fillId="0" borderId="7" xfId="2" applyFont="1" applyBorder="1" applyAlignment="1">
      <alignment horizontal="center" vertical="center"/>
    </xf>
    <xf numFmtId="0" fontId="22" fillId="0" borderId="8" xfId="2" applyFont="1" applyBorder="1" applyAlignment="1">
      <alignment horizontal="center" vertical="center"/>
    </xf>
    <xf numFmtId="0" fontId="22" fillId="0" borderId="9" xfId="2" applyFont="1" applyBorder="1" applyAlignment="1">
      <alignment horizontal="center" vertical="center"/>
    </xf>
    <xf numFmtId="0" fontId="17" fillId="0" borderId="2" xfId="2" applyFont="1" applyBorder="1" applyAlignment="1">
      <alignment horizontal="center" vertical="center" wrapText="1"/>
    </xf>
    <xf numFmtId="0" fontId="17" fillId="0" borderId="3" xfId="2" applyFont="1" applyBorder="1" applyAlignment="1">
      <alignment horizontal="center" vertical="center" wrapText="1"/>
    </xf>
    <xf numFmtId="0" fontId="17" fillId="0" borderId="4" xfId="2" applyFont="1" applyBorder="1" applyAlignment="1">
      <alignment horizontal="center" vertical="center" wrapText="1"/>
    </xf>
    <xf numFmtId="0" fontId="17" fillId="0" borderId="7" xfId="2" applyFont="1" applyBorder="1" applyAlignment="1">
      <alignment horizontal="center" vertical="center" wrapText="1"/>
    </xf>
    <xf numFmtId="0" fontId="17" fillId="0" borderId="8" xfId="2" applyFont="1" applyBorder="1" applyAlignment="1">
      <alignment horizontal="center" vertical="center" wrapText="1"/>
    </xf>
    <xf numFmtId="0" fontId="17" fillId="0" borderId="9" xfId="2" applyFont="1" applyBorder="1" applyAlignment="1">
      <alignment horizontal="center" vertical="center" wrapText="1"/>
    </xf>
    <xf numFmtId="0" fontId="24" fillId="15" borderId="5" xfId="2" applyFont="1" applyFill="1" applyBorder="1" applyAlignment="1">
      <alignment horizontal="left"/>
    </xf>
    <xf numFmtId="0" fontId="24" fillId="15" borderId="0" xfId="2" applyFont="1" applyFill="1" applyAlignment="1">
      <alignment horizontal="left"/>
    </xf>
    <xf numFmtId="0" fontId="25" fillId="16" borderId="5" xfId="2" applyFont="1" applyFill="1" applyBorder="1" applyAlignment="1">
      <alignment horizontal="left" wrapText="1"/>
    </xf>
    <xf numFmtId="0" fontId="25" fillId="16" borderId="0" xfId="2" applyFont="1" applyFill="1" applyAlignment="1">
      <alignment horizontal="left" wrapText="1"/>
    </xf>
    <xf numFmtId="0" fontId="17" fillId="0" borderId="2" xfId="2" applyFont="1" applyBorder="1" applyAlignment="1">
      <alignment horizontal="center" vertical="center"/>
    </xf>
    <xf numFmtId="0" fontId="17" fillId="0" borderId="3" xfId="2" applyFont="1" applyBorder="1" applyAlignment="1">
      <alignment horizontal="center" vertical="center"/>
    </xf>
    <xf numFmtId="0" fontId="17" fillId="0" borderId="4" xfId="2" applyFont="1" applyBorder="1" applyAlignment="1">
      <alignment horizontal="center" vertical="center"/>
    </xf>
    <xf numFmtId="0" fontId="17" fillId="0" borderId="7" xfId="2" applyFont="1" applyBorder="1" applyAlignment="1">
      <alignment horizontal="center" vertical="center"/>
    </xf>
    <xf numFmtId="0" fontId="17" fillId="0" borderId="8" xfId="2" applyFont="1" applyBorder="1" applyAlignment="1">
      <alignment horizontal="center" vertical="center"/>
    </xf>
    <xf numFmtId="0" fontId="17" fillId="0" borderId="9" xfId="2" applyFont="1" applyBorder="1" applyAlignment="1">
      <alignment horizontal="center" vertical="center"/>
    </xf>
    <xf numFmtId="0" fontId="24" fillId="12" borderId="5" xfId="2" applyFont="1" applyFill="1" applyBorder="1" applyAlignment="1">
      <alignment horizontal="left"/>
    </xf>
    <xf numFmtId="0" fontId="24" fillId="12" borderId="0" xfId="2" applyFont="1" applyFill="1" applyAlignment="1">
      <alignment horizontal="left"/>
    </xf>
    <xf numFmtId="9" fontId="29" fillId="18" borderId="0" xfId="2" applyNumberFormat="1" applyFont="1" applyFill="1" applyAlignment="1">
      <alignment horizontal="left" vertical="center"/>
    </xf>
    <xf numFmtId="46" fontId="30" fillId="19" borderId="5" xfId="2" quotePrefix="1" applyNumberFormat="1" applyFont="1" applyFill="1" applyBorder="1" applyAlignment="1">
      <alignment horizontal="left"/>
    </xf>
    <xf numFmtId="0" fontId="30" fillId="19" borderId="0" xfId="2" applyFont="1" applyFill="1" applyAlignment="1">
      <alignment horizontal="left"/>
    </xf>
    <xf numFmtId="0" fontId="31" fillId="7" borderId="0" xfId="2" applyFont="1" applyFill="1" applyAlignment="1">
      <alignment horizontal="left"/>
    </xf>
    <xf numFmtId="0" fontId="30" fillId="7" borderId="0" xfId="2" applyFont="1" applyFill="1" applyAlignment="1">
      <alignment horizontal="left"/>
    </xf>
    <xf numFmtId="0" fontId="27" fillId="12" borderId="5" xfId="2" applyFont="1" applyFill="1" applyBorder="1" applyAlignment="1">
      <alignment horizontal="left"/>
    </xf>
    <xf numFmtId="46" fontId="24" fillId="15" borderId="5" xfId="2" quotePrefix="1" applyNumberFormat="1" applyFont="1" applyFill="1" applyBorder="1" applyAlignment="1">
      <alignment horizontal="left"/>
    </xf>
    <xf numFmtId="0" fontId="25" fillId="12" borderId="0" xfId="2" applyFont="1" applyFill="1" applyAlignment="1">
      <alignment horizontal="left" wrapText="1"/>
    </xf>
    <xf numFmtId="0" fontId="27" fillId="15" borderId="5" xfId="2" applyFont="1" applyFill="1" applyBorder="1" applyAlignment="1">
      <alignment horizontal="left"/>
    </xf>
    <xf numFmtId="0" fontId="27" fillId="12" borderId="0" xfId="2" applyFont="1" applyFill="1" applyAlignment="1">
      <alignment horizontal="left"/>
    </xf>
    <xf numFmtId="0" fontId="23" fillId="0" borderId="0" xfId="2" applyFont="1" applyAlignment="1">
      <alignment horizontal="center" wrapText="1"/>
    </xf>
    <xf numFmtId="0" fontId="17" fillId="0" borderId="5" xfId="2" applyFont="1" applyBorder="1" applyAlignment="1">
      <alignment horizontal="center" vertical="center" wrapText="1"/>
    </xf>
    <xf numFmtId="0" fontId="17" fillId="0" borderId="0" xfId="2" applyFont="1" applyAlignment="1">
      <alignment horizontal="center" vertical="center" wrapText="1"/>
    </xf>
    <xf numFmtId="0" fontId="17" fillId="0" borderId="6" xfId="2" applyFont="1" applyBorder="1" applyAlignment="1">
      <alignment horizontal="center" vertical="center" wrapText="1"/>
    </xf>
    <xf numFmtId="0" fontId="41" fillId="0" borderId="0" xfId="2" applyFont="1" applyAlignment="1">
      <alignment horizontal="left" wrapText="1"/>
    </xf>
    <xf numFmtId="0" fontId="3" fillId="0" borderId="0" xfId="2" applyAlignment="1">
      <alignment horizontal="center" wrapText="1"/>
    </xf>
    <xf numFmtId="0" fontId="23" fillId="0" borderId="0" xfId="2" applyFont="1" applyAlignment="1">
      <alignment horizontal="center" vertical="center" wrapText="1"/>
    </xf>
    <xf numFmtId="0" fontId="40" fillId="7" borderId="5" xfId="2" applyFont="1" applyFill="1" applyBorder="1" applyAlignment="1">
      <alignment horizontal="left" vertical="center" wrapText="1"/>
    </xf>
    <xf numFmtId="0" fontId="40" fillId="7" borderId="0" xfId="2" applyFont="1" applyFill="1" applyAlignment="1">
      <alignment horizontal="left" vertical="center" wrapText="1"/>
    </xf>
  </cellXfs>
  <cellStyles count="9">
    <cellStyle name="Comma 2" xfId="4" xr:uid="{2A7DAC0D-BDBB-4B82-A715-1AF52D7BCC9A}"/>
    <cellStyle name="Comma 3" xfId="7" xr:uid="{95D4773E-C739-459F-A82A-84FAA517C9C3}"/>
    <cellStyle name="Normal" xfId="0" builtinId="0"/>
    <cellStyle name="Normal 2" xfId="2" xr:uid="{9405A4BB-55B9-46E8-ACB1-75C2833E046A}"/>
    <cellStyle name="Normal 3" xfId="6" xr:uid="{4316AEE4-12CE-4990-BF77-23C8ACE908DC}"/>
    <cellStyle name="Normal 4" xfId="3" xr:uid="{B4030722-A7AB-41B1-91A0-7C3AB1FDC692}"/>
    <cellStyle name="Percent" xfId="1" builtinId="5"/>
    <cellStyle name="Percent 2" xfId="5" xr:uid="{5742B4D1-8935-4F51-B087-E6132075A8A9}"/>
    <cellStyle name="Percent 3" xfId="8" xr:uid="{1CDE01C3-C955-48D1-81D9-A86F11EC362C}"/>
  </cellStyles>
  <dxfs count="0"/>
  <tableStyles count="0" defaultTableStyle="TableStyleMedium2" defaultPivotStyle="PivotStyleLight16"/>
  <colors>
    <mruColors>
      <color rgb="FF99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81643</xdr:colOff>
      <xdr:row>78</xdr:row>
      <xdr:rowOff>27215</xdr:rowOff>
    </xdr:from>
    <xdr:to>
      <xdr:col>4</xdr:col>
      <xdr:colOff>667428</xdr:colOff>
      <xdr:row>82</xdr:row>
      <xdr:rowOff>113058</xdr:rowOff>
    </xdr:to>
    <xdr:pic>
      <xdr:nvPicPr>
        <xdr:cNvPr id="2" name="Picture 1">
          <a:extLst>
            <a:ext uri="{FF2B5EF4-FFF2-40B4-BE49-F238E27FC236}">
              <a16:creationId xmlns:a16="http://schemas.microsoft.com/office/drawing/2014/main" id="{6C4ADD1F-1C29-4CA4-BECB-A0189D1D115F}"/>
            </a:ext>
          </a:extLst>
        </xdr:cNvPr>
        <xdr:cNvPicPr>
          <a:picLocks noChangeAspect="1"/>
        </xdr:cNvPicPr>
      </xdr:nvPicPr>
      <xdr:blipFill>
        <a:blip xmlns:r="http://schemas.openxmlformats.org/officeDocument/2006/relationships" r:embed="rId1"/>
        <a:stretch>
          <a:fillRect/>
        </a:stretch>
      </xdr:blipFill>
      <xdr:spPr>
        <a:xfrm>
          <a:off x="919843" y="17181740"/>
          <a:ext cx="4862510" cy="847843"/>
        </a:xfrm>
        <a:prstGeom prst="rect">
          <a:avLst/>
        </a:prstGeom>
      </xdr:spPr>
    </xdr:pic>
    <xdr:clientData/>
  </xdr:twoCellAnchor>
  <xdr:twoCellAnchor editAs="oneCell">
    <xdr:from>
      <xdr:col>4</xdr:col>
      <xdr:colOff>721178</xdr:colOff>
      <xdr:row>78</xdr:row>
      <xdr:rowOff>40822</xdr:rowOff>
    </xdr:from>
    <xdr:to>
      <xdr:col>19</xdr:col>
      <xdr:colOff>755672</xdr:colOff>
      <xdr:row>82</xdr:row>
      <xdr:rowOff>107613</xdr:rowOff>
    </xdr:to>
    <xdr:pic>
      <xdr:nvPicPr>
        <xdr:cNvPr id="3" name="Picture 2">
          <a:extLst>
            <a:ext uri="{FF2B5EF4-FFF2-40B4-BE49-F238E27FC236}">
              <a16:creationId xmlns:a16="http://schemas.microsoft.com/office/drawing/2014/main" id="{9DB34916-A82C-459E-AAA5-F258547EA1C6}"/>
            </a:ext>
          </a:extLst>
        </xdr:cNvPr>
        <xdr:cNvPicPr>
          <a:picLocks noChangeAspect="1"/>
        </xdr:cNvPicPr>
      </xdr:nvPicPr>
      <xdr:blipFill>
        <a:blip xmlns:r="http://schemas.openxmlformats.org/officeDocument/2006/relationships" r:embed="rId2"/>
        <a:stretch>
          <a:fillRect/>
        </a:stretch>
      </xdr:blipFill>
      <xdr:spPr>
        <a:xfrm>
          <a:off x="5836103" y="17195347"/>
          <a:ext cx="13140894" cy="8287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22411</xdr:colOff>
      <xdr:row>68</xdr:row>
      <xdr:rowOff>145676</xdr:rowOff>
    </xdr:from>
    <xdr:to>
      <xdr:col>4</xdr:col>
      <xdr:colOff>900019</xdr:colOff>
      <xdr:row>85</xdr:row>
      <xdr:rowOff>145676</xdr:rowOff>
    </xdr:to>
    <xdr:pic>
      <xdr:nvPicPr>
        <xdr:cNvPr id="2" name="Picture 1">
          <a:extLst>
            <a:ext uri="{FF2B5EF4-FFF2-40B4-BE49-F238E27FC236}">
              <a16:creationId xmlns:a16="http://schemas.microsoft.com/office/drawing/2014/main" id="{7DF573B8-463A-4931-97C4-A6453D33B5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061" y="13937876"/>
          <a:ext cx="4811433" cy="2752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392206</xdr:colOff>
      <xdr:row>67</xdr:row>
      <xdr:rowOff>0</xdr:rowOff>
    </xdr:from>
    <xdr:to>
      <xdr:col>2</xdr:col>
      <xdr:colOff>1335181</xdr:colOff>
      <xdr:row>68</xdr:row>
      <xdr:rowOff>19050</xdr:rowOff>
    </xdr:to>
    <xdr:pic>
      <xdr:nvPicPr>
        <xdr:cNvPr id="3" name="Picture 2">
          <a:extLst>
            <a:ext uri="{FF2B5EF4-FFF2-40B4-BE49-F238E27FC236}">
              <a16:creationId xmlns:a16="http://schemas.microsoft.com/office/drawing/2014/main" id="{54690290-9525-4624-ABA5-3D8A47DD03CF}"/>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1031" y="13630275"/>
          <a:ext cx="9429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ehrdad/Desktop/2621%20Ibri%20STP/20250203_Water_Demand_WW_Generation_V22.xlsx" TargetMode="External"/><Relationship Id="rId2" Type="http://schemas.openxmlformats.org/officeDocument/2006/relationships/externalLinkPath" Target="file:///C:\Users\Mehrdad\Desktop\2621%20Ibri%20STP\20250203_Water_Demand_WW_Generation_V22.xlsx" TargetMode="External"/><Relationship Id="rId1" Type="http://schemas.openxmlformats.org/officeDocument/2006/relationships/externalLinkPath" Target="/Users/Mehrdad/Desktop/2621%20Ibri%20STP/20250203_Water_Demand_WW_Generation_V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 Me} - Manual"/>
      <sheetName val="Pop_Wilayat"/>
      <sheetName val="Pop_Settlements"/>
      <sheetName val="W_Pop_Connected "/>
      <sheetName val="WW_Pop_Zoning"/>
      <sheetName val="WW_Pop Connected"/>
      <sheetName val="WW_Pop_Sub-Catchment"/>
      <sheetName val="WW_Pop_Catchment"/>
      <sheetName val="NWS_Input"/>
      <sheetName val="Water Demand Criteria"/>
      <sheetName val="Consumption Only"/>
      <sheetName val="Consump + Con Rate"/>
      <sheetName val="Tankers"/>
      <sheetName val="Cons+PF"/>
      <sheetName val="Cons+PF+HF"/>
      <sheetName val="Wilayat - Water Losses"/>
      <sheetName val="Settlement - Water Loss"/>
      <sheetName val="Total Demand"/>
      <sheetName val="Total Demand (PF)"/>
      <sheetName val="Total Demand (PF &amp; HF)"/>
      <sheetName val="Wastewater Criteria"/>
      <sheetName val="STP_List"/>
      <sheetName val="WW_Generation"/>
      <sheetName val="Zoning_Settlement"/>
      <sheetName val="WWG_Network"/>
      <sheetName val="WWG_Tanker"/>
      <sheetName val="WWG_Zoning"/>
      <sheetName val="Sub_Catchment_Volume"/>
      <sheetName val="Catchment_Volume"/>
      <sheetName val="STP_Design_Capacity"/>
      <sheetName val="TE_Produced"/>
      <sheetName val="Sludge_Produced"/>
    </sheetNames>
    <sheetDataSet>
      <sheetData sheetId="0"/>
      <sheetData sheetId="1">
        <row r="60">
          <cell r="C60" t="str">
            <v>Muscat</v>
          </cell>
          <cell r="D60">
            <v>1355840</v>
          </cell>
          <cell r="E60">
            <v>1406466</v>
          </cell>
          <cell r="F60">
            <v>1458344</v>
          </cell>
        </row>
        <row r="61">
          <cell r="C61" t="str">
            <v>Musandam</v>
          </cell>
          <cell r="D61">
            <v>50820</v>
          </cell>
          <cell r="E61">
            <v>52652</v>
          </cell>
          <cell r="F61">
            <v>54467</v>
          </cell>
        </row>
        <row r="62">
          <cell r="C62" t="str">
            <v>Al Buraymi</v>
          </cell>
          <cell r="D62">
            <v>126872</v>
          </cell>
          <cell r="E62">
            <v>131847</v>
          </cell>
          <cell r="F62">
            <v>136937</v>
          </cell>
        </row>
        <row r="63">
          <cell r="C63" t="str">
            <v>Ad Dakhliyah</v>
          </cell>
          <cell r="D63">
            <v>493416</v>
          </cell>
          <cell r="E63">
            <v>507653</v>
          </cell>
          <cell r="F63">
            <v>522061</v>
          </cell>
        </row>
        <row r="64">
          <cell r="C64" t="str">
            <v>Al Batinah North</v>
          </cell>
          <cell r="D64">
            <v>811825</v>
          </cell>
          <cell r="E64">
            <v>838005</v>
          </cell>
          <cell r="F64">
            <v>864530</v>
          </cell>
        </row>
        <row r="65">
          <cell r="C65" t="str">
            <v>Al Batinah South</v>
          </cell>
          <cell r="D65">
            <v>482029</v>
          </cell>
          <cell r="E65">
            <v>497849</v>
          </cell>
          <cell r="F65">
            <v>513921</v>
          </cell>
        </row>
        <row r="66">
          <cell r="C66" t="str">
            <v>Ash Sharqiyah South</v>
          </cell>
          <cell r="D66">
            <v>326445</v>
          </cell>
          <cell r="E66">
            <v>336948</v>
          </cell>
          <cell r="F66">
            <v>347589</v>
          </cell>
        </row>
        <row r="67">
          <cell r="C67" t="str">
            <v>Ash Sharqiyah North</v>
          </cell>
          <cell r="D67">
            <v>281078</v>
          </cell>
          <cell r="E67">
            <v>290026</v>
          </cell>
          <cell r="F67">
            <v>299070</v>
          </cell>
        </row>
        <row r="68">
          <cell r="C68" t="str">
            <v>Adh Dhahirah</v>
          </cell>
          <cell r="D68">
            <v>219725</v>
          </cell>
          <cell r="E68">
            <v>226175</v>
          </cell>
          <cell r="F68">
            <v>232647</v>
          </cell>
        </row>
        <row r="69">
          <cell r="C69" t="str">
            <v>Al Wusta</v>
          </cell>
          <cell r="D69">
            <v>54312</v>
          </cell>
          <cell r="E69">
            <v>56251</v>
          </cell>
          <cell r="F69">
            <v>58207</v>
          </cell>
        </row>
        <row r="70">
          <cell r="C70" t="str">
            <v>TOTAL NWS</v>
          </cell>
          <cell r="D70">
            <v>4202362</v>
          </cell>
          <cell r="E70">
            <v>4343872</v>
          </cell>
          <cell r="F70">
            <v>4487773</v>
          </cell>
        </row>
        <row r="78">
          <cell r="B78" t="str">
            <v>Muscat</v>
          </cell>
          <cell r="C78">
            <v>4.2296488499046863</v>
          </cell>
          <cell r="D78">
            <v>4.1739201075512034</v>
          </cell>
          <cell r="E78">
            <v>4.363170216872871</v>
          </cell>
          <cell r="F78">
            <v>4.4420710216262904</v>
          </cell>
        </row>
        <row r="79">
          <cell r="B79" t="str">
            <v>Musandam</v>
          </cell>
          <cell r="C79">
            <v>4.1680400985472774</v>
          </cell>
          <cell r="D79">
            <v>4.1511861009021045</v>
          </cell>
          <cell r="E79">
            <v>4.4394027858870633</v>
          </cell>
          <cell r="F79">
            <v>4.6868553511015758</v>
          </cell>
        </row>
        <row r="80">
          <cell r="B80" t="str">
            <v>Al Buraymi</v>
          </cell>
          <cell r="C80">
            <v>4.5282920663246342</v>
          </cell>
          <cell r="D80">
            <v>4.2729245987972817</v>
          </cell>
          <cell r="E80">
            <v>4.3849211884502717</v>
          </cell>
          <cell r="F80">
            <v>4.5077501985017436</v>
          </cell>
        </row>
        <row r="81">
          <cell r="B81" t="str">
            <v>Ad Dakhliyah</v>
          </cell>
          <cell r="C81">
            <v>4.7049320564000707</v>
          </cell>
          <cell r="D81">
            <v>4.6334114210381552</v>
          </cell>
          <cell r="E81">
            <v>4.9992693276877969</v>
          </cell>
          <cell r="F81">
            <v>5.144214489911092</v>
          </cell>
        </row>
        <row r="82">
          <cell r="B82" t="str">
            <v>Al Batinah North</v>
          </cell>
          <cell r="C82">
            <v>5.3914032279120256</v>
          </cell>
          <cell r="D82">
            <v>4.9985546136105121</v>
          </cell>
          <cell r="E82">
            <v>5.2486697965571203</v>
          </cell>
          <cell r="F82">
            <v>5.3503096318238539</v>
          </cell>
        </row>
        <row r="83">
          <cell r="B83" t="str">
            <v>Al Batinah South</v>
          </cell>
          <cell r="C83">
            <v>4.6713827011840259</v>
          </cell>
          <cell r="D83">
            <v>4.5899755076851871</v>
          </cell>
          <cell r="E83">
            <v>4.7952902407642251</v>
          </cell>
          <cell r="F83">
            <v>4.897673499806948</v>
          </cell>
        </row>
        <row r="84">
          <cell r="B84" t="str">
            <v>Ash Sharqiyah South</v>
          </cell>
          <cell r="C84">
            <v>4.945054083712181</v>
          </cell>
          <cell r="D84">
            <v>4.8918168999135752</v>
          </cell>
          <cell r="E84">
            <v>5.1974024430112644</v>
          </cell>
          <cell r="F84">
            <v>5.3825965633720072</v>
          </cell>
        </row>
        <row r="85">
          <cell r="B85" t="str">
            <v>Ash Sharqiyah North</v>
          </cell>
          <cell r="C85">
            <v>4.5168162180126288</v>
          </cell>
          <cell r="D85">
            <v>4.4029654142102137</v>
          </cell>
          <cell r="E85">
            <v>4.7398001730784358</v>
          </cell>
          <cell r="F85">
            <v>4.9028492159980051</v>
          </cell>
        </row>
        <row r="86">
          <cell r="B86" t="str">
            <v>Adh Dhahirah</v>
          </cell>
          <cell r="C86">
            <v>4.8785866404085274</v>
          </cell>
          <cell r="D86">
            <v>4.651393481341521</v>
          </cell>
          <cell r="E86">
            <v>4.8657486731580928</v>
          </cell>
          <cell r="F86">
            <v>4.8681211924952947</v>
          </cell>
        </row>
        <row r="87">
          <cell r="B87" t="str">
            <v>Al Wusta</v>
          </cell>
          <cell r="C87">
            <v>6.7142124166239094</v>
          </cell>
          <cell r="D87">
            <v>5.880836468245187</v>
          </cell>
          <cell r="E87">
            <v>6.3223474378056563</v>
          </cell>
          <cell r="F87">
            <v>6.0884183059012447</v>
          </cell>
        </row>
        <row r="88">
          <cell r="B88" t="str">
            <v>TOTAL NWS</v>
          </cell>
          <cell r="C88">
            <v>4.6140735420381747</v>
          </cell>
          <cell r="D88">
            <v>4.4900617459036063</v>
          </cell>
          <cell r="E88">
            <v>4.745158761835607</v>
          </cell>
          <cell r="F88">
            <v>4.8540177468142467</v>
          </cell>
        </row>
      </sheetData>
      <sheetData sheetId="2"/>
      <sheetData sheetId="3"/>
      <sheetData sheetId="4"/>
      <sheetData sheetId="5"/>
      <sheetData sheetId="6"/>
      <sheetData sheetId="7"/>
      <sheetData sheetId="8">
        <row r="8">
          <cell r="B8" t="str">
            <v>Muscat</v>
          </cell>
          <cell r="C8">
            <v>74325664.61864984</v>
          </cell>
          <cell r="D8">
            <v>73076861.835168794</v>
          </cell>
          <cell r="E8">
            <v>75662598.821881086</v>
          </cell>
        </row>
        <row r="9">
          <cell r="B9" t="str">
            <v>Musandam</v>
          </cell>
          <cell r="C9">
            <v>2708202.3571322644</v>
          </cell>
          <cell r="D9">
            <v>2227147.7367760856</v>
          </cell>
          <cell r="E9">
            <v>2309328.9333337271</v>
          </cell>
        </row>
        <row r="10">
          <cell r="B10" t="str">
            <v>Al Buraymi</v>
          </cell>
          <cell r="C10">
            <v>5615835.5699549215</v>
          </cell>
          <cell r="D10">
            <v>4705629.9965688214</v>
          </cell>
          <cell r="E10">
            <v>4596493.9628277048</v>
          </cell>
        </row>
        <row r="11">
          <cell r="B11" t="str">
            <v>Ad Dakhliyah</v>
          </cell>
          <cell r="C11">
            <v>20868655.350902922</v>
          </cell>
          <cell r="D11">
            <v>17173029.389012873</v>
          </cell>
          <cell r="E11">
            <v>16280277.193426264</v>
          </cell>
        </row>
        <row r="12">
          <cell r="B12" t="str">
            <v>Al Batinah North</v>
          </cell>
          <cell r="C12">
            <v>29613525.125294354</v>
          </cell>
          <cell r="D12">
            <v>24664771.046002708</v>
          </cell>
          <cell r="E12">
            <v>22909673.69599485</v>
          </cell>
        </row>
        <row r="13">
          <cell r="B13" t="str">
            <v>Al Batinah South</v>
          </cell>
          <cell r="C13">
            <v>18372815.217490032</v>
          </cell>
          <cell r="D13">
            <v>16559785.225847814</v>
          </cell>
          <cell r="E13">
            <v>16644693.764885981</v>
          </cell>
        </row>
        <row r="14">
          <cell r="B14" t="str">
            <v>Ash Sharqiyah South</v>
          </cell>
          <cell r="C14">
            <v>15308717.252003757</v>
          </cell>
          <cell r="D14">
            <v>12057290.248654183</v>
          </cell>
          <cell r="E14">
            <v>11915408.129536789</v>
          </cell>
        </row>
        <row r="15">
          <cell r="B15" t="str">
            <v>Ash Sharqiyah North</v>
          </cell>
          <cell r="C15">
            <v>6601424.0016474929</v>
          </cell>
          <cell r="D15">
            <v>5721729.2353809318</v>
          </cell>
          <cell r="E15">
            <v>5758914.3222783832</v>
          </cell>
        </row>
        <row r="16">
          <cell r="B16" t="str">
            <v>Adh Dhahirah</v>
          </cell>
          <cell r="C16">
            <v>7373389.8143432997</v>
          </cell>
          <cell r="D16">
            <v>6020534.7084321482</v>
          </cell>
          <cell r="E16">
            <v>6028056.8904050458</v>
          </cell>
        </row>
        <row r="17">
          <cell r="B17" t="str">
            <v>Al Wusta</v>
          </cell>
          <cell r="C17">
            <v>439691.83994275675</v>
          </cell>
          <cell r="D17">
            <v>340140.20624014596</v>
          </cell>
          <cell r="E17">
            <v>389084.11884048401</v>
          </cell>
        </row>
        <row r="18">
          <cell r="B18" t="str">
            <v>TOTAL NWS</v>
          </cell>
          <cell r="C18">
            <v>181227921.14736167</v>
          </cell>
          <cell r="D18">
            <v>162546919.62808448</v>
          </cell>
          <cell r="E18">
            <v>162494529.83341032</v>
          </cell>
        </row>
        <row r="22">
          <cell r="B22" t="str">
            <v>Muscat</v>
          </cell>
          <cell r="D22">
            <v>27090948.393094636</v>
          </cell>
          <cell r="E22">
            <v>29134619.872119885</v>
          </cell>
        </row>
        <row r="23">
          <cell r="B23" t="str">
            <v>Musandam</v>
          </cell>
          <cell r="D23">
            <v>677484.68541966868</v>
          </cell>
          <cell r="E23">
            <v>858122.93513688713</v>
          </cell>
        </row>
        <row r="24">
          <cell r="B24" t="str">
            <v>Al Buraymi</v>
          </cell>
          <cell r="D24">
            <v>915688.75019185583</v>
          </cell>
          <cell r="E24">
            <v>958724.06591828866</v>
          </cell>
        </row>
        <row r="25">
          <cell r="B25" t="str">
            <v>Ad Dakhliyah</v>
          </cell>
          <cell r="D25">
            <v>4574565.8601063732</v>
          </cell>
          <cell r="E25">
            <v>5274879.4763919739</v>
          </cell>
        </row>
        <row r="26">
          <cell r="B26" t="str">
            <v>Al Batinah North</v>
          </cell>
          <cell r="D26">
            <v>2775767.3964494923</v>
          </cell>
          <cell r="E26">
            <v>3068122.8859511781</v>
          </cell>
        </row>
        <row r="27">
          <cell r="B27" t="str">
            <v>Al Batinah South</v>
          </cell>
          <cell r="D27">
            <v>1586247.7456191001</v>
          </cell>
          <cell r="E27">
            <v>1796603.4567430145</v>
          </cell>
        </row>
        <row r="28">
          <cell r="B28" t="str">
            <v>Ash Sharqiyah South</v>
          </cell>
          <cell r="D28">
            <v>1374558.1834361525</v>
          </cell>
          <cell r="E28">
            <v>1361280.7219736583</v>
          </cell>
        </row>
        <row r="29">
          <cell r="B29" t="str">
            <v>Ash Sharqiyah North</v>
          </cell>
          <cell r="D29">
            <v>724574.47390567325</v>
          </cell>
          <cell r="E29">
            <v>889388.17983984202</v>
          </cell>
        </row>
        <row r="30">
          <cell r="B30" t="str">
            <v>Adh Dhahirah</v>
          </cell>
          <cell r="D30">
            <v>815494.85553986405</v>
          </cell>
          <cell r="E30">
            <v>872978.6827928517</v>
          </cell>
        </row>
        <row r="31">
          <cell r="B31" t="str">
            <v>Al Wusta</v>
          </cell>
          <cell r="D31">
            <v>-32351.805624325927</v>
          </cell>
          <cell r="E31">
            <v>80987.677710546297</v>
          </cell>
        </row>
        <row r="32">
          <cell r="B32" t="str">
            <v>TOTAL NWS</v>
          </cell>
          <cell r="D32">
            <v>40502978.538138494</v>
          </cell>
          <cell r="E32">
            <v>44295707.954578124</v>
          </cell>
        </row>
        <row r="36">
          <cell r="B36" t="str">
            <v>Muscat</v>
          </cell>
          <cell r="D36">
            <v>16293709.10803825</v>
          </cell>
          <cell r="E36">
            <v>17595579.671492785</v>
          </cell>
        </row>
        <row r="37">
          <cell r="B37" t="str">
            <v>Musandam</v>
          </cell>
          <cell r="D37">
            <v>311609.44780408463</v>
          </cell>
          <cell r="E37">
            <v>269044.09909663943</v>
          </cell>
        </row>
        <row r="38">
          <cell r="B38" t="str">
            <v>Al Buraymi</v>
          </cell>
          <cell r="D38">
            <v>765893.57047158375</v>
          </cell>
          <cell r="E38">
            <v>665267.27004499873</v>
          </cell>
        </row>
        <row r="39">
          <cell r="B39" t="str">
            <v>Ad Dakhliyah</v>
          </cell>
          <cell r="D39">
            <v>1273811.0520231463</v>
          </cell>
          <cell r="E39">
            <v>1177861.5199470439</v>
          </cell>
        </row>
        <row r="40">
          <cell r="B40" t="str">
            <v>Al Batinah North</v>
          </cell>
          <cell r="D40">
            <v>7653699.2737402916</v>
          </cell>
          <cell r="E40">
            <v>2808777.7568154885</v>
          </cell>
        </row>
        <row r="41">
          <cell r="B41" t="str">
            <v>Al Batinah South</v>
          </cell>
          <cell r="D41">
            <v>1146369.7688543508</v>
          </cell>
          <cell r="E41">
            <v>1829497.5336388063</v>
          </cell>
        </row>
        <row r="42">
          <cell r="B42" t="str">
            <v>Ash Sharqiyah South</v>
          </cell>
          <cell r="D42">
            <v>1412039.3965681121</v>
          </cell>
          <cell r="E42">
            <v>1161696.9090569015</v>
          </cell>
        </row>
        <row r="43">
          <cell r="B43" t="str">
            <v>Ash Sharqiyah North</v>
          </cell>
          <cell r="D43">
            <v>260929.78846523032</v>
          </cell>
          <cell r="E43">
            <v>248773.67837815138</v>
          </cell>
        </row>
        <row r="44">
          <cell r="B44" t="str">
            <v>Adh Dhahirah</v>
          </cell>
          <cell r="D44">
            <v>1197131.2662024619</v>
          </cell>
          <cell r="E44">
            <v>1430581.9103341154</v>
          </cell>
        </row>
        <row r="45">
          <cell r="B45" t="str">
            <v>Al Wusta</v>
          </cell>
          <cell r="D45">
            <v>-89252.958011059178</v>
          </cell>
          <cell r="E45">
            <v>42379.999374524807</v>
          </cell>
        </row>
        <row r="46">
          <cell r="B46" t="str">
            <v>TOTAL NWS</v>
          </cell>
          <cell r="D46">
            <v>30225939.714156449</v>
          </cell>
          <cell r="E46">
            <v>27229460.348179452</v>
          </cell>
        </row>
        <row r="51">
          <cell r="B51" t="str">
            <v>Muscat</v>
          </cell>
          <cell r="C51">
            <v>277482</v>
          </cell>
          <cell r="D51">
            <v>283130</v>
          </cell>
          <cell r="E51">
            <v>291186</v>
          </cell>
        </row>
        <row r="52">
          <cell r="B52" t="str">
            <v>Musandam</v>
          </cell>
          <cell r="C52">
            <v>9237</v>
          </cell>
          <cell r="D52">
            <v>9359</v>
          </cell>
          <cell r="E52">
            <v>9513</v>
          </cell>
        </row>
        <row r="53">
          <cell r="B53" t="str">
            <v>Al Buraymi</v>
          </cell>
          <cell r="C53">
            <v>19922</v>
          </cell>
          <cell r="D53">
            <v>20373</v>
          </cell>
          <cell r="E53">
            <v>20980</v>
          </cell>
        </row>
        <row r="54">
          <cell r="B54" t="str">
            <v>Ad Dakhliyah</v>
          </cell>
          <cell r="C54">
            <v>59690</v>
          </cell>
          <cell r="D54">
            <v>61695</v>
          </cell>
          <cell r="E54">
            <v>63061</v>
          </cell>
        </row>
        <row r="55">
          <cell r="B55" t="str">
            <v>Al Batinah North</v>
          </cell>
          <cell r="C55">
            <v>95770</v>
          </cell>
          <cell r="D55">
            <v>98068</v>
          </cell>
          <cell r="E55">
            <v>99812</v>
          </cell>
        </row>
        <row r="56">
          <cell r="B56" t="str">
            <v>Al Batinah South</v>
          </cell>
          <cell r="C56">
            <v>57857</v>
          </cell>
          <cell r="D56">
            <v>61662</v>
          </cell>
          <cell r="E56">
            <v>65026</v>
          </cell>
        </row>
        <row r="57">
          <cell r="B57" t="str">
            <v>Ash Sharqiyah South</v>
          </cell>
          <cell r="C57">
            <v>48714</v>
          </cell>
          <cell r="D57">
            <v>50058</v>
          </cell>
          <cell r="E57">
            <v>51791</v>
          </cell>
        </row>
        <row r="58">
          <cell r="B58" t="str">
            <v>Ash Sharqiyah North</v>
          </cell>
          <cell r="C58">
            <v>20777</v>
          </cell>
          <cell r="D58">
            <v>24810</v>
          </cell>
          <cell r="E58">
            <v>25898</v>
          </cell>
        </row>
        <row r="59">
          <cell r="B59" t="str">
            <v>Adh Dhahirah</v>
          </cell>
          <cell r="C59">
            <v>22050</v>
          </cell>
          <cell r="D59">
            <v>22687</v>
          </cell>
          <cell r="E59">
            <v>23540</v>
          </cell>
        </row>
        <row r="60">
          <cell r="B60" t="str">
            <v>Al Wusta</v>
          </cell>
          <cell r="C60">
            <v>1507</v>
          </cell>
          <cell r="D60">
            <v>1536</v>
          </cell>
          <cell r="E60">
            <v>1574</v>
          </cell>
        </row>
        <row r="61">
          <cell r="B61" t="str">
            <v>TOTAL NWS</v>
          </cell>
          <cell r="C61">
            <v>613006</v>
          </cell>
          <cell r="D61">
            <v>633378</v>
          </cell>
          <cell r="E61">
            <v>652381</v>
          </cell>
        </row>
        <row r="67">
          <cell r="B67" t="str">
            <v>Muscat</v>
          </cell>
          <cell r="C67">
            <v>7627362.4520000014</v>
          </cell>
          <cell r="D67">
            <v>7332050.2910000095</v>
          </cell>
          <cell r="E67">
            <v>7845976.9739996698</v>
          </cell>
        </row>
        <row r="68">
          <cell r="B68" t="str">
            <v>Musandam</v>
          </cell>
          <cell r="C68">
            <v>232166.88200000001</v>
          </cell>
          <cell r="D68">
            <v>313964.02100000007</v>
          </cell>
          <cell r="E68">
            <v>392046.85499999998</v>
          </cell>
        </row>
        <row r="69">
          <cell r="B69" t="str">
            <v>Al Buraymi</v>
          </cell>
          <cell r="C69">
            <v>390824.9090000001</v>
          </cell>
          <cell r="D69">
            <v>465805.03700000467</v>
          </cell>
          <cell r="E69">
            <v>491631.29500000039</v>
          </cell>
        </row>
        <row r="70">
          <cell r="B70" t="str">
            <v>Ad Dakhliyah</v>
          </cell>
          <cell r="C70">
            <v>2626519.8759999988</v>
          </cell>
          <cell r="D70">
            <v>2609744.9299999983</v>
          </cell>
          <cell r="E70">
            <v>2550131.2739999471</v>
          </cell>
        </row>
        <row r="71">
          <cell r="B71" t="str">
            <v>Al Batinah North</v>
          </cell>
          <cell r="C71">
            <v>1911078.4270000001</v>
          </cell>
          <cell r="D71">
            <v>1958653.0050000004</v>
          </cell>
          <cell r="E71">
            <v>2649804.498999916</v>
          </cell>
        </row>
        <row r="72">
          <cell r="B72" t="str">
            <v>Al Batinah South</v>
          </cell>
          <cell r="C72">
            <v>3147476.6719999993</v>
          </cell>
          <cell r="D72">
            <v>3036130.8659999976</v>
          </cell>
          <cell r="E72">
            <v>3243154.1399999321</v>
          </cell>
        </row>
        <row r="73">
          <cell r="B73" t="str">
            <v>Ash Sharqiyah South</v>
          </cell>
          <cell r="C73">
            <v>2384866.1950000003</v>
          </cell>
          <cell r="D73">
            <v>2405867.8299999991</v>
          </cell>
          <cell r="E73">
            <v>2912705.4879799811</v>
          </cell>
        </row>
        <row r="74">
          <cell r="B74" t="str">
            <v>Ash Sharqiyah North</v>
          </cell>
          <cell r="C74">
            <v>3542798.8159999992</v>
          </cell>
          <cell r="D74">
            <v>2986888.7769999984</v>
          </cell>
          <cell r="E74">
            <v>3212298.2969999462</v>
          </cell>
        </row>
        <row r="75">
          <cell r="B75" t="str">
            <v>Adh Dhahirah</v>
          </cell>
          <cell r="C75">
            <v>1828736.7899999996</v>
          </cell>
          <cell r="D75">
            <v>1711719.1299999992</v>
          </cell>
          <cell r="E75">
            <v>2093317.7360000061</v>
          </cell>
        </row>
        <row r="76">
          <cell r="B76" t="str">
            <v>Al Wusta</v>
          </cell>
          <cell r="C76">
            <v>668548.45699999935</v>
          </cell>
          <cell r="D76">
            <v>996731.93300000043</v>
          </cell>
          <cell r="E76">
            <v>1295360.8390000125</v>
          </cell>
        </row>
        <row r="77">
          <cell r="B77" t="str">
            <v>TOTAL NWS</v>
          </cell>
          <cell r="C77">
            <v>24360379.475999996</v>
          </cell>
          <cell r="D77">
            <v>23817555.820000008</v>
          </cell>
          <cell r="E77">
            <v>26686427.396979414</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DF47E-947E-44DA-8F3D-B9B489F2BC64}">
  <sheetPr>
    <tabColor rgb="FF9900CC"/>
  </sheetPr>
  <dimension ref="A2:CE14"/>
  <sheetViews>
    <sheetView workbookViewId="0">
      <selection activeCell="AN23" sqref="AN23"/>
    </sheetView>
  </sheetViews>
  <sheetFormatPr defaultRowHeight="12.75" x14ac:dyDescent="0.2"/>
  <cols>
    <col min="1" max="1" width="11.28515625" style="1" customWidth="1"/>
    <col min="2" max="2" width="16.5703125" style="1" customWidth="1"/>
    <col min="3" max="3" width="15.85546875" style="1" customWidth="1"/>
    <col min="4" max="24" width="15" style="1" bestFit="1" customWidth="1"/>
    <col min="25" max="25" width="20" style="1" bestFit="1" customWidth="1"/>
    <col min="26" max="27" width="15" style="1" bestFit="1" customWidth="1"/>
    <col min="28" max="33" width="15.28515625" style="1" bestFit="1" customWidth="1"/>
    <col min="34" max="34" width="9.140625" style="1" customWidth="1"/>
    <col min="35" max="16384" width="9.140625" style="1"/>
  </cols>
  <sheetData>
    <row r="2" spans="1:83" ht="16.5" thickBot="1" x14ac:dyDescent="0.3">
      <c r="D2" s="285" t="s">
        <v>0</v>
      </c>
      <c r="E2" s="286"/>
      <c r="F2" s="286"/>
      <c r="G2" s="286"/>
      <c r="H2" s="286"/>
      <c r="I2" s="286"/>
      <c r="J2" s="286"/>
      <c r="K2" s="286"/>
      <c r="L2" s="286"/>
      <c r="M2" s="286"/>
      <c r="N2" s="286"/>
      <c r="O2" s="286"/>
      <c r="P2" s="286"/>
      <c r="Q2" s="286"/>
      <c r="R2" s="286"/>
      <c r="S2" s="286"/>
      <c r="T2" s="286"/>
      <c r="U2" s="286"/>
      <c r="V2" s="286"/>
      <c r="W2" s="286"/>
      <c r="X2" s="287" t="s">
        <v>1</v>
      </c>
      <c r="Y2" s="288"/>
      <c r="Z2" s="288"/>
      <c r="AA2" s="288"/>
      <c r="AB2" s="288"/>
      <c r="AC2" s="288"/>
      <c r="AD2" s="288"/>
      <c r="AE2" s="288"/>
      <c r="AF2" s="288"/>
      <c r="AG2" s="288"/>
    </row>
    <row r="3" spans="1:83" ht="16.5" thickBot="1" x14ac:dyDescent="0.3">
      <c r="A3" s="2" t="s">
        <v>2</v>
      </c>
      <c r="B3" s="2" t="s">
        <v>3</v>
      </c>
      <c r="C3" s="3" t="s">
        <v>4</v>
      </c>
      <c r="D3" s="4">
        <v>2021</v>
      </c>
      <c r="E3" s="4">
        <v>2022</v>
      </c>
      <c r="F3" s="4">
        <v>2023</v>
      </c>
      <c r="G3" s="4">
        <v>2024</v>
      </c>
      <c r="H3" s="4">
        <v>2025</v>
      </c>
      <c r="I3" s="4">
        <v>2026</v>
      </c>
      <c r="J3" s="4">
        <v>2027</v>
      </c>
      <c r="K3" s="4">
        <v>2028</v>
      </c>
      <c r="L3" s="4">
        <v>2029</v>
      </c>
      <c r="M3" s="4">
        <v>2030</v>
      </c>
      <c r="N3" s="4">
        <v>2031</v>
      </c>
      <c r="O3" s="4">
        <v>2032</v>
      </c>
      <c r="P3" s="4">
        <v>2033</v>
      </c>
      <c r="Q3" s="4">
        <v>2034</v>
      </c>
      <c r="R3" s="4">
        <v>2035</v>
      </c>
      <c r="S3" s="4">
        <v>2036</v>
      </c>
      <c r="T3" s="4">
        <v>2037</v>
      </c>
      <c r="U3" s="4">
        <v>2038</v>
      </c>
      <c r="V3" s="4">
        <v>2039</v>
      </c>
      <c r="W3" s="4">
        <v>2040</v>
      </c>
      <c r="X3" s="5">
        <v>2041</v>
      </c>
      <c r="Y3" s="5">
        <v>2042</v>
      </c>
      <c r="Z3" s="5">
        <v>2043</v>
      </c>
      <c r="AA3" s="5">
        <v>2044</v>
      </c>
      <c r="AB3" s="5">
        <v>2045</v>
      </c>
      <c r="AC3" s="5">
        <v>2046</v>
      </c>
      <c r="AD3" s="5">
        <v>2047</v>
      </c>
      <c r="AE3" s="5">
        <v>2048</v>
      </c>
      <c r="AF3" s="5">
        <v>2049</v>
      </c>
      <c r="AG3" s="5">
        <v>2050</v>
      </c>
    </row>
    <row r="4" spans="1:83" ht="15.75" thickBot="1" x14ac:dyDescent="0.3">
      <c r="A4" s="6" t="s">
        <v>16</v>
      </c>
      <c r="B4" s="2" t="s">
        <v>17</v>
      </c>
      <c r="C4" s="3" t="s">
        <v>18</v>
      </c>
      <c r="D4" s="7">
        <v>168409</v>
      </c>
      <c r="E4" s="7">
        <v>173418</v>
      </c>
      <c r="F4" s="7">
        <v>178477</v>
      </c>
      <c r="G4" s="7">
        <v>183564</v>
      </c>
      <c r="H4" s="7">
        <v>187962</v>
      </c>
      <c r="I4" s="7">
        <v>193116</v>
      </c>
      <c r="J4" s="7">
        <v>198344</v>
      </c>
      <c r="K4" s="7">
        <v>203659</v>
      </c>
      <c r="L4" s="7">
        <v>209063</v>
      </c>
      <c r="M4" s="7">
        <v>213637</v>
      </c>
      <c r="N4" s="7">
        <v>219186</v>
      </c>
      <c r="O4" s="7">
        <v>224840</v>
      </c>
      <c r="P4" s="7">
        <v>227736</v>
      </c>
      <c r="Q4" s="7">
        <v>236531</v>
      </c>
      <c r="R4" s="7">
        <v>241464</v>
      </c>
      <c r="S4" s="7">
        <v>247702</v>
      </c>
      <c r="T4" s="7">
        <v>254186</v>
      </c>
      <c r="U4" s="7">
        <v>260898</v>
      </c>
      <c r="V4" s="7">
        <v>267898</v>
      </c>
      <c r="W4" s="7">
        <v>273725</v>
      </c>
      <c r="X4" s="8">
        <v>278946.71226940787</v>
      </c>
      <c r="Y4" s="8">
        <v>284406.81739114242</v>
      </c>
      <c r="Z4" s="8">
        <v>290036.90081396536</v>
      </c>
      <c r="AA4" s="8">
        <v>295848.6601751569</v>
      </c>
      <c r="AB4" s="8">
        <v>301853.79311216553</v>
      </c>
      <c r="AC4" s="8">
        <v>308063.99727152416</v>
      </c>
      <c r="AD4" s="8">
        <v>314490.9702843664</v>
      </c>
      <c r="AE4" s="8">
        <v>321146.40980721288</v>
      </c>
      <c r="AF4" s="8">
        <v>328042.01346240158</v>
      </c>
      <c r="AG4" s="8">
        <v>335189.47891232301</v>
      </c>
    </row>
    <row r="5" spans="1:83" ht="13.5" thickBot="1" x14ac:dyDescent="0.25">
      <c r="D5" s="9"/>
      <c r="E5" s="9"/>
      <c r="F5" s="9"/>
      <c r="G5" s="9"/>
      <c r="H5" s="9"/>
      <c r="I5" s="9"/>
      <c r="J5" s="9"/>
      <c r="K5" s="9"/>
      <c r="L5" s="9"/>
      <c r="M5" s="9"/>
      <c r="N5" s="9"/>
      <c r="O5" s="9"/>
      <c r="P5" s="9"/>
      <c r="Q5" s="9"/>
      <c r="R5" s="9"/>
      <c r="S5" s="9"/>
      <c r="T5" s="9"/>
      <c r="U5" s="9"/>
      <c r="V5" s="9"/>
      <c r="W5" s="9"/>
      <c r="X5" s="9"/>
      <c r="Y5" s="9"/>
      <c r="Z5" s="9"/>
      <c r="AA5" s="9"/>
      <c r="AB5" s="9"/>
      <c r="AC5" s="9"/>
      <c r="AD5" s="9"/>
      <c r="AE5" s="9"/>
      <c r="AF5" s="9"/>
      <c r="AG5" s="9"/>
    </row>
    <row r="6" spans="1:83" ht="13.5" thickBot="1" x14ac:dyDescent="0.25">
      <c r="C6" s="10" t="s">
        <v>20</v>
      </c>
      <c r="D6" s="11">
        <f t="shared" ref="D6:AG6" si="0">SUM(D4:D4)</f>
        <v>168409</v>
      </c>
      <c r="E6" s="11">
        <f t="shared" si="0"/>
        <v>173418</v>
      </c>
      <c r="F6" s="11">
        <f t="shared" si="0"/>
        <v>178477</v>
      </c>
      <c r="G6" s="11">
        <f t="shared" si="0"/>
        <v>183564</v>
      </c>
      <c r="H6" s="11">
        <f t="shared" si="0"/>
        <v>187962</v>
      </c>
      <c r="I6" s="11">
        <f t="shared" si="0"/>
        <v>193116</v>
      </c>
      <c r="J6" s="11">
        <f t="shared" si="0"/>
        <v>198344</v>
      </c>
      <c r="K6" s="11">
        <f t="shared" si="0"/>
        <v>203659</v>
      </c>
      <c r="L6" s="11">
        <f t="shared" si="0"/>
        <v>209063</v>
      </c>
      <c r="M6" s="11">
        <f t="shared" si="0"/>
        <v>213637</v>
      </c>
      <c r="N6" s="11">
        <f t="shared" si="0"/>
        <v>219186</v>
      </c>
      <c r="O6" s="11">
        <f t="shared" si="0"/>
        <v>224840</v>
      </c>
      <c r="P6" s="11">
        <f t="shared" si="0"/>
        <v>227736</v>
      </c>
      <c r="Q6" s="11">
        <f t="shared" si="0"/>
        <v>236531</v>
      </c>
      <c r="R6" s="11">
        <f t="shared" si="0"/>
        <v>241464</v>
      </c>
      <c r="S6" s="11">
        <f t="shared" si="0"/>
        <v>247702</v>
      </c>
      <c r="T6" s="11">
        <f t="shared" si="0"/>
        <v>254186</v>
      </c>
      <c r="U6" s="11">
        <f t="shared" si="0"/>
        <v>260898</v>
      </c>
      <c r="V6" s="11">
        <f t="shared" si="0"/>
        <v>267898</v>
      </c>
      <c r="W6" s="11">
        <f t="shared" si="0"/>
        <v>273725</v>
      </c>
      <c r="X6" s="12">
        <f t="shared" si="0"/>
        <v>278946.71226940787</v>
      </c>
      <c r="Y6" s="12">
        <f t="shared" si="0"/>
        <v>284406.81739114242</v>
      </c>
      <c r="Z6" s="12">
        <f t="shared" si="0"/>
        <v>290036.90081396536</v>
      </c>
      <c r="AA6" s="12">
        <f t="shared" si="0"/>
        <v>295848.6601751569</v>
      </c>
      <c r="AB6" s="12">
        <f t="shared" si="0"/>
        <v>301853.79311216553</v>
      </c>
      <c r="AC6" s="12">
        <f t="shared" si="0"/>
        <v>308063.99727152416</v>
      </c>
      <c r="AD6" s="12">
        <f t="shared" si="0"/>
        <v>314490.9702843664</v>
      </c>
      <c r="AE6" s="12">
        <f t="shared" si="0"/>
        <v>321146.40980721288</v>
      </c>
      <c r="AF6" s="12">
        <f t="shared" si="0"/>
        <v>328042.01346240158</v>
      </c>
      <c r="AG6" s="13">
        <f t="shared" si="0"/>
        <v>335189.47891232301</v>
      </c>
    </row>
    <row r="7" spans="1:83" ht="14.25" x14ac:dyDescent="0.2">
      <c r="B7" s="14" t="s">
        <v>21</v>
      </c>
      <c r="C7" s="15" t="s">
        <v>4</v>
      </c>
      <c r="D7" s="16">
        <v>2021</v>
      </c>
      <c r="E7" s="16">
        <v>2022</v>
      </c>
      <c r="F7" s="16">
        <v>2023</v>
      </c>
      <c r="G7" s="16">
        <v>2024</v>
      </c>
      <c r="H7" s="16">
        <v>2025</v>
      </c>
      <c r="I7" s="16">
        <v>2026</v>
      </c>
      <c r="J7" s="16">
        <v>2027</v>
      </c>
      <c r="K7" s="16">
        <v>2028</v>
      </c>
      <c r="L7" s="16">
        <v>2029</v>
      </c>
      <c r="M7" s="16">
        <v>2030</v>
      </c>
      <c r="N7" s="16">
        <v>2031</v>
      </c>
      <c r="O7" s="16">
        <v>2032</v>
      </c>
      <c r="P7" s="16">
        <v>2033</v>
      </c>
      <c r="Q7" s="16">
        <v>2034</v>
      </c>
      <c r="R7" s="16">
        <v>2035</v>
      </c>
      <c r="S7" s="16">
        <v>2036</v>
      </c>
      <c r="T7" s="16">
        <v>2037</v>
      </c>
      <c r="U7" s="16">
        <v>2038</v>
      </c>
      <c r="V7" s="16">
        <v>2039</v>
      </c>
      <c r="W7" s="16">
        <v>2040</v>
      </c>
      <c r="X7" s="16">
        <v>2041</v>
      </c>
      <c r="Y7" s="16">
        <v>2042</v>
      </c>
      <c r="Z7" s="16">
        <v>2043</v>
      </c>
      <c r="AA7" s="16">
        <v>2044</v>
      </c>
      <c r="AB7" s="16">
        <v>2045</v>
      </c>
      <c r="AC7" s="16">
        <v>2046</v>
      </c>
      <c r="AD7" s="16">
        <v>2047</v>
      </c>
      <c r="AE7" s="16">
        <v>2048</v>
      </c>
      <c r="AF7" s="16">
        <v>2049</v>
      </c>
      <c r="AG7" s="17">
        <v>2050</v>
      </c>
      <c r="AH7" s="42">
        <v>2051</v>
      </c>
      <c r="AI7" s="42">
        <v>2052</v>
      </c>
      <c r="AJ7" s="42">
        <v>2053</v>
      </c>
      <c r="AK7" s="42">
        <v>2054</v>
      </c>
      <c r="AL7" s="42">
        <v>2055</v>
      </c>
      <c r="AM7" s="42">
        <v>2056</v>
      </c>
      <c r="AN7" s="42">
        <v>2057</v>
      </c>
      <c r="AO7" s="42">
        <v>2058</v>
      </c>
      <c r="AP7" s="42">
        <v>2059</v>
      </c>
      <c r="AQ7" s="42">
        <v>2060</v>
      </c>
      <c r="AR7" s="42">
        <v>2061</v>
      </c>
      <c r="AS7" s="42">
        <v>2062</v>
      </c>
      <c r="AT7" s="42">
        <v>2063</v>
      </c>
      <c r="AU7" s="42">
        <v>2064</v>
      </c>
      <c r="AV7" s="42">
        <v>2065</v>
      </c>
      <c r="AW7" s="42">
        <v>2066</v>
      </c>
      <c r="AX7" s="42">
        <v>2067</v>
      </c>
      <c r="AY7" s="42">
        <v>2068</v>
      </c>
      <c r="AZ7" s="42">
        <v>2069</v>
      </c>
      <c r="BA7" s="42">
        <v>2070</v>
      </c>
      <c r="BB7" s="42">
        <v>2071</v>
      </c>
      <c r="BC7" s="42">
        <v>2072</v>
      </c>
      <c r="BD7" s="42">
        <v>2073</v>
      </c>
      <c r="BE7" s="42">
        <v>2074</v>
      </c>
      <c r="BF7" s="42">
        <v>2075</v>
      </c>
      <c r="BG7" s="42">
        <v>2076</v>
      </c>
      <c r="BH7" s="42">
        <v>2077</v>
      </c>
      <c r="BI7" s="42">
        <v>2078</v>
      </c>
      <c r="BJ7" s="42">
        <v>2079</v>
      </c>
      <c r="BK7" s="42">
        <v>2080</v>
      </c>
      <c r="BL7" s="42">
        <v>2081</v>
      </c>
      <c r="BM7" s="42">
        <v>2082</v>
      </c>
      <c r="BN7" s="42">
        <v>2083</v>
      </c>
      <c r="BO7" s="42">
        <v>2084</v>
      </c>
      <c r="BP7" s="42">
        <v>2085</v>
      </c>
      <c r="BQ7" s="42">
        <v>2086</v>
      </c>
      <c r="BR7" s="42">
        <v>2087</v>
      </c>
      <c r="BS7" s="42">
        <v>2088</v>
      </c>
      <c r="BT7" s="42">
        <v>2089</v>
      </c>
      <c r="BU7" s="42">
        <v>2090</v>
      </c>
      <c r="BV7" s="42">
        <v>2091</v>
      </c>
      <c r="BW7" s="42">
        <v>2092</v>
      </c>
      <c r="BX7" s="42">
        <v>2093</v>
      </c>
      <c r="BY7" s="42">
        <v>2094</v>
      </c>
      <c r="BZ7" s="42">
        <v>2095</v>
      </c>
      <c r="CA7" s="42">
        <v>2096</v>
      </c>
      <c r="CB7" s="42">
        <v>2097</v>
      </c>
      <c r="CC7" s="42">
        <v>2098</v>
      </c>
      <c r="CD7" s="42">
        <v>2099</v>
      </c>
      <c r="CE7" s="42">
        <v>2100</v>
      </c>
    </row>
    <row r="8" spans="1:83" ht="15" x14ac:dyDescent="0.25">
      <c r="B8" s="18" t="s">
        <v>16</v>
      </c>
      <c r="C8" s="19" t="s">
        <v>30</v>
      </c>
      <c r="D8" s="20">
        <f t="shared" ref="D8:AG8" si="1">SUMIF($A$4:$A$4,$B8,D$4:D$4)</f>
        <v>168409</v>
      </c>
      <c r="E8" s="20">
        <f t="shared" si="1"/>
        <v>173418</v>
      </c>
      <c r="F8" s="20">
        <f t="shared" si="1"/>
        <v>178477</v>
      </c>
      <c r="G8" s="20">
        <f t="shared" si="1"/>
        <v>183564</v>
      </c>
      <c r="H8" s="20">
        <f t="shared" si="1"/>
        <v>187962</v>
      </c>
      <c r="I8" s="20">
        <f t="shared" si="1"/>
        <v>193116</v>
      </c>
      <c r="J8" s="20">
        <f t="shared" si="1"/>
        <v>198344</v>
      </c>
      <c r="K8" s="20">
        <f t="shared" si="1"/>
        <v>203659</v>
      </c>
      <c r="L8" s="20">
        <f t="shared" si="1"/>
        <v>209063</v>
      </c>
      <c r="M8" s="20">
        <f t="shared" si="1"/>
        <v>213637</v>
      </c>
      <c r="N8" s="20">
        <f t="shared" si="1"/>
        <v>219186</v>
      </c>
      <c r="O8" s="20">
        <f t="shared" si="1"/>
        <v>224840</v>
      </c>
      <c r="P8" s="20">
        <f t="shared" si="1"/>
        <v>227736</v>
      </c>
      <c r="Q8" s="20">
        <f t="shared" si="1"/>
        <v>236531</v>
      </c>
      <c r="R8" s="20">
        <f t="shared" si="1"/>
        <v>241464</v>
      </c>
      <c r="S8" s="20">
        <f t="shared" si="1"/>
        <v>247702</v>
      </c>
      <c r="T8" s="20">
        <f t="shared" si="1"/>
        <v>254186</v>
      </c>
      <c r="U8" s="20">
        <f t="shared" si="1"/>
        <v>260898</v>
      </c>
      <c r="V8" s="20">
        <f t="shared" si="1"/>
        <v>267898</v>
      </c>
      <c r="W8" s="20">
        <f t="shared" si="1"/>
        <v>273725</v>
      </c>
      <c r="X8" s="21">
        <f t="shared" si="1"/>
        <v>278946.71226940787</v>
      </c>
      <c r="Y8" s="21">
        <f t="shared" si="1"/>
        <v>284406.81739114242</v>
      </c>
      <c r="Z8" s="21">
        <f t="shared" si="1"/>
        <v>290036.90081396536</v>
      </c>
      <c r="AA8" s="21">
        <f t="shared" si="1"/>
        <v>295848.6601751569</v>
      </c>
      <c r="AB8" s="21">
        <f t="shared" si="1"/>
        <v>301853.79311216553</v>
      </c>
      <c r="AC8" s="21">
        <f t="shared" si="1"/>
        <v>308063.99727152416</v>
      </c>
      <c r="AD8" s="21">
        <f t="shared" si="1"/>
        <v>314490.9702843664</v>
      </c>
      <c r="AE8" s="21">
        <f t="shared" si="1"/>
        <v>321146.40980721288</v>
      </c>
      <c r="AF8" s="21">
        <f t="shared" si="1"/>
        <v>328042.01346240158</v>
      </c>
      <c r="AG8" s="22">
        <f t="shared" si="1"/>
        <v>335189.47891232301</v>
      </c>
    </row>
    <row r="9" spans="1:83" ht="15" x14ac:dyDescent="0.25">
      <c r="B9" s="64"/>
      <c r="C9" s="65"/>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row>
    <row r="10" spans="1:83" ht="12.75" customHeight="1" x14ac:dyDescent="0.2">
      <c r="B10" s="25" t="s">
        <v>34</v>
      </c>
      <c r="C10" s="283" t="s">
        <v>33</v>
      </c>
      <c r="D10" s="26"/>
      <c r="E10" s="27">
        <f t="shared" ref="E10:AG10" si="2">(E4/D4)-1</f>
        <v>2.9743065988159678E-2</v>
      </c>
      <c r="F10" s="27">
        <f t="shared" si="2"/>
        <v>2.9172288920412015E-2</v>
      </c>
      <c r="G10" s="27">
        <f t="shared" si="2"/>
        <v>2.8502272001434292E-2</v>
      </c>
      <c r="H10" s="27">
        <f t="shared" si="2"/>
        <v>2.395894619860095E-2</v>
      </c>
      <c r="I10" s="27">
        <f t="shared" si="2"/>
        <v>2.742043604558364E-2</v>
      </c>
      <c r="J10" s="27">
        <f t="shared" si="2"/>
        <v>2.7071811760807085E-2</v>
      </c>
      <c r="K10" s="27">
        <f t="shared" si="2"/>
        <v>2.6796878151090997E-2</v>
      </c>
      <c r="L10" s="27">
        <f t="shared" si="2"/>
        <v>2.6534550400424184E-2</v>
      </c>
      <c r="M10" s="27">
        <f t="shared" si="2"/>
        <v>2.1878572487719072E-2</v>
      </c>
      <c r="N10" s="27">
        <f t="shared" si="2"/>
        <v>2.5973965183933467E-2</v>
      </c>
      <c r="O10" s="27">
        <f t="shared" si="2"/>
        <v>2.579544313961657E-2</v>
      </c>
      <c r="P10" s="27">
        <f t="shared" si="2"/>
        <v>1.2880270414517003E-2</v>
      </c>
      <c r="Q10" s="27">
        <f t="shared" si="2"/>
        <v>3.8619278462781459E-2</v>
      </c>
      <c r="R10" s="27">
        <f t="shared" si="2"/>
        <v>2.0855617234104562E-2</v>
      </c>
      <c r="S10" s="27">
        <f t="shared" si="2"/>
        <v>2.5834078786071579E-2</v>
      </c>
      <c r="T10" s="27">
        <f t="shared" si="2"/>
        <v>2.6176615449209129E-2</v>
      </c>
      <c r="U10" s="27">
        <f t="shared" si="2"/>
        <v>2.6405860275546145E-2</v>
      </c>
      <c r="V10" s="27">
        <f t="shared" si="2"/>
        <v>2.6830408818772078E-2</v>
      </c>
      <c r="W10" s="27">
        <f t="shared" si="2"/>
        <v>2.1750815608925889E-2</v>
      </c>
      <c r="X10" s="27">
        <f t="shared" si="2"/>
        <v>1.9076490161322068E-2</v>
      </c>
      <c r="Y10" s="27">
        <f t="shared" si="2"/>
        <v>1.9574007799959769E-2</v>
      </c>
      <c r="Z10" s="27">
        <f t="shared" si="2"/>
        <v>1.9795880684111422E-2</v>
      </c>
      <c r="AA10" s="27">
        <f t="shared" si="2"/>
        <v>2.0037999802374529E-2</v>
      </c>
      <c r="AB10" s="27">
        <f t="shared" si="2"/>
        <v>2.0297989294436158E-2</v>
      </c>
      <c r="AC10" s="27">
        <f t="shared" si="2"/>
        <v>2.057355017914575E-2</v>
      </c>
      <c r="AD10" s="27">
        <f t="shared" si="2"/>
        <v>2.0862460624301971E-2</v>
      </c>
      <c r="AE10" s="27">
        <f t="shared" si="2"/>
        <v>2.1162577471870003E-2</v>
      </c>
      <c r="AF10" s="27">
        <f t="shared" si="2"/>
        <v>2.1471837905110647E-2</v>
      </c>
      <c r="AG10" s="27">
        <f t="shared" si="2"/>
        <v>2.1788262346282172E-2</v>
      </c>
      <c r="AH10" s="27">
        <f>AG10+0.0003</f>
        <v>2.2088262346282174E-2</v>
      </c>
      <c r="AI10" s="27">
        <f t="shared" ref="AI10:AN10" si="3">AH10+0.0003</f>
        <v>2.2388262346282176E-2</v>
      </c>
      <c r="AJ10" s="27">
        <f t="shared" si="3"/>
        <v>2.2688262346282177E-2</v>
      </c>
      <c r="AK10" s="27">
        <f t="shared" si="3"/>
        <v>2.2988262346282179E-2</v>
      </c>
      <c r="AL10" s="27">
        <f t="shared" si="3"/>
        <v>2.3288262346282181E-2</v>
      </c>
      <c r="AM10" s="27">
        <f t="shared" si="3"/>
        <v>2.3588262346282182E-2</v>
      </c>
      <c r="AN10" s="27">
        <f t="shared" si="3"/>
        <v>2.3888262346282184E-2</v>
      </c>
      <c r="AO10" s="27">
        <v>2.4E-2</v>
      </c>
      <c r="AP10" s="27">
        <v>2.4E-2</v>
      </c>
      <c r="AQ10" s="27">
        <v>2.4E-2</v>
      </c>
      <c r="AR10" s="27">
        <v>2.4E-2</v>
      </c>
      <c r="AS10" s="27">
        <v>2.4E-2</v>
      </c>
      <c r="AT10" s="27">
        <v>2.4E-2</v>
      </c>
      <c r="AU10" s="27">
        <v>2.4E-2</v>
      </c>
      <c r="AV10" s="27">
        <v>2.4E-2</v>
      </c>
      <c r="AW10" s="27">
        <v>2.4E-2</v>
      </c>
      <c r="AX10" s="27">
        <v>2.4E-2</v>
      </c>
      <c r="AY10" s="27">
        <v>2.4E-2</v>
      </c>
      <c r="AZ10" s="27">
        <v>2.4E-2</v>
      </c>
      <c r="BA10" s="27">
        <v>2.4E-2</v>
      </c>
      <c r="BB10" s="27">
        <v>2.4E-2</v>
      </c>
      <c r="BC10" s="27">
        <v>2.4E-2</v>
      </c>
      <c r="BD10" s="27">
        <v>2.4E-2</v>
      </c>
      <c r="BE10" s="27">
        <v>2.4E-2</v>
      </c>
      <c r="BF10" s="27">
        <v>2.4E-2</v>
      </c>
      <c r="BG10" s="27">
        <v>2.4E-2</v>
      </c>
      <c r="BH10" s="27">
        <v>2.4E-2</v>
      </c>
      <c r="BI10" s="27">
        <v>2.4E-2</v>
      </c>
      <c r="BJ10" s="27">
        <v>2.4E-2</v>
      </c>
      <c r="BK10" s="27">
        <v>2.4E-2</v>
      </c>
      <c r="BL10" s="27">
        <v>2.4E-2</v>
      </c>
      <c r="BM10" s="27">
        <v>2.4E-2</v>
      </c>
      <c r="BN10" s="27">
        <v>2.4E-2</v>
      </c>
      <c r="BO10" s="27">
        <v>2.4E-2</v>
      </c>
      <c r="BP10" s="27">
        <v>2.4E-2</v>
      </c>
      <c r="BQ10" s="27">
        <v>2.4E-2</v>
      </c>
      <c r="BR10" s="27">
        <v>2.4E-2</v>
      </c>
      <c r="BS10" s="27">
        <v>2.4E-2</v>
      </c>
      <c r="BT10" s="27">
        <v>2.4E-2</v>
      </c>
      <c r="BU10" s="27">
        <v>2.4E-2</v>
      </c>
      <c r="BV10" s="27">
        <v>2.4E-2</v>
      </c>
      <c r="BW10" s="27">
        <v>2.4E-2</v>
      </c>
      <c r="BX10" s="27">
        <v>2.4E-2</v>
      </c>
      <c r="BY10" s="27">
        <v>2.4E-2</v>
      </c>
      <c r="BZ10" s="27">
        <v>2.4E-2</v>
      </c>
      <c r="CA10" s="27">
        <v>2.4E-2</v>
      </c>
      <c r="CB10" s="27">
        <v>2.4E-2</v>
      </c>
      <c r="CC10" s="27">
        <v>2.4E-2</v>
      </c>
      <c r="CD10" s="27">
        <v>2.4E-2</v>
      </c>
      <c r="CE10" s="27">
        <v>2.4E-2</v>
      </c>
    </row>
    <row r="11" spans="1:83" ht="12.75" customHeight="1" x14ac:dyDescent="0.2">
      <c r="B11" s="65" t="s">
        <v>544</v>
      </c>
      <c r="C11" s="284"/>
      <c r="D11" s="67">
        <v>0.46677995796372984</v>
      </c>
      <c r="E11" s="67">
        <v>0.48807003491958728</v>
      </c>
      <c r="F11" s="67">
        <v>0.49257275129848754</v>
      </c>
      <c r="G11" s="68">
        <v>0.50546914796586639</v>
      </c>
      <c r="H11" s="67">
        <v>0.5322446799689694</v>
      </c>
      <c r="I11" s="67">
        <v>0.55902021197207241</v>
      </c>
      <c r="J11" s="67">
        <v>0.58579574397517542</v>
      </c>
      <c r="K11" s="67">
        <v>0.61257127597827843</v>
      </c>
      <c r="L11" s="67">
        <v>0.63934680798138144</v>
      </c>
      <c r="M11" s="67">
        <v>0.66612233998448445</v>
      </c>
      <c r="N11" s="67">
        <v>0.69289787198758745</v>
      </c>
      <c r="O11" s="67">
        <v>0.71967340399069046</v>
      </c>
      <c r="P11" s="67">
        <v>0.74644893599379347</v>
      </c>
      <c r="Q11" s="67">
        <v>0.77322446799689648</v>
      </c>
      <c r="R11" s="67">
        <v>0.8</v>
      </c>
      <c r="S11" s="67">
        <v>0.8</v>
      </c>
      <c r="T11" s="67">
        <v>0.8</v>
      </c>
      <c r="U11" s="67">
        <v>0.8</v>
      </c>
      <c r="V11" s="67">
        <v>0.8</v>
      </c>
      <c r="W11" s="67">
        <v>0.8</v>
      </c>
      <c r="X11" s="67">
        <v>0.8</v>
      </c>
      <c r="Y11" s="67">
        <v>0.8</v>
      </c>
      <c r="Z11" s="67">
        <v>0.8</v>
      </c>
      <c r="AA11" s="67">
        <v>0.8</v>
      </c>
      <c r="AB11" s="67">
        <v>0.8</v>
      </c>
      <c r="AC11" s="67">
        <v>0.8</v>
      </c>
      <c r="AD11" s="67">
        <v>0.8</v>
      </c>
      <c r="AE11" s="67">
        <v>0.8</v>
      </c>
      <c r="AF11" s="67">
        <v>0.8</v>
      </c>
      <c r="AG11" s="67">
        <v>0.8</v>
      </c>
      <c r="AH11" s="67">
        <v>0.81</v>
      </c>
      <c r="AI11" s="67">
        <v>0.82000000000000006</v>
      </c>
      <c r="AJ11" s="67">
        <v>0.83000000000000007</v>
      </c>
      <c r="AK11" s="67">
        <v>0.84000000000000008</v>
      </c>
      <c r="AL11" s="67">
        <v>0.85000000000000009</v>
      </c>
      <c r="AM11" s="67">
        <v>0.8600000000000001</v>
      </c>
      <c r="AN11" s="67">
        <v>0.87000000000000011</v>
      </c>
      <c r="AO11" s="67">
        <v>0.88000000000000012</v>
      </c>
      <c r="AP11" s="67">
        <v>0.89000000000000012</v>
      </c>
      <c r="AQ11" s="67">
        <v>0.90000000000000013</v>
      </c>
      <c r="AR11" s="67">
        <v>0.91000000000000014</v>
      </c>
      <c r="AS11" s="67">
        <v>0.92000000000000015</v>
      </c>
      <c r="AT11" s="67">
        <v>0.93000000000000016</v>
      </c>
      <c r="AU11" s="67">
        <v>0.94000000000000017</v>
      </c>
      <c r="AV11" s="67">
        <v>0.95000000000000018</v>
      </c>
      <c r="AW11" s="67">
        <v>0.96000000000000019</v>
      </c>
      <c r="AX11" s="67">
        <v>0.9700000000000002</v>
      </c>
      <c r="AY11" s="67">
        <v>0.9800000000000002</v>
      </c>
      <c r="AZ11" s="67">
        <v>0.99000000000000021</v>
      </c>
      <c r="BA11" s="67">
        <v>1.0000000000000002</v>
      </c>
      <c r="BB11" s="67">
        <v>1.0000000000000002</v>
      </c>
      <c r="BC11" s="67">
        <v>1.0000000000000002</v>
      </c>
      <c r="BD11" s="67">
        <v>1.0000000000000002</v>
      </c>
      <c r="BE11" s="67">
        <v>1.0000000000000002</v>
      </c>
      <c r="BF11" s="67">
        <v>1.0000000000000002</v>
      </c>
      <c r="BG11" s="67">
        <v>1.0000000000000002</v>
      </c>
      <c r="BH11" s="67">
        <v>1.0000000000000002</v>
      </c>
      <c r="BI11" s="67">
        <v>1.0000000000000002</v>
      </c>
      <c r="BJ11" s="67">
        <v>1.0000000000000002</v>
      </c>
      <c r="BK11" s="67">
        <v>1.0000000000000002</v>
      </c>
      <c r="BL11" s="67">
        <v>1.0000000000000002</v>
      </c>
      <c r="BM11" s="67">
        <v>1.0000000000000002</v>
      </c>
      <c r="BN11" s="67">
        <v>1.0000000000000002</v>
      </c>
      <c r="BO11" s="67">
        <v>1.0000000000000002</v>
      </c>
      <c r="BP11" s="67">
        <v>1.0000000000000002</v>
      </c>
      <c r="BQ11" s="67">
        <v>1.0000000000000002</v>
      </c>
      <c r="BR11" s="67">
        <v>1.0000000000000002</v>
      </c>
      <c r="BS11" s="67">
        <v>1.0000000000000002</v>
      </c>
      <c r="BT11" s="67">
        <v>1.0000000000000002</v>
      </c>
      <c r="BU11" s="67">
        <v>1.0000000000000002</v>
      </c>
      <c r="BV11" s="67">
        <v>1.0000000000000002</v>
      </c>
      <c r="BW11" s="67">
        <v>1.0000000000000002</v>
      </c>
      <c r="BX11" s="67">
        <v>1.0000000000000002</v>
      </c>
      <c r="BY11" s="67">
        <v>1.0000000000000002</v>
      </c>
      <c r="BZ11" s="67">
        <v>1.0000000000000002</v>
      </c>
      <c r="CA11" s="67">
        <v>1.0000000000000002</v>
      </c>
      <c r="CB11" s="67">
        <v>1.0000000000000002</v>
      </c>
      <c r="CC11" s="67">
        <v>1.0000000000000002</v>
      </c>
      <c r="CD11" s="67">
        <v>1.0000000000000002</v>
      </c>
      <c r="CE11" s="67">
        <v>1.0000000000000002</v>
      </c>
    </row>
    <row r="14" spans="1:83" ht="15" x14ac:dyDescent="0.25">
      <c r="F14" s="24"/>
    </row>
  </sheetData>
  <mergeCells count="3">
    <mergeCell ref="C10:C11"/>
    <mergeCell ref="D2:W2"/>
    <mergeCell ref="X2:A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F9FB4-30ED-474D-83BD-E1DB2B6E937D}">
  <sheetPr>
    <tabColor rgb="FF9900CC"/>
  </sheetPr>
  <dimension ref="A1:AJ240"/>
  <sheetViews>
    <sheetView topLeftCell="J209" workbookViewId="0">
      <selection activeCell="H7" sqref="H7"/>
    </sheetView>
  </sheetViews>
  <sheetFormatPr defaultRowHeight="15" x14ac:dyDescent="0.25"/>
  <cols>
    <col min="1" max="1" width="10.140625" style="32" bestFit="1" customWidth="1"/>
    <col min="2" max="2" width="7.7109375" style="32" bestFit="1" customWidth="1"/>
    <col min="3" max="3" width="6.85546875" style="32" bestFit="1" customWidth="1"/>
    <col min="4" max="4" width="12.140625" style="32" bestFit="1" customWidth="1"/>
    <col min="5" max="5" width="12.85546875" style="32" bestFit="1" customWidth="1"/>
    <col min="6" max="6" width="14.7109375" style="32" bestFit="1" customWidth="1"/>
    <col min="7" max="7" width="18.140625" style="32" bestFit="1" customWidth="1"/>
    <col min="8" max="8" width="30.85546875" style="32" bestFit="1" customWidth="1"/>
    <col min="9" max="36" width="9.7109375" style="32" customWidth="1"/>
    <col min="37" max="16384" width="9.140625" style="32"/>
  </cols>
  <sheetData>
    <row r="1" spans="1:36" ht="15.75" x14ac:dyDescent="0.25">
      <c r="A1" s="46" t="s">
        <v>624</v>
      </c>
      <c r="B1" s="47" t="s">
        <v>61</v>
      </c>
      <c r="C1" s="48" t="s">
        <v>533</v>
      </c>
      <c r="D1" s="49" t="s">
        <v>60</v>
      </c>
      <c r="E1" s="50" t="s">
        <v>65</v>
      </c>
      <c r="F1" s="37" t="s">
        <v>625</v>
      </c>
      <c r="G1" s="37" t="s">
        <v>626</v>
      </c>
      <c r="H1" s="51" t="s">
        <v>627</v>
      </c>
      <c r="I1" s="52">
        <v>2023</v>
      </c>
      <c r="J1" s="52">
        <v>2024</v>
      </c>
      <c r="K1" s="52">
        <v>2025</v>
      </c>
      <c r="L1" s="52">
        <v>2026</v>
      </c>
      <c r="M1" s="52">
        <v>2027</v>
      </c>
      <c r="N1" s="52">
        <v>2028</v>
      </c>
      <c r="O1" s="52">
        <v>2029</v>
      </c>
      <c r="P1" s="52">
        <v>2030</v>
      </c>
      <c r="Q1" s="52">
        <v>2031</v>
      </c>
      <c r="R1" s="52">
        <v>2032</v>
      </c>
      <c r="S1" s="52">
        <v>2033</v>
      </c>
      <c r="T1" s="52">
        <v>2034</v>
      </c>
      <c r="U1" s="52">
        <v>2035</v>
      </c>
      <c r="V1" s="52">
        <v>2036</v>
      </c>
      <c r="W1" s="52">
        <v>2037</v>
      </c>
      <c r="X1" s="52">
        <v>2038</v>
      </c>
      <c r="Y1" s="52">
        <v>2039</v>
      </c>
      <c r="Z1" s="52">
        <v>2040</v>
      </c>
      <c r="AA1" s="53">
        <v>2041</v>
      </c>
      <c r="AB1" s="53">
        <v>2042</v>
      </c>
      <c r="AC1" s="53">
        <v>2043</v>
      </c>
      <c r="AD1" s="53">
        <v>2044</v>
      </c>
      <c r="AE1" s="53">
        <v>2045</v>
      </c>
      <c r="AF1" s="53">
        <v>2046</v>
      </c>
      <c r="AG1" s="53">
        <v>2047</v>
      </c>
      <c r="AH1" s="53">
        <v>2048</v>
      </c>
      <c r="AI1" s="53">
        <v>2049</v>
      </c>
      <c r="AJ1" s="53">
        <v>2050</v>
      </c>
    </row>
    <row r="2" spans="1:36" x14ac:dyDescent="0.25">
      <c r="A2" s="58" t="s">
        <v>17</v>
      </c>
      <c r="B2" s="59" t="s">
        <v>18</v>
      </c>
      <c r="C2" s="60" t="s">
        <v>115</v>
      </c>
      <c r="D2" s="61" t="s">
        <v>30</v>
      </c>
      <c r="E2" s="50" t="s">
        <v>212</v>
      </c>
      <c r="F2" s="50">
        <v>1.0146708456839429E-3</v>
      </c>
      <c r="G2" s="50">
        <v>1.3226361281052012E-3</v>
      </c>
      <c r="H2" s="63" t="s">
        <v>211</v>
      </c>
      <c r="I2" s="62">
        <v>236.060128235832</v>
      </c>
      <c r="J2" s="62">
        <v>242.78837821950316</v>
      </c>
      <c r="K2" s="62">
        <v>248.60533191090983</v>
      </c>
      <c r="L2" s="62">
        <v>255.42219851516404</v>
      </c>
      <c r="M2" s="62">
        <v>262.33694019289806</v>
      </c>
      <c r="N2" s="62">
        <v>269.36675121377715</v>
      </c>
      <c r="O2" s="62">
        <v>276.51427685005768</v>
      </c>
      <c r="P2" s="62">
        <v>282.5640145000109</v>
      </c>
      <c r="Q2" s="62">
        <v>289.90332237486666</v>
      </c>
      <c r="R2" s="62">
        <v>297.38150704317343</v>
      </c>
      <c r="S2" s="62">
        <v>301.21186127016608</v>
      </c>
      <c r="T2" s="62">
        <v>312.84444601685135</v>
      </c>
      <c r="U2" s="62">
        <v>319.36901003679429</v>
      </c>
      <c r="V2" s="62">
        <v>327.61961420391458</v>
      </c>
      <c r="W2" s="62">
        <v>336.19558685854867</v>
      </c>
      <c r="X2" s="62">
        <v>345.0731205503908</v>
      </c>
      <c r="Y2" s="62">
        <v>354.3315734471272</v>
      </c>
      <c r="Z2" s="62">
        <v>362.03857416559623</v>
      </c>
      <c r="AA2" s="62">
        <v>368.94499946368524</v>
      </c>
      <c r="AB2" s="62">
        <v>376.16673176094361</v>
      </c>
      <c r="AC2" s="62">
        <v>383.6132835002154</v>
      </c>
      <c r="AD2" s="62">
        <v>391.30012639918095</v>
      </c>
      <c r="AE2" s="62">
        <v>399.24273217574307</v>
      </c>
      <c r="AF2" s="62">
        <v>407.45657255982002</v>
      </c>
      <c r="AG2" s="62">
        <v>415.95711926096226</v>
      </c>
      <c r="AH2" s="62">
        <v>424.7598440222983</v>
      </c>
      <c r="AI2" s="62">
        <v>433.88021854174514</v>
      </c>
      <c r="AJ2" s="62">
        <v>443.3337145701949</v>
      </c>
    </row>
    <row r="3" spans="1:36" x14ac:dyDescent="0.25">
      <c r="A3" s="58" t="s">
        <v>17</v>
      </c>
      <c r="B3" s="59" t="s">
        <v>18</v>
      </c>
      <c r="C3" s="60" t="s">
        <v>115</v>
      </c>
      <c r="D3" s="61" t="s">
        <v>30</v>
      </c>
      <c r="E3" s="50" t="s">
        <v>239</v>
      </c>
      <c r="F3" s="50">
        <v>4.5931602067997418E-5</v>
      </c>
      <c r="G3" s="50">
        <v>5.9872417321634625E-5</v>
      </c>
      <c r="H3" s="63" t="s">
        <v>238</v>
      </c>
      <c r="I3" s="62">
        <v>10.685849426313384</v>
      </c>
      <c r="J3" s="62">
        <v>10.990420413228538</v>
      </c>
      <c r="K3" s="62">
        <v>11.253739304609088</v>
      </c>
      <c r="L3" s="62">
        <v>11.562321743484793</v>
      </c>
      <c r="M3" s="62">
        <v>11.875334741242298</v>
      </c>
      <c r="N3" s="62">
        <v>12.193556639306786</v>
      </c>
      <c r="O3" s="62">
        <v>12.5171071825129</v>
      </c>
      <c r="P3" s="62">
        <v>12.790963619342056</v>
      </c>
      <c r="Q3" s="62">
        <v>13.123195663059807</v>
      </c>
      <c r="R3" s="62">
        <v>13.46171431059633</v>
      </c>
      <c r="S3" s="62">
        <v>13.635104831159783</v>
      </c>
      <c r="T3" s="62">
        <v>14.16168274150356</v>
      </c>
      <c r="U3" s="62">
        <v>14.457033376151182</v>
      </c>
      <c r="V3" s="62">
        <v>14.830517515403541</v>
      </c>
      <c r="W3" s="62">
        <v>15.218730269317019</v>
      </c>
      <c r="X3" s="62">
        <v>15.62059393437983</v>
      </c>
      <c r="Y3" s="62">
        <v>16.039700855631274</v>
      </c>
      <c r="Z3" s="62">
        <v>16.388577431364439</v>
      </c>
      <c r="AA3" s="62">
        <v>16.701213967491924</v>
      </c>
      <c r="AB3" s="62">
        <v>17.028123659960411</v>
      </c>
      <c r="AC3" s="62">
        <v>17.365210364207282</v>
      </c>
      <c r="AD3" s="62">
        <v>17.713174446053461</v>
      </c>
      <c r="AE3" s="62">
        <v>18.072716271329934</v>
      </c>
      <c r="AF3" s="62">
        <v>18.444536206411605</v>
      </c>
      <c r="AG3" s="62">
        <v>18.829334616751378</v>
      </c>
      <c r="AH3" s="62">
        <v>19.227811869322146</v>
      </c>
      <c r="AI3" s="62">
        <v>19.64066832905019</v>
      </c>
      <c r="AJ3" s="62">
        <v>20.068604363259851</v>
      </c>
    </row>
    <row r="4" spans="1:36" x14ac:dyDescent="0.25">
      <c r="A4" s="58" t="s">
        <v>17</v>
      </c>
      <c r="B4" s="59" t="s">
        <v>18</v>
      </c>
      <c r="C4" s="60" t="s">
        <v>115</v>
      </c>
      <c r="D4" s="61" t="s">
        <v>30</v>
      </c>
      <c r="E4" s="50" t="s">
        <v>302</v>
      </c>
      <c r="F4" s="50">
        <v>1.8372640827198967E-4</v>
      </c>
      <c r="G4" s="50">
        <v>2.394896692865385E-4</v>
      </c>
      <c r="H4" s="63" t="s">
        <v>301</v>
      </c>
      <c r="I4" s="62">
        <v>42.743397705253535</v>
      </c>
      <c r="J4" s="62">
        <v>43.961681652914152</v>
      </c>
      <c r="K4" s="62">
        <v>45.014957218436351</v>
      </c>
      <c r="L4" s="62">
        <v>46.249286973939171</v>
      </c>
      <c r="M4" s="62">
        <v>47.501338964969193</v>
      </c>
      <c r="N4" s="62">
        <v>48.774226557227145</v>
      </c>
      <c r="O4" s="62">
        <v>50.0684287300516</v>
      </c>
      <c r="P4" s="62">
        <v>51.163854477368226</v>
      </c>
      <c r="Q4" s="62">
        <v>52.492782652239228</v>
      </c>
      <c r="R4" s="62">
        <v>53.846857242385319</v>
      </c>
      <c r="S4" s="62">
        <v>54.540419324639132</v>
      </c>
      <c r="T4" s="62">
        <v>56.646730966014239</v>
      </c>
      <c r="U4" s="62">
        <v>57.828133504604729</v>
      </c>
      <c r="V4" s="62">
        <v>59.322070061614163</v>
      </c>
      <c r="W4" s="62">
        <v>60.874921077268077</v>
      </c>
      <c r="X4" s="62">
        <v>62.48237573751932</v>
      </c>
      <c r="Y4" s="62">
        <v>64.158803422525096</v>
      </c>
      <c r="Z4" s="62">
        <v>65.554309725457756</v>
      </c>
      <c r="AA4" s="62">
        <v>66.804855869967696</v>
      </c>
      <c r="AB4" s="62">
        <v>68.112494639841643</v>
      </c>
      <c r="AC4" s="62">
        <v>69.460841456829129</v>
      </c>
      <c r="AD4" s="62">
        <v>70.852697784213845</v>
      </c>
      <c r="AE4" s="62">
        <v>72.290865085319737</v>
      </c>
      <c r="AF4" s="62">
        <v>73.778144825646422</v>
      </c>
      <c r="AG4" s="62">
        <v>75.317338467005513</v>
      </c>
      <c r="AH4" s="62">
        <v>76.911247477288583</v>
      </c>
      <c r="AI4" s="62">
        <v>78.562673316200758</v>
      </c>
      <c r="AJ4" s="62">
        <v>80.274417453039405</v>
      </c>
    </row>
    <row r="5" spans="1:36" x14ac:dyDescent="0.25">
      <c r="A5" s="58" t="s">
        <v>17</v>
      </c>
      <c r="B5" s="59" t="s">
        <v>18</v>
      </c>
      <c r="C5" s="60" t="s">
        <v>115</v>
      </c>
      <c r="D5" s="61" t="s">
        <v>30</v>
      </c>
      <c r="E5" s="50" t="s">
        <v>486</v>
      </c>
      <c r="F5" s="50">
        <v>4.9522618229677219E-2</v>
      </c>
      <c r="G5" s="50">
        <v>6.4553351766780606E-2</v>
      </c>
      <c r="H5" s="63" t="s">
        <v>35</v>
      </c>
      <c r="I5" s="62">
        <v>11521.288563279702</v>
      </c>
      <c r="J5" s="62">
        <v>11849.671463717315</v>
      </c>
      <c r="K5" s="62">
        <v>12133.577104787617</v>
      </c>
      <c r="L5" s="62">
        <v>12466.285079793604</v>
      </c>
      <c r="M5" s="62">
        <v>12803.770002830333</v>
      </c>
      <c r="N5" s="62">
        <v>13146.871067470771</v>
      </c>
      <c r="O5" s="62">
        <v>13495.717380418453</v>
      </c>
      <c r="P5" s="62">
        <v>13790.984411399708</v>
      </c>
      <c r="Q5" s="62">
        <v>14149.190960353573</v>
      </c>
      <c r="R5" s="62">
        <v>14514.175611242952</v>
      </c>
      <c r="S5" s="62">
        <v>14701.122117959549</v>
      </c>
      <c r="T5" s="62">
        <v>15268.868846748384</v>
      </c>
      <c r="U5" s="62">
        <v>15587.310531013913</v>
      </c>
      <c r="V5" s="62">
        <v>15989.99433933509</v>
      </c>
      <c r="W5" s="62">
        <v>16408.558272190894</v>
      </c>
      <c r="X5" s="62">
        <v>16841.840369249527</v>
      </c>
      <c r="Y5" s="62">
        <v>17293.713831616991</v>
      </c>
      <c r="Z5" s="62">
        <v>17669.86621236202</v>
      </c>
      <c r="AA5" s="62">
        <v>18006.945241314021</v>
      </c>
      <c r="AB5" s="62">
        <v>18359.413327920953</v>
      </c>
      <c r="AC5" s="62">
        <v>18722.854083590762</v>
      </c>
      <c r="AD5" s="62">
        <v>19098.02263001764</v>
      </c>
      <c r="AE5" s="62">
        <v>19485.674088906639</v>
      </c>
      <c r="AF5" s="62">
        <v>19886.563582549239</v>
      </c>
      <c r="AG5" s="62">
        <v>20301.446232242852</v>
      </c>
      <c r="AH5" s="62">
        <v>20731.077160923694</v>
      </c>
      <c r="AI5" s="62">
        <v>21176.211489321387</v>
      </c>
      <c r="AJ5" s="62">
        <v>21637.604340751077</v>
      </c>
    </row>
    <row r="6" spans="1:36" x14ac:dyDescent="0.25">
      <c r="A6" s="58" t="s">
        <v>17</v>
      </c>
      <c r="B6" s="59" t="s">
        <v>18</v>
      </c>
      <c r="C6" s="60" t="s">
        <v>115</v>
      </c>
      <c r="D6" s="61" t="s">
        <v>30</v>
      </c>
      <c r="E6" s="50" t="s">
        <v>148</v>
      </c>
      <c r="F6" s="50">
        <v>1.0075723253643433E-2</v>
      </c>
      <c r="G6" s="50">
        <v>1.3133831181554942E-2</v>
      </c>
      <c r="H6" s="63" t="s">
        <v>40</v>
      </c>
      <c r="I6" s="62">
        <v>2344.0867877903811</v>
      </c>
      <c r="J6" s="62">
        <v>2410.8985870109514</v>
      </c>
      <c r="K6" s="62">
        <v>2468.6611765474299</v>
      </c>
      <c r="L6" s="62">
        <v>2536.3529424571643</v>
      </c>
      <c r="M6" s="62">
        <v>2605.0166118743332</v>
      </c>
      <c r="N6" s="62">
        <v>2674.8229246042979</v>
      </c>
      <c r="O6" s="62">
        <v>2745.7981483094209</v>
      </c>
      <c r="P6" s="62">
        <v>2805.8722921338531</v>
      </c>
      <c r="Q6" s="62">
        <v>2878.7519213603014</v>
      </c>
      <c r="R6" s="62">
        <v>2953.0106028608129</v>
      </c>
      <c r="S6" s="62">
        <v>2991.0461779625962</v>
      </c>
      <c r="T6" s="62">
        <v>3106.5582232043721</v>
      </c>
      <c r="U6" s="62">
        <v>3171.3474124229824</v>
      </c>
      <c r="V6" s="62">
        <v>3253.2762513335219</v>
      </c>
      <c r="W6" s="62">
        <v>3338.4360127147243</v>
      </c>
      <c r="X6" s="62">
        <v>3426.590287605321</v>
      </c>
      <c r="Y6" s="62">
        <v>3518.527105876206</v>
      </c>
      <c r="Z6" s="62">
        <v>3595.0579401711266</v>
      </c>
      <c r="AA6" s="62">
        <v>3663.6390275961835</v>
      </c>
      <c r="AB6" s="62">
        <v>3735.3511264985887</v>
      </c>
      <c r="AC6" s="62">
        <v>3809.2956917120159</v>
      </c>
      <c r="AD6" s="62">
        <v>3885.6263580297273</v>
      </c>
      <c r="AE6" s="62">
        <v>3964.4967602471938</v>
      </c>
      <c r="AF6" s="62">
        <v>4046.0605332792006</v>
      </c>
      <c r="AG6" s="62">
        <v>4130.4713118382797</v>
      </c>
      <c r="AH6" s="62">
        <v>4217.8827309703938</v>
      </c>
      <c r="AI6" s="62">
        <v>4308.4484252725561</v>
      </c>
      <c r="AJ6" s="62">
        <v>4402.3220298678207</v>
      </c>
    </row>
    <row r="7" spans="1:36" x14ac:dyDescent="0.25">
      <c r="A7" s="58" t="s">
        <v>17</v>
      </c>
      <c r="B7" s="59" t="s">
        <v>18</v>
      </c>
      <c r="C7" s="60" t="s">
        <v>115</v>
      </c>
      <c r="D7" s="61" t="s">
        <v>30</v>
      </c>
      <c r="E7" s="50" t="s">
        <v>300</v>
      </c>
      <c r="F7" s="50">
        <v>6.6809603007996236E-4</v>
      </c>
      <c r="G7" s="50">
        <v>8.7087152467832179E-4</v>
      </c>
      <c r="H7" s="63" t="s">
        <v>299</v>
      </c>
      <c r="I7" s="62">
        <v>155.43053711001284</v>
      </c>
      <c r="J7" s="62">
        <v>159.86066055605147</v>
      </c>
      <c r="K7" s="62">
        <v>163.69075352158671</v>
      </c>
      <c r="L7" s="62">
        <v>168.1792253597788</v>
      </c>
      <c r="M7" s="62">
        <v>172.73214169079705</v>
      </c>
      <c r="N7" s="62">
        <v>177.36082384446235</v>
      </c>
      <c r="O7" s="62">
        <v>182.06701356382399</v>
      </c>
      <c r="P7" s="62">
        <v>186.05037991770263</v>
      </c>
      <c r="Q7" s="62">
        <v>190.88284600814265</v>
      </c>
      <c r="R7" s="62">
        <v>195.80675360867386</v>
      </c>
      <c r="S7" s="62">
        <v>198.3287975441423</v>
      </c>
      <c r="T7" s="62">
        <v>205.98811260368814</v>
      </c>
      <c r="U7" s="62">
        <v>210.28412183492628</v>
      </c>
      <c r="V7" s="62">
        <v>215.71661840586967</v>
      </c>
      <c r="W7" s="62">
        <v>221.36334937188391</v>
      </c>
      <c r="X7" s="62">
        <v>227.20863904552479</v>
      </c>
      <c r="Y7" s="62">
        <v>233.30473971827305</v>
      </c>
      <c r="Z7" s="62">
        <v>238.37930809257364</v>
      </c>
      <c r="AA7" s="62">
        <v>242.92674861806435</v>
      </c>
      <c r="AB7" s="62">
        <v>247.68179869033324</v>
      </c>
      <c r="AC7" s="62">
        <v>252.58487802483322</v>
      </c>
      <c r="AD7" s="62">
        <v>257.64617376077757</v>
      </c>
      <c r="AE7" s="62">
        <v>262.87587303752628</v>
      </c>
      <c r="AF7" s="62">
        <v>268.28416300235062</v>
      </c>
      <c r="AG7" s="62">
        <v>273.88123078911093</v>
      </c>
      <c r="AH7" s="62">
        <v>279.67726355377664</v>
      </c>
      <c r="AI7" s="62">
        <v>285.68244842254825</v>
      </c>
      <c r="AJ7" s="62">
        <v>291.90697255650696</v>
      </c>
    </row>
    <row r="8" spans="1:36" x14ac:dyDescent="0.25">
      <c r="A8" s="58" t="s">
        <v>17</v>
      </c>
      <c r="B8" s="59" t="s">
        <v>18</v>
      </c>
      <c r="C8" s="60" t="s">
        <v>115</v>
      </c>
      <c r="D8" s="61" t="s">
        <v>30</v>
      </c>
      <c r="E8" s="50" t="s">
        <v>119</v>
      </c>
      <c r="F8" s="50">
        <v>3.3530069509638116E-3</v>
      </c>
      <c r="G8" s="50">
        <v>4.3706864644793278E-3</v>
      </c>
      <c r="H8" s="63" t="s">
        <v>118</v>
      </c>
      <c r="I8" s="62">
        <v>780.06700812087695</v>
      </c>
      <c r="J8" s="62">
        <v>802.30069016568336</v>
      </c>
      <c r="K8" s="62">
        <v>821.52296923646338</v>
      </c>
      <c r="L8" s="62">
        <v>844.04948727438989</v>
      </c>
      <c r="M8" s="62">
        <v>866.89943611068782</v>
      </c>
      <c r="N8" s="62">
        <v>890.12963466939539</v>
      </c>
      <c r="O8" s="62">
        <v>913.74882432344168</v>
      </c>
      <c r="P8" s="62">
        <v>933.74034421197018</v>
      </c>
      <c r="Q8" s="62">
        <v>957.99328340336592</v>
      </c>
      <c r="R8" s="62">
        <v>982.705144673532</v>
      </c>
      <c r="S8" s="62">
        <v>995.36265267466422</v>
      </c>
      <c r="T8" s="62">
        <v>1033.8028401297599</v>
      </c>
      <c r="U8" s="62">
        <v>1055.3634364590364</v>
      </c>
      <c r="V8" s="62">
        <v>1082.6277786244584</v>
      </c>
      <c r="W8" s="62">
        <v>1110.9673096601425</v>
      </c>
      <c r="X8" s="62">
        <v>1140.3033572097277</v>
      </c>
      <c r="Y8" s="62">
        <v>1170.8981624610828</v>
      </c>
      <c r="Z8" s="62">
        <v>1196.366152489604</v>
      </c>
      <c r="AA8" s="62">
        <v>1219.1886196269106</v>
      </c>
      <c r="AB8" s="62">
        <v>1243.0530271771102</v>
      </c>
      <c r="AC8" s="62">
        <v>1267.6603565871317</v>
      </c>
      <c r="AD8" s="62">
        <v>1293.0617345619025</v>
      </c>
      <c r="AE8" s="62">
        <v>1319.3082878070852</v>
      </c>
      <c r="AF8" s="62">
        <v>1346.4511430680473</v>
      </c>
      <c r="AG8" s="62">
        <v>1374.5414270228507</v>
      </c>
      <c r="AH8" s="62">
        <v>1403.6302664605166</v>
      </c>
      <c r="AI8" s="62">
        <v>1433.768788020664</v>
      </c>
      <c r="AJ8" s="62">
        <v>1465.0081185179693</v>
      </c>
    </row>
    <row r="9" spans="1:36" x14ac:dyDescent="0.25">
      <c r="A9" s="58" t="s">
        <v>17</v>
      </c>
      <c r="B9" s="59" t="s">
        <v>18</v>
      </c>
      <c r="C9" s="60" t="s">
        <v>115</v>
      </c>
      <c r="D9" s="61" t="s">
        <v>30</v>
      </c>
      <c r="E9" s="50" t="s">
        <v>240</v>
      </c>
      <c r="F9" s="50">
        <v>8.7270043929195092E-4</v>
      </c>
      <c r="G9" s="50">
        <v>1.1375759291110579E-3</v>
      </c>
      <c r="H9" s="63" t="s">
        <v>111</v>
      </c>
      <c r="I9" s="62">
        <v>203.03113909995429</v>
      </c>
      <c r="J9" s="62">
        <v>208.81798785134222</v>
      </c>
      <c r="K9" s="62">
        <v>213.82104678757267</v>
      </c>
      <c r="L9" s="62">
        <v>219.68411312621106</v>
      </c>
      <c r="M9" s="62">
        <v>225.63136008360365</v>
      </c>
      <c r="N9" s="62">
        <v>231.67757614682893</v>
      </c>
      <c r="O9" s="62">
        <v>237.82503646774509</v>
      </c>
      <c r="P9" s="62">
        <v>243.02830876749908</v>
      </c>
      <c r="Q9" s="62">
        <v>249.34071759813634</v>
      </c>
      <c r="R9" s="62">
        <v>255.77257190133025</v>
      </c>
      <c r="S9" s="62">
        <v>259.06699179203588</v>
      </c>
      <c r="T9" s="62">
        <v>269.07197208856763</v>
      </c>
      <c r="U9" s="62">
        <v>274.68363414687246</v>
      </c>
      <c r="V9" s="62">
        <v>281.77983279266726</v>
      </c>
      <c r="W9" s="62">
        <v>289.15587511702336</v>
      </c>
      <c r="X9" s="62">
        <v>296.79128475321676</v>
      </c>
      <c r="Y9" s="62">
        <v>304.75431625699417</v>
      </c>
      <c r="Z9" s="62">
        <v>311.38297119592431</v>
      </c>
      <c r="AA9" s="62">
        <v>317.32306538234661</v>
      </c>
      <c r="AB9" s="62">
        <v>323.53434953924784</v>
      </c>
      <c r="AC9" s="62">
        <v>329.9389969199384</v>
      </c>
      <c r="AD9" s="62">
        <v>336.55031447501574</v>
      </c>
      <c r="AE9" s="62">
        <v>343.38160915526873</v>
      </c>
      <c r="AF9" s="62">
        <v>350.44618792182052</v>
      </c>
      <c r="AG9" s="62">
        <v>357.75735771827618</v>
      </c>
      <c r="AH9" s="62">
        <v>365.32842551712076</v>
      </c>
      <c r="AI9" s="62">
        <v>373.17269825195365</v>
      </c>
      <c r="AJ9" s="62">
        <v>381.30348290193717</v>
      </c>
    </row>
    <row r="10" spans="1:36" x14ac:dyDescent="0.25">
      <c r="A10" s="58" t="s">
        <v>17</v>
      </c>
      <c r="B10" s="59" t="s">
        <v>18</v>
      </c>
      <c r="C10" s="60" t="s">
        <v>115</v>
      </c>
      <c r="D10" s="61" t="s">
        <v>30</v>
      </c>
      <c r="E10" s="50" t="s">
        <v>130</v>
      </c>
      <c r="F10" s="50">
        <v>7.7248603477995655E-4</v>
      </c>
      <c r="G10" s="50">
        <v>1.0069452004093096E-3</v>
      </c>
      <c r="H10" s="63" t="s">
        <v>129</v>
      </c>
      <c r="I10" s="62">
        <v>179.71655853345234</v>
      </c>
      <c r="J10" s="62">
        <v>184.83888876793449</v>
      </c>
      <c r="K10" s="62">
        <v>189.26743375933464</v>
      </c>
      <c r="L10" s="62">
        <v>194.45722932224422</v>
      </c>
      <c r="M10" s="62">
        <v>199.7215388299841</v>
      </c>
      <c r="N10" s="62">
        <v>205.07345257015959</v>
      </c>
      <c r="O10" s="62">
        <v>210.51498443317149</v>
      </c>
      <c r="P10" s="62">
        <v>215.12075177984366</v>
      </c>
      <c r="Q10" s="62">
        <v>220.70829069691493</v>
      </c>
      <c r="R10" s="62">
        <v>226.40155886002916</v>
      </c>
      <c r="S10" s="62">
        <v>229.31767216041453</v>
      </c>
      <c r="T10" s="62">
        <v>238.17375519801439</v>
      </c>
      <c r="U10" s="62">
        <v>243.14101587163353</v>
      </c>
      <c r="V10" s="62">
        <v>249.4223400317868</v>
      </c>
      <c r="W10" s="62">
        <v>255.95137271124077</v>
      </c>
      <c r="X10" s="62">
        <v>262.70998889638804</v>
      </c>
      <c r="Y10" s="62">
        <v>269.75860529925319</v>
      </c>
      <c r="Z10" s="62">
        <v>275.62607498203823</v>
      </c>
      <c r="AA10" s="62">
        <v>280.88405308963689</v>
      </c>
      <c r="AB10" s="62">
        <v>286.3820797356978</v>
      </c>
      <c r="AC10" s="62">
        <v>292.05126521621338</v>
      </c>
      <c r="AD10" s="62">
        <v>297.90338841089908</v>
      </c>
      <c r="AE10" s="62">
        <v>303.95022819963981</v>
      </c>
      <c r="AF10" s="62">
        <v>310.20356347146787</v>
      </c>
      <c r="AG10" s="62">
        <v>316.67517309990956</v>
      </c>
      <c r="AH10" s="62">
        <v>323.37683598405425</v>
      </c>
      <c r="AI10" s="62">
        <v>330.32033098857136</v>
      </c>
      <c r="AJ10" s="62">
        <v>337.51743701846112</v>
      </c>
    </row>
    <row r="11" spans="1:36" x14ac:dyDescent="0.25">
      <c r="A11" s="58" t="s">
        <v>17</v>
      </c>
      <c r="B11" s="59" t="s">
        <v>18</v>
      </c>
      <c r="C11" s="60" t="s">
        <v>115</v>
      </c>
      <c r="D11" s="61" t="s">
        <v>30</v>
      </c>
      <c r="E11" s="50" t="s">
        <v>457</v>
      </c>
      <c r="F11" s="50">
        <v>8.2676883722395355E-4</v>
      </c>
      <c r="G11" s="50">
        <v>1.0777035117894233E-3</v>
      </c>
      <c r="H11" s="63" t="s">
        <v>55</v>
      </c>
      <c r="I11" s="62">
        <v>192.34528967364091</v>
      </c>
      <c r="J11" s="62">
        <v>197.8275674381137</v>
      </c>
      <c r="K11" s="62">
        <v>202.56730748296357</v>
      </c>
      <c r="L11" s="62">
        <v>208.12179138272626</v>
      </c>
      <c r="M11" s="62">
        <v>213.75602534236137</v>
      </c>
      <c r="N11" s="62">
        <v>219.48401950752216</v>
      </c>
      <c r="O11" s="62">
        <v>225.30792928523221</v>
      </c>
      <c r="P11" s="62">
        <v>230.23734514815703</v>
      </c>
      <c r="Q11" s="62">
        <v>236.21752193507655</v>
      </c>
      <c r="R11" s="62">
        <v>242.31085759073395</v>
      </c>
      <c r="S11" s="62">
        <v>245.43188696087611</v>
      </c>
      <c r="T11" s="62">
        <v>254.91028934706409</v>
      </c>
      <c r="U11" s="62">
        <v>260.22660077072129</v>
      </c>
      <c r="V11" s="62">
        <v>266.94931527726374</v>
      </c>
      <c r="W11" s="62">
        <v>273.93714484770635</v>
      </c>
      <c r="X11" s="62">
        <v>281.17069081883693</v>
      </c>
      <c r="Y11" s="62">
        <v>288.71461540136295</v>
      </c>
      <c r="Z11" s="62">
        <v>294.9943937645599</v>
      </c>
      <c r="AA11" s="62">
        <v>300.62185141485469</v>
      </c>
      <c r="AB11" s="62">
        <v>306.5062258792874</v>
      </c>
      <c r="AC11" s="62">
        <v>312.57378655573109</v>
      </c>
      <c r="AD11" s="62">
        <v>318.83714002896227</v>
      </c>
      <c r="AE11" s="62">
        <v>325.30889288393882</v>
      </c>
      <c r="AF11" s="62">
        <v>332.00165171540891</v>
      </c>
      <c r="AG11" s="62">
        <v>338.92802310152484</v>
      </c>
      <c r="AH11" s="62">
        <v>346.10061364779864</v>
      </c>
      <c r="AI11" s="62">
        <v>353.53202992290346</v>
      </c>
      <c r="AJ11" s="62">
        <v>361.23487853867738</v>
      </c>
    </row>
    <row r="12" spans="1:36" x14ac:dyDescent="0.25">
      <c r="A12" s="58" t="s">
        <v>17</v>
      </c>
      <c r="B12" s="59" t="s">
        <v>18</v>
      </c>
      <c r="C12" s="60" t="s">
        <v>115</v>
      </c>
      <c r="D12" s="61" t="s">
        <v>30</v>
      </c>
      <c r="E12" s="50" t="s">
        <v>461</v>
      </c>
      <c r="F12" s="50">
        <v>4.469980001253749E-2</v>
      </c>
      <c r="G12" s="50">
        <v>5.8266747948008971E-2</v>
      </c>
      <c r="H12" s="63" t="s">
        <v>57</v>
      </c>
      <c r="I12" s="62">
        <v>10399.274373516797</v>
      </c>
      <c r="J12" s="62">
        <v>10695.677320328319</v>
      </c>
      <c r="K12" s="62">
        <v>10951.934477803663</v>
      </c>
      <c r="L12" s="62">
        <v>11252.2412967277</v>
      </c>
      <c r="M12" s="62">
        <v>11556.859854999891</v>
      </c>
      <c r="N12" s="62">
        <v>11866.547620343559</v>
      </c>
      <c r="O12" s="62">
        <v>12181.4211262546</v>
      </c>
      <c r="P12" s="62">
        <v>12447.933231368792</v>
      </c>
      <c r="Q12" s="62">
        <v>12771.255415732294</v>
      </c>
      <c r="R12" s="62">
        <v>13100.695608630336</v>
      </c>
      <c r="S12" s="62">
        <v>13269.436110687771</v>
      </c>
      <c r="T12" s="62">
        <v>13781.89215889051</v>
      </c>
      <c r="U12" s="62">
        <v>14069.322026518039</v>
      </c>
      <c r="V12" s="62">
        <v>14432.790000217718</v>
      </c>
      <c r="W12" s="62">
        <v>14810.591593912608</v>
      </c>
      <c r="X12" s="62">
        <v>15201.678006139644</v>
      </c>
      <c r="Y12" s="62">
        <v>15609.545241775708</v>
      </c>
      <c r="Z12" s="62">
        <v>15949.065582068755</v>
      </c>
      <c r="AA12" s="62">
        <v>16253.317774727369</v>
      </c>
      <c r="AB12" s="62">
        <v>16571.460343625109</v>
      </c>
      <c r="AC12" s="62">
        <v>16899.506995348998</v>
      </c>
      <c r="AD12" s="62">
        <v>17238.139313182026</v>
      </c>
      <c r="AE12" s="62">
        <v>17588.038880416996</v>
      </c>
      <c r="AF12" s="62">
        <v>17949.887280876021</v>
      </c>
      <c r="AG12" s="62">
        <v>18324.366097483955</v>
      </c>
      <c r="AH12" s="62">
        <v>18712.156914644871</v>
      </c>
      <c r="AI12" s="62">
        <v>19113.941314771117</v>
      </c>
      <c r="AJ12" s="62">
        <v>19530.400882608792</v>
      </c>
    </row>
    <row r="13" spans="1:36" x14ac:dyDescent="0.25">
      <c r="A13" s="58" t="s">
        <v>17</v>
      </c>
      <c r="B13" s="59" t="s">
        <v>18</v>
      </c>
      <c r="C13" s="60" t="s">
        <v>115</v>
      </c>
      <c r="D13" s="61" t="s">
        <v>30</v>
      </c>
      <c r="E13" s="50" t="s">
        <v>140</v>
      </c>
      <c r="F13" s="50">
        <v>1.5892334315527105E-2</v>
      </c>
      <c r="G13" s="50">
        <v>2.0715856393285579E-2</v>
      </c>
      <c r="H13" s="63" t="s">
        <v>82</v>
      </c>
      <c r="I13" s="62">
        <v>3697.3039015044301</v>
      </c>
      <c r="J13" s="62">
        <v>3802.6854629770742</v>
      </c>
      <c r="K13" s="62">
        <v>3893.7937993947439</v>
      </c>
      <c r="L13" s="62">
        <v>4000.563323245738</v>
      </c>
      <c r="M13" s="62">
        <v>4108.8658204698349</v>
      </c>
      <c r="N13" s="62">
        <v>4218.9705972001475</v>
      </c>
      <c r="O13" s="62">
        <v>4330.9190851494632</v>
      </c>
      <c r="P13" s="62">
        <v>4425.6734122923508</v>
      </c>
      <c r="Q13" s="62">
        <v>4540.6256994186933</v>
      </c>
      <c r="R13" s="62">
        <v>4657.7531514663297</v>
      </c>
      <c r="S13" s="62">
        <v>4717.7462715812844</v>
      </c>
      <c r="T13" s="62">
        <v>4899.9422285602313</v>
      </c>
      <c r="U13" s="62">
        <v>5002.1335481483093</v>
      </c>
      <c r="V13" s="62">
        <v>5131.3590603296243</v>
      </c>
      <c r="W13" s="62">
        <v>5265.6806731836878</v>
      </c>
      <c r="X13" s="62">
        <v>5404.7255012954211</v>
      </c>
      <c r="Y13" s="62">
        <v>5549.7364960484201</v>
      </c>
      <c r="Z13" s="62">
        <v>5670.4477912520952</v>
      </c>
      <c r="AA13" s="62">
        <v>5778.6200327522056</v>
      </c>
      <c r="AB13" s="62">
        <v>5891.730786346302</v>
      </c>
      <c r="AC13" s="62">
        <v>6008.3627860157194</v>
      </c>
      <c r="AD13" s="62">
        <v>6128.7583583344967</v>
      </c>
      <c r="AE13" s="62">
        <v>6253.1598298801564</v>
      </c>
      <c r="AF13" s="62">
        <v>6381.8095274184152</v>
      </c>
      <c r="AG13" s="62">
        <v>6514.9497773959765</v>
      </c>
      <c r="AH13" s="62">
        <v>6652.8229067854618</v>
      </c>
      <c r="AI13" s="62">
        <v>6795.6712418513653</v>
      </c>
      <c r="AJ13" s="62">
        <v>6943.7371096879087</v>
      </c>
    </row>
    <row r="14" spans="1:36" x14ac:dyDescent="0.25">
      <c r="A14" s="58" t="s">
        <v>17</v>
      </c>
      <c r="B14" s="59" t="s">
        <v>18</v>
      </c>
      <c r="C14" s="60" t="s">
        <v>115</v>
      </c>
      <c r="D14" s="61" t="s">
        <v>30</v>
      </c>
      <c r="E14" s="50" t="s">
        <v>377</v>
      </c>
      <c r="F14" s="50">
        <v>2.6306281184398521E-4</v>
      </c>
      <c r="G14" s="50">
        <v>3.4290566284208922E-4</v>
      </c>
      <c r="H14" s="63" t="s">
        <v>376</v>
      </c>
      <c r="I14" s="62">
        <v>61.200773987067556</v>
      </c>
      <c r="J14" s="62">
        <v>62.945135093945268</v>
      </c>
      <c r="K14" s="62">
        <v>64.453234199124779</v>
      </c>
      <c r="L14" s="62">
        <v>66.220569985412908</v>
      </c>
      <c r="M14" s="62">
        <v>68.013280790751338</v>
      </c>
      <c r="N14" s="62">
        <v>69.835824388757047</v>
      </c>
      <c r="O14" s="62">
        <v>71.6888865907557</v>
      </c>
      <c r="P14" s="62">
        <v>73.257337092595421</v>
      </c>
      <c r="Q14" s="62">
        <v>75.160120615706163</v>
      </c>
      <c r="R14" s="62">
        <v>77.098909233415341</v>
      </c>
      <c r="S14" s="62">
        <v>78.091964033006036</v>
      </c>
      <c r="T14" s="62">
        <v>81.10781933770221</v>
      </c>
      <c r="U14" s="62">
        <v>82.799372972502226</v>
      </c>
      <c r="V14" s="62">
        <v>84.93841849731119</v>
      </c>
      <c r="W14" s="62">
        <v>87.161818815179288</v>
      </c>
      <c r="X14" s="62">
        <v>89.46340162417539</v>
      </c>
      <c r="Y14" s="62">
        <v>91.863741264070015</v>
      </c>
      <c r="Z14" s="62">
        <v>93.861852561450874</v>
      </c>
      <c r="AA14" s="62">
        <v>95.65240726836285</v>
      </c>
      <c r="AB14" s="62">
        <v>97.524708234318723</v>
      </c>
      <c r="AC14" s="62">
        <v>99.45529572227808</v>
      </c>
      <c r="AD14" s="62">
        <v>101.44818091830618</v>
      </c>
      <c r="AE14" s="62">
        <v>103.50737500852598</v>
      </c>
      <c r="AF14" s="62">
        <v>105.63688918217557</v>
      </c>
      <c r="AG14" s="62">
        <v>107.84073462321244</v>
      </c>
      <c r="AH14" s="62">
        <v>110.12292252429955</v>
      </c>
      <c r="AI14" s="62">
        <v>112.48746406637837</v>
      </c>
      <c r="AJ14" s="62">
        <v>114.93837044412462</v>
      </c>
    </row>
    <row r="15" spans="1:36" x14ac:dyDescent="0.25">
      <c r="A15" s="58" t="s">
        <v>17</v>
      </c>
      <c r="B15" s="59" t="s">
        <v>18</v>
      </c>
      <c r="C15" s="60" t="s">
        <v>115</v>
      </c>
      <c r="D15" s="61" t="s">
        <v>30</v>
      </c>
      <c r="E15" s="50" t="s">
        <v>507</v>
      </c>
      <c r="F15" s="50">
        <v>2.3842677073478659E-3</v>
      </c>
      <c r="G15" s="50">
        <v>3.1079227536957611E-3</v>
      </c>
      <c r="H15" s="63" t="s">
        <v>84</v>
      </c>
      <c r="I15" s="62">
        <v>554.69272931135833</v>
      </c>
      <c r="J15" s="62">
        <v>570.5027323594087</v>
      </c>
      <c r="K15" s="62">
        <v>584.17137663016263</v>
      </c>
      <c r="L15" s="62">
        <v>600.18961050271059</v>
      </c>
      <c r="M15" s="62">
        <v>616.43783065903199</v>
      </c>
      <c r="N15" s="62">
        <v>632.95644009492503</v>
      </c>
      <c r="O15" s="62">
        <v>649.75165465589691</v>
      </c>
      <c r="P15" s="62">
        <v>663.96729333130133</v>
      </c>
      <c r="Q15" s="62">
        <v>681.21315669155911</v>
      </c>
      <c r="R15" s="62">
        <v>698.78535194095491</v>
      </c>
      <c r="S15" s="62">
        <v>707.7858962356579</v>
      </c>
      <c r="T15" s="62">
        <v>735.1200768544121</v>
      </c>
      <c r="U15" s="62">
        <v>750.45145979839322</v>
      </c>
      <c r="V15" s="62">
        <v>769.83868193594742</v>
      </c>
      <c r="W15" s="62">
        <v>789.99045307091069</v>
      </c>
      <c r="X15" s="62">
        <v>810.85083059371664</v>
      </c>
      <c r="Y15" s="62">
        <v>832.60628986958704</v>
      </c>
      <c r="Z15" s="62">
        <v>850.71615575537226</v>
      </c>
      <c r="AA15" s="62">
        <v>866.94483413071725</v>
      </c>
      <c r="AB15" s="62">
        <v>883.91441907612682</v>
      </c>
      <c r="AC15" s="62">
        <v>901.41228345112359</v>
      </c>
      <c r="AD15" s="62">
        <v>919.47478260877506</v>
      </c>
      <c r="AE15" s="62">
        <v>938.13827190267205</v>
      </c>
      <c r="AF15" s="62">
        <v>957.4391067146388</v>
      </c>
      <c r="AG15" s="62">
        <v>977.41364237863979</v>
      </c>
      <c r="AH15" s="62">
        <v>998.09823430754045</v>
      </c>
      <c r="AI15" s="62">
        <v>1019.529237807969</v>
      </c>
      <c r="AJ15" s="62">
        <v>1041.7430083110341</v>
      </c>
    </row>
    <row r="16" spans="1:36" x14ac:dyDescent="0.25">
      <c r="A16" s="58" t="s">
        <v>17</v>
      </c>
      <c r="B16" s="59" t="s">
        <v>18</v>
      </c>
      <c r="C16" s="60" t="s">
        <v>115</v>
      </c>
      <c r="D16" s="61" t="s">
        <v>30</v>
      </c>
      <c r="E16" s="50" t="s">
        <v>175</v>
      </c>
      <c r="F16" s="50">
        <v>1.9032385656902927E-2</v>
      </c>
      <c r="G16" s="50">
        <v>2.4808952559273692E-2</v>
      </c>
      <c r="H16" s="63" t="s">
        <v>43</v>
      </c>
      <c r="I16" s="62">
        <v>4427.8274259214904</v>
      </c>
      <c r="J16" s="62">
        <v>4554.0305675905156</v>
      </c>
      <c r="K16" s="62">
        <v>4663.1403409462018</v>
      </c>
      <c r="L16" s="62">
        <v>4791.0056824366984</v>
      </c>
      <c r="M16" s="62">
        <v>4920.7068864165813</v>
      </c>
      <c r="N16" s="62">
        <v>5052.5664692691207</v>
      </c>
      <c r="O16" s="62">
        <v>5186.6340488994356</v>
      </c>
      <c r="P16" s="62">
        <v>5300.1101979055538</v>
      </c>
      <c r="Q16" s="62">
        <v>5437.7750756569631</v>
      </c>
      <c r="R16" s="62">
        <v>5578.0448934270971</v>
      </c>
      <c r="S16" s="62">
        <v>5649.8916200387539</v>
      </c>
      <c r="T16" s="62">
        <v>5868.0863577975661</v>
      </c>
      <c r="U16" s="62">
        <v>5990.4689207724632</v>
      </c>
      <c r="V16" s="62">
        <v>6145.2271668372123</v>
      </c>
      <c r="W16" s="62">
        <v>6306.088415231543</v>
      </c>
      <c r="X16" s="62">
        <v>6472.6061048093879</v>
      </c>
      <c r="Y16" s="62">
        <v>6646.2687727243037</v>
      </c>
      <c r="Z16" s="62">
        <v>6790.8305392871916</v>
      </c>
      <c r="AA16" s="62">
        <v>6920.3757512571083</v>
      </c>
      <c r="AB16" s="62">
        <v>7055.8352401908687</v>
      </c>
      <c r="AC16" s="62">
        <v>7195.5117127324356</v>
      </c>
      <c r="AD16" s="62">
        <v>7339.6953750101511</v>
      </c>
      <c r="AE16" s="62">
        <v>7488.6764331565309</v>
      </c>
      <c r="AF16" s="62">
        <v>7642.7450935294628</v>
      </c>
      <c r="AG16" s="62">
        <v>7802.1915621047983</v>
      </c>
      <c r="AH16" s="62">
        <v>7967.3060454882116</v>
      </c>
      <c r="AI16" s="62">
        <v>8138.3787494373428</v>
      </c>
      <c r="AJ16" s="62">
        <v>8315.6998807034906</v>
      </c>
    </row>
    <row r="17" spans="1:36" x14ac:dyDescent="0.25">
      <c r="A17" s="58" t="s">
        <v>17</v>
      </c>
      <c r="B17" s="59" t="s">
        <v>18</v>
      </c>
      <c r="C17" s="60" t="s">
        <v>115</v>
      </c>
      <c r="D17" s="61" t="s">
        <v>30</v>
      </c>
      <c r="E17" s="50" t="s">
        <v>339</v>
      </c>
      <c r="F17" s="50">
        <v>5.9711082688396642E-3</v>
      </c>
      <c r="G17" s="50">
        <v>7.7834142518125012E-3</v>
      </c>
      <c r="H17" s="63" t="s">
        <v>338</v>
      </c>
      <c r="I17" s="62">
        <v>1389.1604254207398</v>
      </c>
      <c r="J17" s="62">
        <v>1428.7546537197099</v>
      </c>
      <c r="K17" s="62">
        <v>1462.9861095991814</v>
      </c>
      <c r="L17" s="62">
        <v>1503.101826653023</v>
      </c>
      <c r="M17" s="62">
        <v>1543.7935163614986</v>
      </c>
      <c r="N17" s="62">
        <v>1585.1623631098821</v>
      </c>
      <c r="O17" s="62">
        <v>1627.2239337266769</v>
      </c>
      <c r="P17" s="62">
        <v>1662.8252705144673</v>
      </c>
      <c r="Q17" s="62">
        <v>1706.015436197775</v>
      </c>
      <c r="R17" s="62">
        <v>1750.0228603775229</v>
      </c>
      <c r="S17" s="62">
        <v>1772.5636280507717</v>
      </c>
      <c r="T17" s="62">
        <v>1841.0187563954628</v>
      </c>
      <c r="U17" s="62">
        <v>1879.4143388996538</v>
      </c>
      <c r="V17" s="62">
        <v>1927.9672770024602</v>
      </c>
      <c r="W17" s="62">
        <v>1978.4349350112125</v>
      </c>
      <c r="X17" s="62">
        <v>2030.6772114693779</v>
      </c>
      <c r="Y17" s="62">
        <v>2085.1611112320657</v>
      </c>
      <c r="Z17" s="62">
        <v>2130.515066077377</v>
      </c>
      <c r="AA17" s="62">
        <v>2171.1578157739505</v>
      </c>
      <c r="AB17" s="62">
        <v>2213.6560757948537</v>
      </c>
      <c r="AC17" s="62">
        <v>2257.4773473469468</v>
      </c>
      <c r="AD17" s="62">
        <v>2302.7126779869495</v>
      </c>
      <c r="AE17" s="62">
        <v>2349.4531152728914</v>
      </c>
      <c r="AF17" s="62">
        <v>2397.7897068335087</v>
      </c>
      <c r="AG17" s="62">
        <v>2447.8135001776791</v>
      </c>
      <c r="AH17" s="62">
        <v>2499.6155430118788</v>
      </c>
      <c r="AI17" s="62">
        <v>2553.2868827765246</v>
      </c>
      <c r="AJ17" s="62">
        <v>2608.9185672237809</v>
      </c>
    </row>
    <row r="18" spans="1:36" x14ac:dyDescent="0.25">
      <c r="A18" s="58" t="s">
        <v>17</v>
      </c>
      <c r="B18" s="59" t="s">
        <v>18</v>
      </c>
      <c r="C18" s="60" t="s">
        <v>115</v>
      </c>
      <c r="D18" s="61" t="s">
        <v>30</v>
      </c>
      <c r="E18" s="50" t="s">
        <v>353</v>
      </c>
      <c r="F18" s="50">
        <v>5.2612562368797042E-4</v>
      </c>
      <c r="G18" s="50">
        <v>6.8581132568417845E-4</v>
      </c>
      <c r="H18" s="63" t="s">
        <v>352</v>
      </c>
      <c r="I18" s="62">
        <v>122.40154797413511</v>
      </c>
      <c r="J18" s="62">
        <v>125.89027018789054</v>
      </c>
      <c r="K18" s="62">
        <v>128.90646839824956</v>
      </c>
      <c r="L18" s="62">
        <v>132.44113997082582</v>
      </c>
      <c r="M18" s="62">
        <v>136.02656158150268</v>
      </c>
      <c r="N18" s="62">
        <v>139.67164877751409</v>
      </c>
      <c r="O18" s="62">
        <v>143.3777731815114</v>
      </c>
      <c r="P18" s="62">
        <v>146.51467418519084</v>
      </c>
      <c r="Q18" s="62">
        <v>150.32024123141233</v>
      </c>
      <c r="R18" s="62">
        <v>154.19781846683068</v>
      </c>
      <c r="S18" s="62">
        <v>156.18392806601207</v>
      </c>
      <c r="T18" s="62">
        <v>162.21563867540442</v>
      </c>
      <c r="U18" s="62">
        <v>165.59874594500445</v>
      </c>
      <c r="V18" s="62">
        <v>169.87683699462238</v>
      </c>
      <c r="W18" s="62">
        <v>174.32363763035858</v>
      </c>
      <c r="X18" s="62">
        <v>178.92680324835078</v>
      </c>
      <c r="Y18" s="62">
        <v>183.72748252814003</v>
      </c>
      <c r="Z18" s="62">
        <v>187.72370512290175</v>
      </c>
      <c r="AA18" s="62">
        <v>191.3048145367257</v>
      </c>
      <c r="AB18" s="62">
        <v>195.04941646863745</v>
      </c>
      <c r="AC18" s="62">
        <v>198.91059144455616</v>
      </c>
      <c r="AD18" s="62">
        <v>202.89636183661236</v>
      </c>
      <c r="AE18" s="62">
        <v>207.01475001705197</v>
      </c>
      <c r="AF18" s="62">
        <v>211.27377836435113</v>
      </c>
      <c r="AG18" s="62">
        <v>215.68146924642488</v>
      </c>
      <c r="AH18" s="62">
        <v>220.24584504859911</v>
      </c>
      <c r="AI18" s="62">
        <v>224.97492813275673</v>
      </c>
      <c r="AJ18" s="62">
        <v>229.87674088824923</v>
      </c>
    </row>
    <row r="19" spans="1:36" x14ac:dyDescent="0.25">
      <c r="A19" s="58" t="s">
        <v>17</v>
      </c>
      <c r="B19" s="59" t="s">
        <v>18</v>
      </c>
      <c r="C19" s="60" t="s">
        <v>115</v>
      </c>
      <c r="D19" s="61" t="s">
        <v>30</v>
      </c>
      <c r="E19" s="50" t="s">
        <v>483</v>
      </c>
      <c r="F19" s="50">
        <v>1.670240075199906E-5</v>
      </c>
      <c r="G19" s="50">
        <v>2.1771788116958046E-5</v>
      </c>
      <c r="H19" s="63" t="s">
        <v>482</v>
      </c>
      <c r="I19" s="62">
        <v>3.8857634277503212</v>
      </c>
      <c r="J19" s="62">
        <v>3.9965165139012866</v>
      </c>
      <c r="K19" s="62">
        <v>4.0922688380396686</v>
      </c>
      <c r="L19" s="62">
        <v>4.2044806339944705</v>
      </c>
      <c r="M19" s="62">
        <v>4.318303542269927</v>
      </c>
      <c r="N19" s="62">
        <v>4.4340205961115586</v>
      </c>
      <c r="O19" s="62">
        <v>4.5516753390956</v>
      </c>
      <c r="P19" s="62">
        <v>4.6512594979425659</v>
      </c>
      <c r="Q19" s="62">
        <v>4.7720711502035664</v>
      </c>
      <c r="R19" s="62">
        <v>4.8951688402168472</v>
      </c>
      <c r="S19" s="62">
        <v>4.9582199386035573</v>
      </c>
      <c r="T19" s="62">
        <v>5.149702815092204</v>
      </c>
      <c r="U19" s="62">
        <v>5.2571030458731576</v>
      </c>
      <c r="V19" s="62">
        <v>5.3929154601467415</v>
      </c>
      <c r="W19" s="62">
        <v>5.5340837342970977</v>
      </c>
      <c r="X19" s="62">
        <v>5.6802159761381201</v>
      </c>
      <c r="Y19" s="62">
        <v>5.8326184929568266</v>
      </c>
      <c r="Z19" s="62">
        <v>5.9594827023143413</v>
      </c>
      <c r="AA19" s="62">
        <v>6.0731687154516099</v>
      </c>
      <c r="AB19" s="62">
        <v>6.1920449672583313</v>
      </c>
      <c r="AC19" s="62">
        <v>6.3146219506208308</v>
      </c>
      <c r="AD19" s="62">
        <v>6.4411543440194396</v>
      </c>
      <c r="AE19" s="62">
        <v>6.5718968259381576</v>
      </c>
      <c r="AF19" s="62">
        <v>6.7071040750587656</v>
      </c>
      <c r="AG19" s="62">
        <v>6.8470307697277741</v>
      </c>
      <c r="AH19" s="62">
        <v>6.991931588844416</v>
      </c>
      <c r="AI19" s="62">
        <v>7.142061210563706</v>
      </c>
      <c r="AJ19" s="62">
        <v>7.2976743139126734</v>
      </c>
    </row>
    <row r="20" spans="1:36" x14ac:dyDescent="0.25">
      <c r="A20" s="58" t="s">
        <v>17</v>
      </c>
      <c r="B20" s="59" t="s">
        <v>18</v>
      </c>
      <c r="C20" s="60" t="s">
        <v>115</v>
      </c>
      <c r="D20" s="61" t="s">
        <v>30</v>
      </c>
      <c r="E20" s="50" t="s">
        <v>260</v>
      </c>
      <c r="F20" s="50">
        <v>5.3280658398877009E-3</v>
      </c>
      <c r="G20" s="50">
        <v>6.9452004093096169E-3</v>
      </c>
      <c r="H20" s="63" t="s">
        <v>112</v>
      </c>
      <c r="I20" s="62">
        <v>1239.5585334523525</v>
      </c>
      <c r="J20" s="62">
        <v>1274.8887679345105</v>
      </c>
      <c r="K20" s="62">
        <v>1305.4337593346543</v>
      </c>
      <c r="L20" s="62">
        <v>1341.2293222442361</v>
      </c>
      <c r="M20" s="62">
        <v>1377.5388299841068</v>
      </c>
      <c r="N20" s="62">
        <v>1414.4525701595874</v>
      </c>
      <c r="O20" s="62">
        <v>1451.9844331714964</v>
      </c>
      <c r="P20" s="62">
        <v>1483.7517798436786</v>
      </c>
      <c r="Q20" s="62">
        <v>1522.2906969149376</v>
      </c>
      <c r="R20" s="62">
        <v>1561.5588600291742</v>
      </c>
      <c r="S20" s="62">
        <v>1581.672160414535</v>
      </c>
      <c r="T20" s="62">
        <v>1642.7551980144131</v>
      </c>
      <c r="U20" s="62">
        <v>1677.0158716335372</v>
      </c>
      <c r="V20" s="62">
        <v>1720.3400317868106</v>
      </c>
      <c r="W20" s="62">
        <v>1765.3727112407744</v>
      </c>
      <c r="X20" s="62">
        <v>1811.9888963880605</v>
      </c>
      <c r="Y20" s="62">
        <v>1860.6052992532277</v>
      </c>
      <c r="Z20" s="62">
        <v>1901.0749820382748</v>
      </c>
      <c r="AA20" s="62">
        <v>1937.3408202290634</v>
      </c>
      <c r="AB20" s="62">
        <v>1975.2623445554079</v>
      </c>
      <c r="AC20" s="62">
        <v>2014.3644022480451</v>
      </c>
      <c r="AD20" s="62">
        <v>2054.7282357422014</v>
      </c>
      <c r="AE20" s="62">
        <v>2096.4350874742722</v>
      </c>
      <c r="AF20" s="62">
        <v>2139.5661999437461</v>
      </c>
      <c r="AG20" s="62">
        <v>2184.2028155431599</v>
      </c>
      <c r="AH20" s="62">
        <v>2230.4261768413689</v>
      </c>
      <c r="AI20" s="62">
        <v>2278.3175261698225</v>
      </c>
      <c r="AJ20" s="62">
        <v>2327.9581061381432</v>
      </c>
    </row>
    <row r="21" spans="1:36" x14ac:dyDescent="0.25">
      <c r="A21" s="58" t="s">
        <v>17</v>
      </c>
      <c r="B21" s="59" t="s">
        <v>18</v>
      </c>
      <c r="C21" s="60" t="s">
        <v>115</v>
      </c>
      <c r="D21" s="61" t="s">
        <v>30</v>
      </c>
      <c r="E21" s="50" t="s">
        <v>243</v>
      </c>
      <c r="F21" s="50">
        <v>1.2526800563999294E-4</v>
      </c>
      <c r="G21" s="50">
        <v>1.6328841087718534E-4</v>
      </c>
      <c r="H21" s="63" t="s">
        <v>242</v>
      </c>
      <c r="I21" s="62">
        <v>29.143225708127407</v>
      </c>
      <c r="J21" s="62">
        <v>29.973873854259651</v>
      </c>
      <c r="K21" s="62">
        <v>30.692016285297512</v>
      </c>
      <c r="L21" s="62">
        <v>31.533604754958525</v>
      </c>
      <c r="M21" s="62">
        <v>32.38727656702445</v>
      </c>
      <c r="N21" s="62">
        <v>33.255154470836686</v>
      </c>
      <c r="O21" s="62">
        <v>34.137565043217002</v>
      </c>
      <c r="P21" s="62">
        <v>34.884446234569246</v>
      </c>
      <c r="Q21" s="62">
        <v>35.790533626526745</v>
      </c>
      <c r="R21" s="62">
        <v>36.71376630162635</v>
      </c>
      <c r="S21" s="62">
        <v>37.186649539526684</v>
      </c>
      <c r="T21" s="62">
        <v>38.622771113191526</v>
      </c>
      <c r="U21" s="62">
        <v>39.428272844048685</v>
      </c>
      <c r="V21" s="62">
        <v>40.446865951100563</v>
      </c>
      <c r="W21" s="62">
        <v>41.505628007228232</v>
      </c>
      <c r="X21" s="62">
        <v>42.601619821035904</v>
      </c>
      <c r="Y21" s="62">
        <v>43.7446386971762</v>
      </c>
      <c r="Z21" s="62">
        <v>44.696120267357557</v>
      </c>
      <c r="AA21" s="62">
        <v>45.548765365887071</v>
      </c>
      <c r="AB21" s="62">
        <v>46.440337254437488</v>
      </c>
      <c r="AC21" s="62">
        <v>47.35966462965623</v>
      </c>
      <c r="AD21" s="62">
        <v>48.308657580145798</v>
      </c>
      <c r="AE21" s="62">
        <v>49.289226194536184</v>
      </c>
      <c r="AF21" s="62">
        <v>50.303280562940742</v>
      </c>
      <c r="AG21" s="62">
        <v>51.352730772958303</v>
      </c>
      <c r="AH21" s="62">
        <v>52.439486916333124</v>
      </c>
      <c r="AI21" s="62">
        <v>53.565459079227793</v>
      </c>
      <c r="AJ21" s="62">
        <v>54.732557354345055</v>
      </c>
    </row>
    <row r="22" spans="1:36" x14ac:dyDescent="0.25">
      <c r="A22" s="58" t="s">
        <v>17</v>
      </c>
      <c r="B22" s="59" t="s">
        <v>18</v>
      </c>
      <c r="C22" s="60" t="s">
        <v>115</v>
      </c>
      <c r="D22" s="61" t="s">
        <v>30</v>
      </c>
      <c r="E22" s="50" t="s">
        <v>131</v>
      </c>
      <c r="F22" s="50">
        <v>8.3512003759995295E-5</v>
      </c>
      <c r="G22" s="50">
        <v>1.0885894058479022E-4</v>
      </c>
      <c r="H22" s="63" t="s">
        <v>100</v>
      </c>
      <c r="I22" s="62">
        <v>19.428817138751604</v>
      </c>
      <c r="J22" s="62">
        <v>19.982582569506434</v>
      </c>
      <c r="K22" s="62">
        <v>20.461344190198339</v>
      </c>
      <c r="L22" s="62">
        <v>21.02240316997235</v>
      </c>
      <c r="M22" s="62">
        <v>21.591517711349631</v>
      </c>
      <c r="N22" s="62">
        <v>22.170102980557793</v>
      </c>
      <c r="O22" s="62">
        <v>22.758376695477999</v>
      </c>
      <c r="P22" s="62">
        <v>23.256297489712829</v>
      </c>
      <c r="Q22" s="62">
        <v>23.860355751017831</v>
      </c>
      <c r="R22" s="62">
        <v>24.475844201084232</v>
      </c>
      <c r="S22" s="62">
        <v>24.791099693017788</v>
      </c>
      <c r="T22" s="62">
        <v>25.748514075461017</v>
      </c>
      <c r="U22" s="62">
        <v>26.285515229365785</v>
      </c>
      <c r="V22" s="62">
        <v>26.964577300733708</v>
      </c>
      <c r="W22" s="62">
        <v>27.670418671485489</v>
      </c>
      <c r="X22" s="62">
        <v>28.401079880690599</v>
      </c>
      <c r="Y22" s="62">
        <v>29.163092464784132</v>
      </c>
      <c r="Z22" s="62">
        <v>29.797413511571705</v>
      </c>
      <c r="AA22" s="62">
        <v>30.365843577258044</v>
      </c>
      <c r="AB22" s="62">
        <v>30.960224836291655</v>
      </c>
      <c r="AC22" s="62">
        <v>31.573109753104152</v>
      </c>
      <c r="AD22" s="62">
        <v>32.205771720097196</v>
      </c>
      <c r="AE22" s="62">
        <v>32.859484129690784</v>
      </c>
      <c r="AF22" s="62">
        <v>33.535520375293828</v>
      </c>
      <c r="AG22" s="62">
        <v>34.235153848638866</v>
      </c>
      <c r="AH22" s="62">
        <v>34.95965794422208</v>
      </c>
      <c r="AI22" s="62">
        <v>35.710306052818531</v>
      </c>
      <c r="AJ22" s="62">
        <v>36.48837156956337</v>
      </c>
    </row>
    <row r="23" spans="1:36" x14ac:dyDescent="0.25">
      <c r="A23" s="58" t="s">
        <v>17</v>
      </c>
      <c r="B23" s="59" t="s">
        <v>18</v>
      </c>
      <c r="C23" s="60" t="s">
        <v>115</v>
      </c>
      <c r="D23" s="61" t="s">
        <v>30</v>
      </c>
      <c r="E23" s="50" t="s">
        <v>333</v>
      </c>
      <c r="F23" s="50">
        <v>1.0063196453079435E-3</v>
      </c>
      <c r="G23" s="50">
        <v>1.3117502340467223E-3</v>
      </c>
      <c r="H23" s="63" t="s">
        <v>95</v>
      </c>
      <c r="I23" s="62">
        <v>234.11724652195684</v>
      </c>
      <c r="J23" s="62">
        <v>240.79011996255252</v>
      </c>
      <c r="K23" s="62">
        <v>246.55919749189002</v>
      </c>
      <c r="L23" s="62">
        <v>253.31995819816683</v>
      </c>
      <c r="M23" s="62">
        <v>260.17778842176307</v>
      </c>
      <c r="N23" s="62">
        <v>267.1497409157214</v>
      </c>
      <c r="O23" s="62">
        <v>274.23843918050989</v>
      </c>
      <c r="P23" s="62">
        <v>280.23838475103963</v>
      </c>
      <c r="Q23" s="62">
        <v>287.51728679976486</v>
      </c>
      <c r="R23" s="62">
        <v>294.93392262306503</v>
      </c>
      <c r="S23" s="62">
        <v>298.73275130086438</v>
      </c>
      <c r="T23" s="62">
        <v>310.26959460930527</v>
      </c>
      <c r="U23" s="62">
        <v>316.74045851385773</v>
      </c>
      <c r="V23" s="62">
        <v>324.92315647384123</v>
      </c>
      <c r="W23" s="62">
        <v>333.42854499140014</v>
      </c>
      <c r="X23" s="62">
        <v>342.23301256232173</v>
      </c>
      <c r="Y23" s="62">
        <v>351.41526420064883</v>
      </c>
      <c r="Z23" s="62">
        <v>359.05883281443909</v>
      </c>
      <c r="AA23" s="62">
        <v>365.90841510595948</v>
      </c>
      <c r="AB23" s="62">
        <v>373.07070927731451</v>
      </c>
      <c r="AC23" s="62">
        <v>380.45597252490506</v>
      </c>
      <c r="AD23" s="62">
        <v>388.0795492271713</v>
      </c>
      <c r="AE23" s="62">
        <v>395.95678376277402</v>
      </c>
      <c r="AF23" s="62">
        <v>404.10302052229065</v>
      </c>
      <c r="AG23" s="62">
        <v>412.53360387609843</v>
      </c>
      <c r="AH23" s="62">
        <v>421.26387822787609</v>
      </c>
      <c r="AI23" s="62">
        <v>430.30918793646327</v>
      </c>
      <c r="AJ23" s="62">
        <v>439.68487741323861</v>
      </c>
    </row>
    <row r="24" spans="1:36" x14ac:dyDescent="0.25">
      <c r="A24" s="58" t="s">
        <v>17</v>
      </c>
      <c r="B24" s="59" t="s">
        <v>18</v>
      </c>
      <c r="C24" s="60" t="s">
        <v>115</v>
      </c>
      <c r="D24" s="61" t="s">
        <v>30</v>
      </c>
      <c r="E24" s="50" t="s">
        <v>168</v>
      </c>
      <c r="F24" s="50">
        <v>2.9646761334798332E-4</v>
      </c>
      <c r="G24" s="50">
        <v>3.8644923907600533E-4</v>
      </c>
      <c r="H24" s="63" t="s">
        <v>102</v>
      </c>
      <c r="I24" s="62">
        <v>68.972300842568202</v>
      </c>
      <c r="J24" s="62">
        <v>70.938168121747836</v>
      </c>
      <c r="K24" s="62">
        <v>72.637771875204109</v>
      </c>
      <c r="L24" s="62">
        <v>74.629531253401851</v>
      </c>
      <c r="M24" s="62">
        <v>76.649887875291199</v>
      </c>
      <c r="N24" s="62">
        <v>78.703865580980164</v>
      </c>
      <c r="O24" s="62">
        <v>80.792237268946906</v>
      </c>
      <c r="P24" s="62">
        <v>82.559856088480544</v>
      </c>
      <c r="Q24" s="62">
        <v>84.704262916113308</v>
      </c>
      <c r="R24" s="62">
        <v>86.889246913849036</v>
      </c>
      <c r="S24" s="62">
        <v>88.008403910213147</v>
      </c>
      <c r="T24" s="62">
        <v>91.40722496788662</v>
      </c>
      <c r="U24" s="62">
        <v>93.313579064248557</v>
      </c>
      <c r="V24" s="62">
        <v>95.724249417604668</v>
      </c>
      <c r="W24" s="62">
        <v>98.229986283773485</v>
      </c>
      <c r="X24" s="62">
        <v>100.82383357645163</v>
      </c>
      <c r="Y24" s="62">
        <v>103.52897824998368</v>
      </c>
      <c r="Z24" s="62">
        <v>105.78081796607955</v>
      </c>
      <c r="AA24" s="62">
        <v>107.79874469926607</v>
      </c>
      <c r="AB24" s="62">
        <v>109.90879816883539</v>
      </c>
      <c r="AC24" s="62">
        <v>112.08453962351975</v>
      </c>
      <c r="AD24" s="62">
        <v>114.33048960634507</v>
      </c>
      <c r="AE24" s="62">
        <v>116.65116866040231</v>
      </c>
      <c r="AF24" s="62">
        <v>119.0510973322931</v>
      </c>
      <c r="AG24" s="62">
        <v>121.534796162668</v>
      </c>
      <c r="AH24" s="62">
        <v>124.1067857019884</v>
      </c>
      <c r="AI24" s="62">
        <v>126.77158648750579</v>
      </c>
      <c r="AJ24" s="62">
        <v>129.53371907194997</v>
      </c>
    </row>
    <row r="25" spans="1:36" x14ac:dyDescent="0.25">
      <c r="A25" s="58" t="s">
        <v>17</v>
      </c>
      <c r="B25" s="59" t="s">
        <v>18</v>
      </c>
      <c r="C25" s="60" t="s">
        <v>115</v>
      </c>
      <c r="D25" s="61" t="s">
        <v>30</v>
      </c>
      <c r="E25" s="50" t="s">
        <v>139</v>
      </c>
      <c r="F25" s="50">
        <v>2.6389793188158514E-3</v>
      </c>
      <c r="G25" s="50">
        <v>3.4399425224793711E-3</v>
      </c>
      <c r="H25" s="63" t="s">
        <v>39</v>
      </c>
      <c r="I25" s="62">
        <v>613.95062158455073</v>
      </c>
      <c r="J25" s="62">
        <v>631.44960919640323</v>
      </c>
      <c r="K25" s="62">
        <v>646.57847641026751</v>
      </c>
      <c r="L25" s="62">
        <v>664.30794017112623</v>
      </c>
      <c r="M25" s="62">
        <v>682.29195967864837</v>
      </c>
      <c r="N25" s="62">
        <v>700.57525418562625</v>
      </c>
      <c r="O25" s="62">
        <v>719.16470357710477</v>
      </c>
      <c r="P25" s="62">
        <v>734.89900067492545</v>
      </c>
      <c r="Q25" s="62">
        <v>753.9872417321634</v>
      </c>
      <c r="R25" s="62">
        <v>773.43667675426184</v>
      </c>
      <c r="S25" s="62">
        <v>783.39875029936206</v>
      </c>
      <c r="T25" s="62">
        <v>813.65304478456812</v>
      </c>
      <c r="U25" s="62">
        <v>830.62228124795888</v>
      </c>
      <c r="V25" s="62">
        <v>852.08064270318516</v>
      </c>
      <c r="W25" s="62">
        <v>874.38523001894146</v>
      </c>
      <c r="X25" s="62">
        <v>897.47412422982291</v>
      </c>
      <c r="Y25" s="62">
        <v>921.55372188717854</v>
      </c>
      <c r="Z25" s="62">
        <v>941.59826696566586</v>
      </c>
      <c r="AA25" s="62">
        <v>959.56065704135426</v>
      </c>
      <c r="AB25" s="62">
        <v>978.34310482681633</v>
      </c>
      <c r="AC25" s="62">
        <v>997.71026819809117</v>
      </c>
      <c r="AD25" s="62">
        <v>1017.7023863550714</v>
      </c>
      <c r="AE25" s="62">
        <v>1038.3596984982289</v>
      </c>
      <c r="AF25" s="62">
        <v>1059.7224438592848</v>
      </c>
      <c r="AG25" s="62">
        <v>1081.8308616169882</v>
      </c>
      <c r="AH25" s="62">
        <v>1104.7251910374177</v>
      </c>
      <c r="AI25" s="62">
        <v>1128.4456712690655</v>
      </c>
      <c r="AJ25" s="62">
        <v>1153.0325415982024</v>
      </c>
    </row>
    <row r="26" spans="1:36" x14ac:dyDescent="0.25">
      <c r="A26" s="58" t="s">
        <v>17</v>
      </c>
      <c r="B26" s="59" t="s">
        <v>18</v>
      </c>
      <c r="C26" s="60" t="s">
        <v>115</v>
      </c>
      <c r="D26" s="61" t="s">
        <v>30</v>
      </c>
      <c r="E26" s="50" t="s">
        <v>481</v>
      </c>
      <c r="F26" s="50">
        <v>8.7687603947995073E-4</v>
      </c>
      <c r="G26" s="50">
        <v>1.1430188761402975E-3</v>
      </c>
      <c r="H26" s="63" t="s">
        <v>480</v>
      </c>
      <c r="I26" s="62">
        <v>204.00257995689188</v>
      </c>
      <c r="J26" s="62">
        <v>209.81711697981757</v>
      </c>
      <c r="K26" s="62">
        <v>214.84411399708259</v>
      </c>
      <c r="L26" s="62">
        <v>220.73523328470969</v>
      </c>
      <c r="M26" s="62">
        <v>226.71093596917115</v>
      </c>
      <c r="N26" s="62">
        <v>232.78608129585683</v>
      </c>
      <c r="O26" s="62">
        <v>238.96295530251899</v>
      </c>
      <c r="P26" s="62">
        <v>244.19112364198472</v>
      </c>
      <c r="Q26" s="62">
        <v>250.53373538568724</v>
      </c>
      <c r="R26" s="62">
        <v>256.99636411138448</v>
      </c>
      <c r="S26" s="62">
        <v>260.30654677668679</v>
      </c>
      <c r="T26" s="62">
        <v>270.3593977923407</v>
      </c>
      <c r="U26" s="62">
        <v>275.99790990834077</v>
      </c>
      <c r="V26" s="62">
        <v>283.12806165770394</v>
      </c>
      <c r="W26" s="62">
        <v>290.53939605059765</v>
      </c>
      <c r="X26" s="62">
        <v>298.21133874725132</v>
      </c>
      <c r="Y26" s="62">
        <v>306.21247088023341</v>
      </c>
      <c r="Z26" s="62">
        <v>312.87284187150294</v>
      </c>
      <c r="AA26" s="62">
        <v>318.84135756120952</v>
      </c>
      <c r="AB26" s="62">
        <v>325.08236078106239</v>
      </c>
      <c r="AC26" s="62">
        <v>331.51765240759363</v>
      </c>
      <c r="AD26" s="62">
        <v>338.16060306102059</v>
      </c>
      <c r="AE26" s="62">
        <v>345.02458336175329</v>
      </c>
      <c r="AF26" s="62">
        <v>352.12296394058518</v>
      </c>
      <c r="AG26" s="62">
        <v>359.46911541070818</v>
      </c>
      <c r="AH26" s="62">
        <v>367.07640841433187</v>
      </c>
      <c r="AI26" s="62">
        <v>374.95821355459458</v>
      </c>
      <c r="AJ26" s="62">
        <v>383.1279014804154</v>
      </c>
    </row>
    <row r="27" spans="1:36" x14ac:dyDescent="0.25">
      <c r="A27" s="58" t="s">
        <v>17</v>
      </c>
      <c r="B27" s="59" t="s">
        <v>18</v>
      </c>
      <c r="C27" s="60" t="s">
        <v>115</v>
      </c>
      <c r="D27" s="61" t="s">
        <v>30</v>
      </c>
      <c r="E27" s="50" t="s">
        <v>516</v>
      </c>
      <c r="F27" s="50">
        <v>6.5556922951596304E-4</v>
      </c>
      <c r="G27" s="50">
        <v>8.545426835906033E-4</v>
      </c>
      <c r="H27" s="63" t="s">
        <v>515</v>
      </c>
      <c r="I27" s="62">
        <v>152.51621453920009</v>
      </c>
      <c r="J27" s="62">
        <v>156.86327317062552</v>
      </c>
      <c r="K27" s="62">
        <v>160.62155189305699</v>
      </c>
      <c r="L27" s="62">
        <v>165.02586488428295</v>
      </c>
      <c r="M27" s="62">
        <v>169.49341403409463</v>
      </c>
      <c r="N27" s="62">
        <v>174.03530839737869</v>
      </c>
      <c r="O27" s="62">
        <v>178.65325705950229</v>
      </c>
      <c r="P27" s="62">
        <v>182.56193529424573</v>
      </c>
      <c r="Q27" s="62">
        <v>187.30379264548998</v>
      </c>
      <c r="R27" s="62">
        <v>192.13537697851126</v>
      </c>
      <c r="S27" s="62">
        <v>194.61013259018964</v>
      </c>
      <c r="T27" s="62">
        <v>202.12583549236899</v>
      </c>
      <c r="U27" s="62">
        <v>206.34129455052144</v>
      </c>
      <c r="V27" s="62">
        <v>211.67193181075962</v>
      </c>
      <c r="W27" s="62">
        <v>217.2127865711611</v>
      </c>
      <c r="X27" s="62">
        <v>222.94847706342122</v>
      </c>
      <c r="Y27" s="62">
        <v>228.93027584855545</v>
      </c>
      <c r="Z27" s="62">
        <v>233.90969606583789</v>
      </c>
      <c r="AA27" s="62">
        <v>238.37187208147566</v>
      </c>
      <c r="AB27" s="62">
        <v>243.0377649648895</v>
      </c>
      <c r="AC27" s="62">
        <v>247.8489115618676</v>
      </c>
      <c r="AD27" s="62">
        <v>252.81530800276303</v>
      </c>
      <c r="AE27" s="62">
        <v>257.94695041807267</v>
      </c>
      <c r="AF27" s="62">
        <v>263.25383494605654</v>
      </c>
      <c r="AG27" s="62">
        <v>268.74595771181515</v>
      </c>
      <c r="AH27" s="62">
        <v>274.43331486214333</v>
      </c>
      <c r="AI27" s="62">
        <v>280.32590251462545</v>
      </c>
      <c r="AJ27" s="62">
        <v>286.43371682107244</v>
      </c>
    </row>
    <row r="28" spans="1:36" x14ac:dyDescent="0.25">
      <c r="A28" s="58" t="s">
        <v>17</v>
      </c>
      <c r="B28" s="59" t="s">
        <v>18</v>
      </c>
      <c r="C28" s="60" t="s">
        <v>115</v>
      </c>
      <c r="D28" s="61" t="s">
        <v>30</v>
      </c>
      <c r="E28" s="50" t="s">
        <v>223</v>
      </c>
      <c r="F28" s="50">
        <v>6.7811747053116191E-3</v>
      </c>
      <c r="G28" s="50">
        <v>8.8393459754849673E-3</v>
      </c>
      <c r="H28" s="63" t="s">
        <v>222</v>
      </c>
      <c r="I28" s="62">
        <v>1577.6199516666304</v>
      </c>
      <c r="J28" s="62">
        <v>1622.5857046439226</v>
      </c>
      <c r="K28" s="62">
        <v>1661.4611482441055</v>
      </c>
      <c r="L28" s="62">
        <v>1707.019137401755</v>
      </c>
      <c r="M28" s="62">
        <v>1753.2312381615905</v>
      </c>
      <c r="N28" s="62">
        <v>1800.2123620212928</v>
      </c>
      <c r="O28" s="62">
        <v>1847.9801876728138</v>
      </c>
      <c r="P28" s="62">
        <v>1888.411356164682</v>
      </c>
      <c r="Q28" s="62">
        <v>1937.4608869826479</v>
      </c>
      <c r="R28" s="62">
        <v>1987.43854912804</v>
      </c>
      <c r="S28" s="62">
        <v>2013.0372950730446</v>
      </c>
      <c r="T28" s="62">
        <v>2090.7793429274348</v>
      </c>
      <c r="U28" s="62">
        <v>2134.3838366245022</v>
      </c>
      <c r="V28" s="62">
        <v>2189.5236768195773</v>
      </c>
      <c r="W28" s="62">
        <v>2246.8379961246219</v>
      </c>
      <c r="X28" s="62">
        <v>2306.167686312077</v>
      </c>
      <c r="Y28" s="62">
        <v>2368.0431081404718</v>
      </c>
      <c r="Z28" s="62">
        <v>2419.5499771396226</v>
      </c>
      <c r="AA28" s="62">
        <v>2465.7064984733538</v>
      </c>
      <c r="AB28" s="62">
        <v>2513.970256706883</v>
      </c>
      <c r="AC28" s="62">
        <v>2563.7365119520573</v>
      </c>
      <c r="AD28" s="62">
        <v>2615.1086636718928</v>
      </c>
      <c r="AE28" s="62">
        <v>2668.1901113308923</v>
      </c>
      <c r="AF28" s="62">
        <v>2723.0842544738589</v>
      </c>
      <c r="AG28" s="62">
        <v>2779.8944925094765</v>
      </c>
      <c r="AH28" s="62">
        <v>2838.7242250708332</v>
      </c>
      <c r="AI28" s="62">
        <v>2899.6768514888649</v>
      </c>
      <c r="AJ28" s="62">
        <v>2962.855771448546</v>
      </c>
    </row>
    <row r="29" spans="1:36" x14ac:dyDescent="0.25">
      <c r="A29" s="58" t="s">
        <v>17</v>
      </c>
      <c r="B29" s="59" t="s">
        <v>18</v>
      </c>
      <c r="C29" s="60" t="s">
        <v>115</v>
      </c>
      <c r="D29" s="61" t="s">
        <v>30</v>
      </c>
      <c r="E29" s="50" t="s">
        <v>508</v>
      </c>
      <c r="F29" s="50">
        <v>4.9021546207117248E-3</v>
      </c>
      <c r="G29" s="50">
        <v>6.3900198123271867E-3</v>
      </c>
      <c r="H29" s="63" t="s">
        <v>69</v>
      </c>
      <c r="I29" s="62">
        <v>1140.4715660447193</v>
      </c>
      <c r="J29" s="62">
        <v>1172.9775968300278</v>
      </c>
      <c r="K29" s="62">
        <v>1201.0809039646426</v>
      </c>
      <c r="L29" s="62">
        <v>1234.015066077377</v>
      </c>
      <c r="M29" s="62">
        <v>1267.4220896562235</v>
      </c>
      <c r="N29" s="62">
        <v>1301.3850449587426</v>
      </c>
      <c r="O29" s="62">
        <v>1335.9167120245586</v>
      </c>
      <c r="P29" s="62">
        <v>1365.1446626461432</v>
      </c>
      <c r="Q29" s="62">
        <v>1400.6028825847468</v>
      </c>
      <c r="R29" s="62">
        <v>1436.7320546036447</v>
      </c>
      <c r="S29" s="62">
        <v>1455.2375519801442</v>
      </c>
      <c r="T29" s="62">
        <v>1511.4377762295617</v>
      </c>
      <c r="U29" s="62">
        <v>1542.9597439637719</v>
      </c>
      <c r="V29" s="62">
        <v>1582.8206875530689</v>
      </c>
      <c r="W29" s="62">
        <v>1624.2535760161982</v>
      </c>
      <c r="X29" s="62">
        <v>1667.1433889965383</v>
      </c>
      <c r="Y29" s="62">
        <v>1711.8735276828286</v>
      </c>
      <c r="Z29" s="62">
        <v>1749.1081731292593</v>
      </c>
      <c r="AA29" s="62">
        <v>1782.4750179850473</v>
      </c>
      <c r="AB29" s="62">
        <v>1817.3651978903204</v>
      </c>
      <c r="AC29" s="62">
        <v>1853.3415425072137</v>
      </c>
      <c r="AD29" s="62">
        <v>1890.4787999697057</v>
      </c>
      <c r="AE29" s="62">
        <v>1928.8517184128493</v>
      </c>
      <c r="AF29" s="62">
        <v>1968.5350460297477</v>
      </c>
      <c r="AG29" s="62">
        <v>2009.6035309151018</v>
      </c>
      <c r="AH29" s="62">
        <v>2052.1319213258362</v>
      </c>
      <c r="AI29" s="62">
        <v>2096.1949653004476</v>
      </c>
      <c r="AJ29" s="62">
        <v>2141.8674111333698</v>
      </c>
    </row>
    <row r="30" spans="1:36" x14ac:dyDescent="0.25">
      <c r="A30" s="58" t="s">
        <v>17</v>
      </c>
      <c r="B30" s="59" t="s">
        <v>18</v>
      </c>
      <c r="C30" s="60" t="s">
        <v>115</v>
      </c>
      <c r="D30" s="61" t="s">
        <v>30</v>
      </c>
      <c r="E30" s="50" t="s">
        <v>431</v>
      </c>
      <c r="F30" s="50">
        <v>6.8897403101996131E-4</v>
      </c>
      <c r="G30" s="50">
        <v>8.9808625982451941E-4</v>
      </c>
      <c r="H30" s="63" t="s">
        <v>430</v>
      </c>
      <c r="I30" s="62">
        <v>160.28774139470076</v>
      </c>
      <c r="J30" s="62">
        <v>164.85630619842809</v>
      </c>
      <c r="K30" s="62">
        <v>168.8060895691363</v>
      </c>
      <c r="L30" s="62">
        <v>173.43482615227188</v>
      </c>
      <c r="M30" s="62">
        <v>178.13002111863449</v>
      </c>
      <c r="N30" s="62">
        <v>182.90334958960179</v>
      </c>
      <c r="O30" s="62">
        <v>187.75660773769351</v>
      </c>
      <c r="P30" s="62">
        <v>191.86445429013085</v>
      </c>
      <c r="Q30" s="62">
        <v>196.84793494589712</v>
      </c>
      <c r="R30" s="62">
        <v>201.92571465894494</v>
      </c>
      <c r="S30" s="62">
        <v>204.52657246739676</v>
      </c>
      <c r="T30" s="62">
        <v>212.42524112255339</v>
      </c>
      <c r="U30" s="62">
        <v>216.85550064226774</v>
      </c>
      <c r="V30" s="62">
        <v>222.45776273105309</v>
      </c>
      <c r="W30" s="62">
        <v>228.2809540397553</v>
      </c>
      <c r="X30" s="62">
        <v>234.30890901569745</v>
      </c>
      <c r="Y30" s="62">
        <v>240.5955128344691</v>
      </c>
      <c r="Z30" s="62">
        <v>245.82866147046659</v>
      </c>
      <c r="AA30" s="62">
        <v>250.51820951237889</v>
      </c>
      <c r="AB30" s="62">
        <v>255.42185489940618</v>
      </c>
      <c r="AC30" s="62">
        <v>260.47815546310926</v>
      </c>
      <c r="AD30" s="62">
        <v>265.69761669080191</v>
      </c>
      <c r="AE30" s="62">
        <v>271.09074406994904</v>
      </c>
      <c r="AF30" s="62">
        <v>276.66804309617407</v>
      </c>
      <c r="AG30" s="62">
        <v>282.44001925127071</v>
      </c>
      <c r="AH30" s="62">
        <v>288.41717803983215</v>
      </c>
      <c r="AI30" s="62">
        <v>294.6100249357529</v>
      </c>
      <c r="AJ30" s="62">
        <v>301.02906544889782</v>
      </c>
    </row>
    <row r="31" spans="1:36" x14ac:dyDescent="0.25">
      <c r="A31" s="58" t="s">
        <v>17</v>
      </c>
      <c r="B31" s="59" t="s">
        <v>18</v>
      </c>
      <c r="C31" s="60" t="s">
        <v>115</v>
      </c>
      <c r="D31" s="61" t="s">
        <v>30</v>
      </c>
      <c r="E31" s="50" t="s">
        <v>386</v>
      </c>
      <c r="F31" s="50">
        <v>2.4636041109198617E-3</v>
      </c>
      <c r="G31" s="50">
        <v>3.2113387472513118E-3</v>
      </c>
      <c r="H31" s="63" t="s">
        <v>75</v>
      </c>
      <c r="I31" s="62">
        <v>573.15010559317238</v>
      </c>
      <c r="J31" s="62">
        <v>589.48618580043978</v>
      </c>
      <c r="K31" s="62">
        <v>603.60965361085107</v>
      </c>
      <c r="L31" s="62">
        <v>620.16089351418429</v>
      </c>
      <c r="M31" s="62">
        <v>636.94977248481416</v>
      </c>
      <c r="N31" s="62">
        <v>654.01803792645489</v>
      </c>
      <c r="O31" s="62">
        <v>671.37211251660096</v>
      </c>
      <c r="P31" s="62">
        <v>686.06077594652845</v>
      </c>
      <c r="Q31" s="62">
        <v>703.88049465502604</v>
      </c>
      <c r="R31" s="62">
        <v>722.03740393198495</v>
      </c>
      <c r="S31" s="62">
        <v>731.33744094402471</v>
      </c>
      <c r="T31" s="62">
        <v>759.58116522609998</v>
      </c>
      <c r="U31" s="62">
        <v>775.42269926629081</v>
      </c>
      <c r="V31" s="62">
        <v>795.4550303716444</v>
      </c>
      <c r="W31" s="62">
        <v>816.27735080882189</v>
      </c>
      <c r="X31" s="62">
        <v>837.83185648037272</v>
      </c>
      <c r="Y31" s="62">
        <v>860.31122771113189</v>
      </c>
      <c r="Z31" s="62">
        <v>879.02369859136536</v>
      </c>
      <c r="AA31" s="62">
        <v>895.79238552911238</v>
      </c>
      <c r="AB31" s="62">
        <v>913.32663267060389</v>
      </c>
      <c r="AC31" s="62">
        <v>931.40673771657248</v>
      </c>
      <c r="AD31" s="62">
        <v>950.07026574286738</v>
      </c>
      <c r="AE31" s="62">
        <v>969.35478182587826</v>
      </c>
      <c r="AF31" s="62">
        <v>989.29785107116788</v>
      </c>
      <c r="AG31" s="62">
        <v>1009.9370385348467</v>
      </c>
      <c r="AH31" s="62">
        <v>1031.3099093545513</v>
      </c>
      <c r="AI31" s="62">
        <v>1053.4540285581465</v>
      </c>
      <c r="AJ31" s="62">
        <v>1076.4069613021195</v>
      </c>
    </row>
    <row r="32" spans="1:36" x14ac:dyDescent="0.25">
      <c r="A32" s="58" t="s">
        <v>17</v>
      </c>
      <c r="B32" s="59" t="s">
        <v>18</v>
      </c>
      <c r="C32" s="60" t="s">
        <v>115</v>
      </c>
      <c r="D32" s="61" t="s">
        <v>30</v>
      </c>
      <c r="E32" s="50" t="s">
        <v>358</v>
      </c>
      <c r="F32" s="50">
        <v>9.6038804323994592E-5</v>
      </c>
      <c r="G32" s="50">
        <v>1.2518778167250875E-4</v>
      </c>
      <c r="H32" s="63" t="s">
        <v>114</v>
      </c>
      <c r="I32" s="62">
        <v>22.343139709564344</v>
      </c>
      <c r="J32" s="62">
        <v>22.979969954932397</v>
      </c>
      <c r="K32" s="62">
        <v>23.53054581872809</v>
      </c>
      <c r="L32" s="62">
        <v>24.175763645468201</v>
      </c>
      <c r="M32" s="62">
        <v>24.830245368052076</v>
      </c>
      <c r="N32" s="62">
        <v>25.49561842764146</v>
      </c>
      <c r="O32" s="62">
        <v>26.172133199799696</v>
      </c>
      <c r="P32" s="62">
        <v>26.744742113169753</v>
      </c>
      <c r="Q32" s="62">
        <v>27.439409113670504</v>
      </c>
      <c r="R32" s="62">
        <v>28.147220831246866</v>
      </c>
      <c r="S32" s="62">
        <v>28.509764646970453</v>
      </c>
      <c r="T32" s="62">
        <v>29.610791186780165</v>
      </c>
      <c r="U32" s="62">
        <v>30.228342513770652</v>
      </c>
      <c r="V32" s="62">
        <v>31.009263895843763</v>
      </c>
      <c r="W32" s="62">
        <v>31.82098147220831</v>
      </c>
      <c r="X32" s="62">
        <v>32.661241862794185</v>
      </c>
      <c r="Y32" s="62">
        <v>33.537556334501751</v>
      </c>
      <c r="Z32" s="62">
        <v>34.267025538307458</v>
      </c>
      <c r="AA32" s="62">
        <v>34.920720113846748</v>
      </c>
      <c r="AB32" s="62">
        <v>35.604258561735399</v>
      </c>
      <c r="AC32" s="62">
        <v>36.309076216069769</v>
      </c>
      <c r="AD32" s="62">
        <v>37.036637478111778</v>
      </c>
      <c r="AE32" s="62">
        <v>37.7884067491444</v>
      </c>
      <c r="AF32" s="62">
        <v>38.565848431587895</v>
      </c>
      <c r="AG32" s="62">
        <v>39.370426925934694</v>
      </c>
      <c r="AH32" s="62">
        <v>40.203606635855387</v>
      </c>
      <c r="AI32" s="62">
        <v>41.066851960741303</v>
      </c>
      <c r="AJ32" s="62">
        <v>41.961627304997869</v>
      </c>
    </row>
    <row r="33" spans="1:36" x14ac:dyDescent="0.25">
      <c r="A33" s="58" t="s">
        <v>17</v>
      </c>
      <c r="B33" s="59" t="s">
        <v>18</v>
      </c>
      <c r="C33" s="60" t="s">
        <v>115</v>
      </c>
      <c r="D33" s="61" t="s">
        <v>30</v>
      </c>
      <c r="E33" s="50" t="s">
        <v>422</v>
      </c>
      <c r="F33" s="50">
        <v>2.5972233169358539E-3</v>
      </c>
      <c r="G33" s="50">
        <v>3.3855130521869762E-3</v>
      </c>
      <c r="H33" s="63" t="s">
        <v>421</v>
      </c>
      <c r="I33" s="62">
        <v>604.23621301517494</v>
      </c>
      <c r="J33" s="62">
        <v>621.45831791165006</v>
      </c>
      <c r="K33" s="62">
        <v>636.34780431516845</v>
      </c>
      <c r="L33" s="62">
        <v>653.79673858614012</v>
      </c>
      <c r="M33" s="62">
        <v>671.49620082297361</v>
      </c>
      <c r="N33" s="62">
        <v>689.49020269534742</v>
      </c>
      <c r="O33" s="62">
        <v>707.78551522936584</v>
      </c>
      <c r="P33" s="62">
        <v>723.27085193006906</v>
      </c>
      <c r="Q33" s="62">
        <v>742.05706385665462</v>
      </c>
      <c r="R33" s="62">
        <v>761.19875465371979</v>
      </c>
      <c r="S33" s="62">
        <v>771.00320045285321</v>
      </c>
      <c r="T33" s="62">
        <v>800.77878774683768</v>
      </c>
      <c r="U33" s="62">
        <v>817.47952363327602</v>
      </c>
      <c r="V33" s="62">
        <v>838.59835405281842</v>
      </c>
      <c r="W33" s="62">
        <v>860.5500206831988</v>
      </c>
      <c r="X33" s="62">
        <v>883.27358428947775</v>
      </c>
      <c r="Y33" s="62">
        <v>906.97217565478661</v>
      </c>
      <c r="Z33" s="62">
        <v>926.69956020988002</v>
      </c>
      <c r="AA33" s="62">
        <v>944.3777352527253</v>
      </c>
      <c r="AB33" s="62">
        <v>962.86299240867061</v>
      </c>
      <c r="AC33" s="62">
        <v>981.92371332153914</v>
      </c>
      <c r="AD33" s="62">
        <v>1001.599500495023</v>
      </c>
      <c r="AE33" s="62">
        <v>1021.9299564333836</v>
      </c>
      <c r="AF33" s="62">
        <v>1042.9546836716381</v>
      </c>
      <c r="AG33" s="62">
        <v>1064.7132846926688</v>
      </c>
      <c r="AH33" s="62">
        <v>1087.2453620653068</v>
      </c>
      <c r="AI33" s="62">
        <v>1110.5905182426563</v>
      </c>
      <c r="AJ33" s="62">
        <v>1134.7883558134208</v>
      </c>
    </row>
    <row r="34" spans="1:36" x14ac:dyDescent="0.25">
      <c r="A34" s="58" t="s">
        <v>17</v>
      </c>
      <c r="B34" s="59" t="s">
        <v>18</v>
      </c>
      <c r="C34" s="60" t="s">
        <v>115</v>
      </c>
      <c r="D34" s="61" t="s">
        <v>30</v>
      </c>
      <c r="E34" s="50" t="s">
        <v>470</v>
      </c>
      <c r="F34" s="50">
        <v>8.7270043929195092E-4</v>
      </c>
      <c r="G34" s="50">
        <v>1.1375759291110579E-3</v>
      </c>
      <c r="H34" s="63" t="s">
        <v>469</v>
      </c>
      <c r="I34" s="62">
        <v>203.03113909995429</v>
      </c>
      <c r="J34" s="62">
        <v>208.81798785134222</v>
      </c>
      <c r="K34" s="62">
        <v>213.82104678757267</v>
      </c>
      <c r="L34" s="62">
        <v>219.68411312621106</v>
      </c>
      <c r="M34" s="62">
        <v>225.63136008360365</v>
      </c>
      <c r="N34" s="62">
        <v>231.67757614682893</v>
      </c>
      <c r="O34" s="62">
        <v>237.82503646774509</v>
      </c>
      <c r="P34" s="62">
        <v>243.02830876749908</v>
      </c>
      <c r="Q34" s="62">
        <v>249.34071759813634</v>
      </c>
      <c r="R34" s="62">
        <v>255.77257190133025</v>
      </c>
      <c r="S34" s="62">
        <v>259.06699179203588</v>
      </c>
      <c r="T34" s="62">
        <v>269.07197208856763</v>
      </c>
      <c r="U34" s="62">
        <v>274.68363414687246</v>
      </c>
      <c r="V34" s="62">
        <v>281.77983279266726</v>
      </c>
      <c r="W34" s="62">
        <v>289.15587511702336</v>
      </c>
      <c r="X34" s="62">
        <v>296.79128475321676</v>
      </c>
      <c r="Y34" s="62">
        <v>304.75431625699417</v>
      </c>
      <c r="Z34" s="62">
        <v>311.38297119592431</v>
      </c>
      <c r="AA34" s="62">
        <v>317.32306538234661</v>
      </c>
      <c r="AB34" s="62">
        <v>323.53434953924784</v>
      </c>
      <c r="AC34" s="62">
        <v>329.9389969199384</v>
      </c>
      <c r="AD34" s="62">
        <v>336.55031447501574</v>
      </c>
      <c r="AE34" s="62">
        <v>343.38160915526873</v>
      </c>
      <c r="AF34" s="62">
        <v>350.44618792182052</v>
      </c>
      <c r="AG34" s="62">
        <v>357.75735771827618</v>
      </c>
      <c r="AH34" s="62">
        <v>365.32842551712076</v>
      </c>
      <c r="AI34" s="62">
        <v>373.17269825195365</v>
      </c>
      <c r="AJ34" s="62">
        <v>381.30348290193717</v>
      </c>
    </row>
    <row r="35" spans="1:36" x14ac:dyDescent="0.25">
      <c r="A35" s="58" t="s">
        <v>17</v>
      </c>
      <c r="B35" s="59" t="s">
        <v>18</v>
      </c>
      <c r="C35" s="60" t="s">
        <v>115</v>
      </c>
      <c r="D35" s="61" t="s">
        <v>30</v>
      </c>
      <c r="E35" s="50" t="s">
        <v>217</v>
      </c>
      <c r="F35" s="50">
        <v>3.5492601597998007E-4</v>
      </c>
      <c r="G35" s="50">
        <v>4.6265049748535846E-4</v>
      </c>
      <c r="H35" s="63" t="s">
        <v>94</v>
      </c>
      <c r="I35" s="62">
        <v>82.572472839694328</v>
      </c>
      <c r="J35" s="62">
        <v>84.925975920402337</v>
      </c>
      <c r="K35" s="62">
        <v>86.960712808342947</v>
      </c>
      <c r="L35" s="62">
        <v>89.345213472382483</v>
      </c>
      <c r="M35" s="62">
        <v>91.763950273235935</v>
      </c>
      <c r="N35" s="62">
        <v>94.222937667370616</v>
      </c>
      <c r="O35" s="62">
        <v>96.72310095578149</v>
      </c>
      <c r="P35" s="62">
        <v>98.839264331279523</v>
      </c>
      <c r="Q35" s="62">
        <v>101.40651194182578</v>
      </c>
      <c r="R35" s="62">
        <v>104.022337854608</v>
      </c>
      <c r="S35" s="62">
        <v>105.36217369532559</v>
      </c>
      <c r="T35" s="62">
        <v>109.43118482070932</v>
      </c>
      <c r="U35" s="62">
        <v>111.7134397248046</v>
      </c>
      <c r="V35" s="62">
        <v>114.59945352811826</v>
      </c>
      <c r="W35" s="62">
        <v>117.59927935381333</v>
      </c>
      <c r="X35" s="62">
        <v>120.70458949293506</v>
      </c>
      <c r="Y35" s="62">
        <v>123.94314297533256</v>
      </c>
      <c r="Z35" s="62">
        <v>126.63900742417974</v>
      </c>
      <c r="AA35" s="62">
        <v>129.0548352033467</v>
      </c>
      <c r="AB35" s="62">
        <v>131.58095555423955</v>
      </c>
      <c r="AC35" s="62">
        <v>134.18571645069264</v>
      </c>
      <c r="AD35" s="62">
        <v>136.87452981041309</v>
      </c>
      <c r="AE35" s="62">
        <v>139.65280755118584</v>
      </c>
      <c r="AF35" s="62">
        <v>142.52596159499876</v>
      </c>
      <c r="AG35" s="62">
        <v>145.49940385671519</v>
      </c>
      <c r="AH35" s="62">
        <v>148.57854626294383</v>
      </c>
      <c r="AI35" s="62">
        <v>151.76880072447875</v>
      </c>
      <c r="AJ35" s="62">
        <v>155.07557917064432</v>
      </c>
    </row>
    <row r="36" spans="1:36" x14ac:dyDescent="0.25">
      <c r="A36" s="58" t="s">
        <v>17</v>
      </c>
      <c r="B36" s="59" t="s">
        <v>18</v>
      </c>
      <c r="C36" s="60" t="s">
        <v>115</v>
      </c>
      <c r="D36" s="61" t="s">
        <v>30</v>
      </c>
      <c r="E36" s="50" t="s">
        <v>324</v>
      </c>
      <c r="F36" s="50">
        <v>7.0567643177196033E-4</v>
      </c>
      <c r="G36" s="50">
        <v>9.1985804794147746E-4</v>
      </c>
      <c r="H36" s="63" t="s">
        <v>323</v>
      </c>
      <c r="I36" s="62">
        <v>164.17350482245106</v>
      </c>
      <c r="J36" s="62">
        <v>168.85282271232936</v>
      </c>
      <c r="K36" s="62">
        <v>172.89835840717598</v>
      </c>
      <c r="L36" s="62">
        <v>177.63930678626636</v>
      </c>
      <c r="M36" s="62">
        <v>182.4483246609044</v>
      </c>
      <c r="N36" s="62">
        <v>187.33737018571335</v>
      </c>
      <c r="O36" s="62">
        <v>192.30828307678911</v>
      </c>
      <c r="P36" s="62">
        <v>196.51571378807341</v>
      </c>
      <c r="Q36" s="62">
        <v>201.62000609610067</v>
      </c>
      <c r="R36" s="62">
        <v>206.82088349916179</v>
      </c>
      <c r="S36" s="62">
        <v>209.48479240600031</v>
      </c>
      <c r="T36" s="62">
        <v>217.5749439376456</v>
      </c>
      <c r="U36" s="62">
        <v>222.11260368814092</v>
      </c>
      <c r="V36" s="62">
        <v>227.85067819119985</v>
      </c>
      <c r="W36" s="62">
        <v>233.8150377740524</v>
      </c>
      <c r="X36" s="62">
        <v>239.98912499183558</v>
      </c>
      <c r="Y36" s="62">
        <v>246.42813132742592</v>
      </c>
      <c r="Z36" s="62">
        <v>251.78814417278093</v>
      </c>
      <c r="AA36" s="62">
        <v>256.59137822783049</v>
      </c>
      <c r="AB36" s="62">
        <v>261.6138998666645</v>
      </c>
      <c r="AC36" s="62">
        <v>266.79277741373011</v>
      </c>
      <c r="AD36" s="62">
        <v>272.13877103482133</v>
      </c>
      <c r="AE36" s="62">
        <v>277.66264089588719</v>
      </c>
      <c r="AF36" s="62">
        <v>283.37514717123287</v>
      </c>
      <c r="AG36" s="62">
        <v>289.28705002099849</v>
      </c>
      <c r="AH36" s="62">
        <v>295.40910962867662</v>
      </c>
      <c r="AI36" s="62">
        <v>301.75208614631657</v>
      </c>
      <c r="AJ36" s="62">
        <v>308.32673976281046</v>
      </c>
    </row>
    <row r="37" spans="1:36" x14ac:dyDescent="0.25">
      <c r="A37" s="58" t="s">
        <v>17</v>
      </c>
      <c r="B37" s="59" t="s">
        <v>18</v>
      </c>
      <c r="C37" s="60" t="s">
        <v>115</v>
      </c>
      <c r="D37" s="61" t="s">
        <v>30</v>
      </c>
      <c r="E37" s="50" t="s">
        <v>416</v>
      </c>
      <c r="F37" s="50">
        <v>9.8293628425514465E-3</v>
      </c>
      <c r="G37" s="50">
        <v>1.2812697306829809E-2</v>
      </c>
      <c r="H37" s="63" t="s">
        <v>415</v>
      </c>
      <c r="I37" s="62">
        <v>2286.7717772310639</v>
      </c>
      <c r="J37" s="62">
        <v>2351.9499684309071</v>
      </c>
      <c r="K37" s="62">
        <v>2408.3002111863448</v>
      </c>
      <c r="L37" s="62">
        <v>2474.3368531057454</v>
      </c>
      <c r="M37" s="62">
        <v>2541.3216346258519</v>
      </c>
      <c r="N37" s="62">
        <v>2609.4211208116521</v>
      </c>
      <c r="O37" s="62">
        <v>2678.6609370577603</v>
      </c>
      <c r="P37" s="62">
        <v>2737.2662145392001</v>
      </c>
      <c r="Q37" s="62">
        <v>2808.3638718947986</v>
      </c>
      <c r="R37" s="62">
        <v>2880.8068624676143</v>
      </c>
      <c r="S37" s="62">
        <v>2917.9124338681936</v>
      </c>
      <c r="T37" s="62">
        <v>3030.6001066817616</v>
      </c>
      <c r="U37" s="62">
        <v>3093.8051424963533</v>
      </c>
      <c r="V37" s="62">
        <v>3173.7307482963574</v>
      </c>
      <c r="W37" s="62">
        <v>3256.808277633842</v>
      </c>
      <c r="X37" s="62">
        <v>3342.8071019572835</v>
      </c>
      <c r="Y37" s="62">
        <v>3432.4959831050924</v>
      </c>
      <c r="Z37" s="62">
        <v>3507.1555703119898</v>
      </c>
      <c r="AA37" s="62">
        <v>3574.0597890432718</v>
      </c>
      <c r="AB37" s="62">
        <v>3644.0184632315281</v>
      </c>
      <c r="AC37" s="62">
        <v>3716.1550179403584</v>
      </c>
      <c r="AD37" s="62">
        <v>3790.6193314554403</v>
      </c>
      <c r="AE37" s="62">
        <v>3867.5612820646056</v>
      </c>
      <c r="AF37" s="62">
        <v>3947.1307481720833</v>
      </c>
      <c r="AG37" s="62">
        <v>4029.4776079847948</v>
      </c>
      <c r="AH37" s="62">
        <v>4114.7517400349388</v>
      </c>
      <c r="AI37" s="62">
        <v>4203.1030224167407</v>
      </c>
      <c r="AJ37" s="62">
        <v>4294.6813337376079</v>
      </c>
    </row>
    <row r="38" spans="1:36" x14ac:dyDescent="0.25">
      <c r="A38" s="58" t="s">
        <v>17</v>
      </c>
      <c r="B38" s="59" t="s">
        <v>18</v>
      </c>
      <c r="C38" s="60" t="s">
        <v>115</v>
      </c>
      <c r="D38" s="61" t="s">
        <v>30</v>
      </c>
      <c r="E38" s="50" t="s">
        <v>274</v>
      </c>
      <c r="F38" s="50">
        <v>1.6284840733199081E-4</v>
      </c>
      <c r="G38" s="50">
        <v>2.1227493414034093E-4</v>
      </c>
      <c r="H38" s="63" t="s">
        <v>273</v>
      </c>
      <c r="I38" s="62">
        <v>37.886193420565625</v>
      </c>
      <c r="J38" s="62">
        <v>38.966036010537543</v>
      </c>
      <c r="K38" s="62">
        <v>39.899621170886761</v>
      </c>
      <c r="L38" s="62">
        <v>40.99368618144608</v>
      </c>
      <c r="M38" s="62">
        <v>42.103459537131783</v>
      </c>
      <c r="N38" s="62">
        <v>43.231700812087695</v>
      </c>
      <c r="O38" s="62">
        <v>44.378834556182099</v>
      </c>
      <c r="P38" s="62">
        <v>45.349780104940017</v>
      </c>
      <c r="Q38" s="62">
        <v>46.527693714484769</v>
      </c>
      <c r="R38" s="62">
        <v>47.727896192114258</v>
      </c>
      <c r="S38" s="62">
        <v>48.342644401384682</v>
      </c>
      <c r="T38" s="62">
        <v>50.209602447148981</v>
      </c>
      <c r="U38" s="62">
        <v>51.256754697263283</v>
      </c>
      <c r="V38" s="62">
        <v>52.580925736430729</v>
      </c>
      <c r="W38" s="62">
        <v>53.957316409396704</v>
      </c>
      <c r="X38" s="62">
        <v>55.382105767346673</v>
      </c>
      <c r="Y38" s="62">
        <v>56.868030306329054</v>
      </c>
      <c r="Z38" s="62">
        <v>58.104956347564823</v>
      </c>
      <c r="AA38" s="62">
        <v>59.213394975653188</v>
      </c>
      <c r="AB38" s="62">
        <v>60.372438430768732</v>
      </c>
      <c r="AC38" s="62">
        <v>61.567564018553092</v>
      </c>
      <c r="AD38" s="62">
        <v>62.801254854189537</v>
      </c>
      <c r="AE38" s="62">
        <v>64.07599405289703</v>
      </c>
      <c r="AF38" s="62">
        <v>65.394264731822958</v>
      </c>
      <c r="AG38" s="62">
        <v>66.758550004845802</v>
      </c>
      <c r="AH38" s="62">
        <v>68.171332991233058</v>
      </c>
      <c r="AI38" s="62">
        <v>69.635096802996131</v>
      </c>
      <c r="AJ38" s="62">
        <v>71.152324560648566</v>
      </c>
    </row>
    <row r="39" spans="1:36" x14ac:dyDescent="0.25">
      <c r="A39" s="58" t="s">
        <v>17</v>
      </c>
      <c r="B39" s="59" t="s">
        <v>18</v>
      </c>
      <c r="C39" s="60" t="s">
        <v>115</v>
      </c>
      <c r="D39" s="61" t="s">
        <v>30</v>
      </c>
      <c r="E39" s="50" t="s">
        <v>285</v>
      </c>
      <c r="F39" s="50">
        <v>6.4304242895196382E-4</v>
      </c>
      <c r="G39" s="50">
        <v>8.3821384250288471E-4</v>
      </c>
      <c r="H39" s="63" t="s">
        <v>284</v>
      </c>
      <c r="I39" s="62">
        <v>149.60189196838735</v>
      </c>
      <c r="J39" s="62">
        <v>153.86588578519954</v>
      </c>
      <c r="K39" s="62">
        <v>157.55235026452721</v>
      </c>
      <c r="L39" s="62">
        <v>161.87250440878708</v>
      </c>
      <c r="M39" s="62">
        <v>166.25468637739218</v>
      </c>
      <c r="N39" s="62">
        <v>170.709792950295</v>
      </c>
      <c r="O39" s="62">
        <v>175.2395005551806</v>
      </c>
      <c r="P39" s="62">
        <v>179.07349067078877</v>
      </c>
      <c r="Q39" s="62">
        <v>183.72473928283728</v>
      </c>
      <c r="R39" s="62">
        <v>188.46400034834861</v>
      </c>
      <c r="S39" s="62">
        <v>190.89146763623694</v>
      </c>
      <c r="T39" s="62">
        <v>198.26355838104982</v>
      </c>
      <c r="U39" s="62">
        <v>202.39846726611654</v>
      </c>
      <c r="V39" s="62">
        <v>207.62724521564954</v>
      </c>
      <c r="W39" s="62">
        <v>213.06222377043827</v>
      </c>
      <c r="X39" s="62">
        <v>218.68831508131763</v>
      </c>
      <c r="Y39" s="62">
        <v>224.5558119788378</v>
      </c>
      <c r="Z39" s="62">
        <v>229.44008403910212</v>
      </c>
      <c r="AA39" s="62">
        <v>233.81699554488694</v>
      </c>
      <c r="AB39" s="62">
        <v>238.39373123944574</v>
      </c>
      <c r="AC39" s="62">
        <v>243.11294509890195</v>
      </c>
      <c r="AD39" s="62">
        <v>247.98444224474844</v>
      </c>
      <c r="AE39" s="62">
        <v>253.01802779861907</v>
      </c>
      <c r="AF39" s="62">
        <v>258.22350688976246</v>
      </c>
      <c r="AG39" s="62">
        <v>263.61068463451932</v>
      </c>
      <c r="AH39" s="62">
        <v>269.18936617051003</v>
      </c>
      <c r="AI39" s="62">
        <v>274.96935660670266</v>
      </c>
      <c r="AJ39" s="62">
        <v>280.96046108563792</v>
      </c>
    </row>
    <row r="40" spans="1:36" x14ac:dyDescent="0.25">
      <c r="A40" s="58" t="s">
        <v>17</v>
      </c>
      <c r="B40" s="59" t="s">
        <v>18</v>
      </c>
      <c r="C40" s="60" t="s">
        <v>115</v>
      </c>
      <c r="D40" s="61" t="s">
        <v>30</v>
      </c>
      <c r="E40" s="50" t="s">
        <v>227</v>
      </c>
      <c r="F40" s="50">
        <v>1.7328740780199025E-3</v>
      </c>
      <c r="G40" s="50">
        <v>2.2588230171343973E-3</v>
      </c>
      <c r="H40" s="63" t="s">
        <v>50</v>
      </c>
      <c r="I40" s="62">
        <v>403.1479556290958</v>
      </c>
      <c r="J40" s="62">
        <v>414.6385883172585</v>
      </c>
      <c r="K40" s="62">
        <v>424.57289194661558</v>
      </c>
      <c r="L40" s="62">
        <v>436.21486577692627</v>
      </c>
      <c r="M40" s="62">
        <v>448.02399251050491</v>
      </c>
      <c r="N40" s="62">
        <v>460.02963684657419</v>
      </c>
      <c r="O40" s="62">
        <v>472.23631643116852</v>
      </c>
      <c r="P40" s="62">
        <v>482.56817291154124</v>
      </c>
      <c r="Q40" s="62">
        <v>495.10238183362003</v>
      </c>
      <c r="R40" s="62">
        <v>507.87376717249788</v>
      </c>
      <c r="S40" s="62">
        <v>514.41531863011915</v>
      </c>
      <c r="T40" s="62">
        <v>534.28166706581612</v>
      </c>
      <c r="U40" s="62">
        <v>545.42444100934006</v>
      </c>
      <c r="V40" s="62">
        <v>559.51497899022445</v>
      </c>
      <c r="W40" s="62">
        <v>574.1611874333239</v>
      </c>
      <c r="X40" s="62">
        <v>589.32240752432995</v>
      </c>
      <c r="Y40" s="62">
        <v>605.13416864427074</v>
      </c>
      <c r="Z40" s="62">
        <v>618.29633036511291</v>
      </c>
      <c r="AA40" s="62">
        <v>630.0912542281045</v>
      </c>
      <c r="AB40" s="62">
        <v>642.42466535305186</v>
      </c>
      <c r="AC40" s="62">
        <v>655.14202737691119</v>
      </c>
      <c r="AD40" s="62">
        <v>668.26976319201685</v>
      </c>
      <c r="AE40" s="62">
        <v>681.83429569108387</v>
      </c>
      <c r="AF40" s="62">
        <v>695.86204778734691</v>
      </c>
      <c r="AG40" s="62">
        <v>710.37944235925659</v>
      </c>
      <c r="AH40" s="62">
        <v>725.41290234260816</v>
      </c>
      <c r="AI40" s="62">
        <v>740.98885059598445</v>
      </c>
      <c r="AJ40" s="62">
        <v>757.13371006843988</v>
      </c>
    </row>
    <row r="41" spans="1:36" x14ac:dyDescent="0.25">
      <c r="A41" s="58" t="s">
        <v>17</v>
      </c>
      <c r="B41" s="59" t="s">
        <v>18</v>
      </c>
      <c r="C41" s="60" t="s">
        <v>115</v>
      </c>
      <c r="D41" s="61" t="s">
        <v>30</v>
      </c>
      <c r="E41" s="50" t="s">
        <v>357</v>
      </c>
      <c r="F41" s="50">
        <v>1.0021440451199435E-4</v>
      </c>
      <c r="G41" s="50">
        <v>1.3063072870174826E-4</v>
      </c>
      <c r="H41" s="63" t="s">
        <v>356</v>
      </c>
      <c r="I41" s="62">
        <v>23.314580566501924</v>
      </c>
      <c r="J41" s="62">
        <v>23.979099083407718</v>
      </c>
      <c r="K41" s="62">
        <v>24.553613028238008</v>
      </c>
      <c r="L41" s="62">
        <v>25.226883803966818</v>
      </c>
      <c r="M41" s="62">
        <v>25.909821253619558</v>
      </c>
      <c r="N41" s="62">
        <v>26.604123576669348</v>
      </c>
      <c r="O41" s="62">
        <v>27.310052034573598</v>
      </c>
      <c r="P41" s="62">
        <v>27.907556987655393</v>
      </c>
      <c r="Q41" s="62">
        <v>28.632426901221393</v>
      </c>
      <c r="R41" s="62">
        <v>29.371013041301079</v>
      </c>
      <c r="S41" s="62">
        <v>29.749319631621344</v>
      </c>
      <c r="T41" s="62">
        <v>30.898216890553218</v>
      </c>
      <c r="U41" s="62">
        <v>31.542618275238944</v>
      </c>
      <c r="V41" s="62">
        <v>32.357492760880447</v>
      </c>
      <c r="W41" s="62">
        <v>33.204502405782584</v>
      </c>
      <c r="X41" s="62">
        <v>34.081295856828717</v>
      </c>
      <c r="Y41" s="62">
        <v>34.995710957740954</v>
      </c>
      <c r="Z41" s="62">
        <v>35.756896213886044</v>
      </c>
      <c r="AA41" s="62">
        <v>36.439012292709656</v>
      </c>
      <c r="AB41" s="62">
        <v>37.152269803549984</v>
      </c>
      <c r="AC41" s="62">
        <v>37.887731703724981</v>
      </c>
      <c r="AD41" s="62">
        <v>38.646926064116634</v>
      </c>
      <c r="AE41" s="62">
        <v>39.431380955628946</v>
      </c>
      <c r="AF41" s="62">
        <v>40.242624450352587</v>
      </c>
      <c r="AG41" s="62">
        <v>41.082184618366639</v>
      </c>
      <c r="AH41" s="62">
        <v>41.951589533066496</v>
      </c>
      <c r="AI41" s="62">
        <v>42.852367263382234</v>
      </c>
      <c r="AJ41" s="62">
        <v>43.786045883476035</v>
      </c>
    </row>
    <row r="42" spans="1:36" x14ac:dyDescent="0.25">
      <c r="A42" s="58" t="s">
        <v>17</v>
      </c>
      <c r="B42" s="59" t="s">
        <v>18</v>
      </c>
      <c r="C42" s="60" t="s">
        <v>115</v>
      </c>
      <c r="D42" s="61" t="s">
        <v>30</v>
      </c>
      <c r="E42" s="50" t="s">
        <v>279</v>
      </c>
      <c r="F42" s="50">
        <v>8.4764683816395238E-4</v>
      </c>
      <c r="G42" s="50">
        <v>1.1049182469356209E-3</v>
      </c>
      <c r="H42" s="63" t="s">
        <v>278</v>
      </c>
      <c r="I42" s="62">
        <v>197.2024939583288</v>
      </c>
      <c r="J42" s="62">
        <v>202.82321308049032</v>
      </c>
      <c r="K42" s="62">
        <v>207.68264353051319</v>
      </c>
      <c r="L42" s="62">
        <v>213.37739217521937</v>
      </c>
      <c r="M42" s="62">
        <v>219.15390477019881</v>
      </c>
      <c r="N42" s="62">
        <v>225.02654525266161</v>
      </c>
      <c r="O42" s="62">
        <v>230.99752345910173</v>
      </c>
      <c r="P42" s="62">
        <v>236.05141952058526</v>
      </c>
      <c r="Q42" s="62">
        <v>242.18261087283099</v>
      </c>
      <c r="R42" s="62">
        <v>248.429818641005</v>
      </c>
      <c r="S42" s="62">
        <v>251.62966188413057</v>
      </c>
      <c r="T42" s="62">
        <v>261.34741786592934</v>
      </c>
      <c r="U42" s="62">
        <v>266.79797957806278</v>
      </c>
      <c r="V42" s="62">
        <v>273.69045960244716</v>
      </c>
      <c r="W42" s="62">
        <v>280.85474951557774</v>
      </c>
      <c r="X42" s="62">
        <v>288.27096078900962</v>
      </c>
      <c r="Y42" s="62">
        <v>296.00538851755897</v>
      </c>
      <c r="Z42" s="62">
        <v>302.44374714245282</v>
      </c>
      <c r="AA42" s="62">
        <v>308.21331230916923</v>
      </c>
      <c r="AB42" s="62">
        <v>314.24628208836037</v>
      </c>
      <c r="AC42" s="62">
        <v>320.46706399400716</v>
      </c>
      <c r="AD42" s="62">
        <v>326.8885829589866</v>
      </c>
      <c r="AE42" s="62">
        <v>333.52376391636153</v>
      </c>
      <c r="AF42" s="62">
        <v>340.38553180923236</v>
      </c>
      <c r="AG42" s="62">
        <v>347.48681156368457</v>
      </c>
      <c r="AH42" s="62">
        <v>354.84052813385415</v>
      </c>
      <c r="AI42" s="62">
        <v>362.45960643610812</v>
      </c>
      <c r="AJ42" s="62">
        <v>370.35697143106825</v>
      </c>
    </row>
    <row r="43" spans="1:36" x14ac:dyDescent="0.25">
      <c r="A43" s="58" t="s">
        <v>17</v>
      </c>
      <c r="B43" s="59" t="s">
        <v>18</v>
      </c>
      <c r="C43" s="60" t="s">
        <v>115</v>
      </c>
      <c r="D43" s="61" t="s">
        <v>30</v>
      </c>
      <c r="E43" s="50" t="s">
        <v>234</v>
      </c>
      <c r="F43" s="50">
        <v>7.5160803383995768E-5</v>
      </c>
      <c r="G43" s="50">
        <v>9.7973046526311211E-5</v>
      </c>
      <c r="H43" s="63" t="s">
        <v>233</v>
      </c>
      <c r="I43" s="62">
        <v>17.485935424876445</v>
      </c>
      <c r="J43" s="62">
        <v>17.984324312555792</v>
      </c>
      <c r="K43" s="62">
        <v>18.415209771178507</v>
      </c>
      <c r="L43" s="62">
        <v>18.920162852975114</v>
      </c>
      <c r="M43" s="62">
        <v>19.43236594021467</v>
      </c>
      <c r="N43" s="62">
        <v>19.953092682502014</v>
      </c>
      <c r="O43" s="62">
        <v>20.482539025930201</v>
      </c>
      <c r="P43" s="62">
        <v>20.930667740741548</v>
      </c>
      <c r="Q43" s="62">
        <v>21.474320175916048</v>
      </c>
      <c r="R43" s="62">
        <v>22.028259780975812</v>
      </c>
      <c r="S43" s="62">
        <v>22.31198972371601</v>
      </c>
      <c r="T43" s="62">
        <v>23.173662667914918</v>
      </c>
      <c r="U43" s="62">
        <v>23.65696370642921</v>
      </c>
      <c r="V43" s="62">
        <v>24.268119570660339</v>
      </c>
      <c r="W43" s="62">
        <v>24.90337680433694</v>
      </c>
      <c r="X43" s="62">
        <v>25.560971892621541</v>
      </c>
      <c r="Y43" s="62">
        <v>26.246783218305719</v>
      </c>
      <c r="Z43" s="62">
        <v>26.817672160414535</v>
      </c>
      <c r="AA43" s="62">
        <v>27.329259219532243</v>
      </c>
      <c r="AB43" s="62">
        <v>27.864202352662492</v>
      </c>
      <c r="AC43" s="62">
        <v>28.415798777793739</v>
      </c>
      <c r="AD43" s="62">
        <v>28.985194548087481</v>
      </c>
      <c r="AE43" s="62">
        <v>29.573535716721711</v>
      </c>
      <c r="AF43" s="62">
        <v>30.181968337764445</v>
      </c>
      <c r="AG43" s="62">
        <v>30.811638463774987</v>
      </c>
      <c r="AH43" s="62">
        <v>31.463692149799876</v>
      </c>
      <c r="AI43" s="62">
        <v>32.139275447536676</v>
      </c>
      <c r="AJ43" s="62">
        <v>32.83953441260703</v>
      </c>
    </row>
    <row r="44" spans="1:36" x14ac:dyDescent="0.25">
      <c r="A44" s="58" t="s">
        <v>17</v>
      </c>
      <c r="B44" s="59" t="s">
        <v>18</v>
      </c>
      <c r="C44" s="60" t="s">
        <v>115</v>
      </c>
      <c r="D44" s="61" t="s">
        <v>30</v>
      </c>
      <c r="E44" s="50" t="s">
        <v>213</v>
      </c>
      <c r="F44" s="50">
        <v>1.1224013305343368E-2</v>
      </c>
      <c r="G44" s="50">
        <v>1.4630641614595806E-2</v>
      </c>
      <c r="H44" s="63" t="s">
        <v>47</v>
      </c>
      <c r="I44" s="62">
        <v>2611.2330234482156</v>
      </c>
      <c r="J44" s="62">
        <v>2685.6590973416646</v>
      </c>
      <c r="K44" s="62">
        <v>2750.0046591626569</v>
      </c>
      <c r="L44" s="62">
        <v>2825.4109860442836</v>
      </c>
      <c r="M44" s="62">
        <v>2901.8999804053906</v>
      </c>
      <c r="N44" s="62">
        <v>2979.6618405869672</v>
      </c>
      <c r="O44" s="62">
        <v>3058.7258278722429</v>
      </c>
      <c r="P44" s="62">
        <v>3125.6463826174045</v>
      </c>
      <c r="Q44" s="62">
        <v>3206.8318129367963</v>
      </c>
      <c r="R44" s="62">
        <v>3289.5534606257211</v>
      </c>
      <c r="S44" s="62">
        <v>3331.9237987415904</v>
      </c>
      <c r="T44" s="62">
        <v>3460.6002917419605</v>
      </c>
      <c r="U44" s="62">
        <v>3532.7732468267618</v>
      </c>
      <c r="V44" s="62">
        <v>3624.0391892186103</v>
      </c>
      <c r="W44" s="62">
        <v>3718.9042694476498</v>
      </c>
      <c r="X44" s="62">
        <v>3817.1051359648168</v>
      </c>
      <c r="Y44" s="62">
        <v>3919.5196272669873</v>
      </c>
      <c r="Z44" s="62">
        <v>4004.7723759552373</v>
      </c>
      <c r="AA44" s="62">
        <v>4081.1693767834813</v>
      </c>
      <c r="AB44" s="62">
        <v>4161.0542179975982</v>
      </c>
      <c r="AC44" s="62">
        <v>4243.4259508171981</v>
      </c>
      <c r="AD44" s="62">
        <v>4328.4557191810636</v>
      </c>
      <c r="AE44" s="62">
        <v>4416.3146670304423</v>
      </c>
      <c r="AF44" s="62">
        <v>4507.1739384394905</v>
      </c>
      <c r="AG44" s="62">
        <v>4601.2046772570638</v>
      </c>
      <c r="AH44" s="62">
        <v>4698.5780277034473</v>
      </c>
      <c r="AI44" s="62">
        <v>4799.4651334988102</v>
      </c>
      <c r="AJ44" s="62">
        <v>4904.0371389493166</v>
      </c>
    </row>
    <row r="45" spans="1:36" x14ac:dyDescent="0.25">
      <c r="A45" s="58" t="s">
        <v>17</v>
      </c>
      <c r="B45" s="59" t="s">
        <v>18</v>
      </c>
      <c r="C45" s="60" t="s">
        <v>115</v>
      </c>
      <c r="D45" s="61" t="s">
        <v>30</v>
      </c>
      <c r="E45" s="50" t="s">
        <v>367</v>
      </c>
      <c r="F45" s="50">
        <v>1.2944360582799273E-4</v>
      </c>
      <c r="G45" s="50">
        <v>1.6873135790642486E-4</v>
      </c>
      <c r="H45" s="63" t="s">
        <v>366</v>
      </c>
      <c r="I45" s="62">
        <v>30.11466656506499</v>
      </c>
      <c r="J45" s="62">
        <v>30.973002982734972</v>
      </c>
      <c r="K45" s="62">
        <v>31.715083494807427</v>
      </c>
      <c r="L45" s="62">
        <v>32.584724913457144</v>
      </c>
      <c r="M45" s="62">
        <v>33.46685245259193</v>
      </c>
      <c r="N45" s="62">
        <v>34.363659619864578</v>
      </c>
      <c r="O45" s="62">
        <v>35.275483877990901</v>
      </c>
      <c r="P45" s="62">
        <v>36.047261109054887</v>
      </c>
      <c r="Q45" s="62">
        <v>36.983551414077638</v>
      </c>
      <c r="R45" s="62">
        <v>37.937558511680564</v>
      </c>
      <c r="S45" s="62">
        <v>38.426204524177571</v>
      </c>
      <c r="T45" s="62">
        <v>39.910196816964579</v>
      </c>
      <c r="U45" s="62">
        <v>40.742548605516973</v>
      </c>
      <c r="V45" s="62">
        <v>41.795094816137251</v>
      </c>
      <c r="W45" s="62">
        <v>42.889148940802507</v>
      </c>
      <c r="X45" s="62">
        <v>44.021673815070429</v>
      </c>
      <c r="Y45" s="62">
        <v>45.202793320415402</v>
      </c>
      <c r="Z45" s="62">
        <v>46.185990942936144</v>
      </c>
      <c r="AA45" s="62">
        <v>47.067057544749971</v>
      </c>
      <c r="AB45" s="62">
        <v>47.988348496252073</v>
      </c>
      <c r="AC45" s="62">
        <v>48.938320117311434</v>
      </c>
      <c r="AD45" s="62">
        <v>49.918946166150661</v>
      </c>
      <c r="AE45" s="62">
        <v>50.932200401020722</v>
      </c>
      <c r="AF45" s="62">
        <v>51.980056581705433</v>
      </c>
      <c r="AG45" s="62">
        <v>53.064488465390248</v>
      </c>
      <c r="AH45" s="62">
        <v>54.187469813544226</v>
      </c>
      <c r="AI45" s="62">
        <v>55.350974381868724</v>
      </c>
      <c r="AJ45" s="62">
        <v>56.556975932823221</v>
      </c>
    </row>
    <row r="46" spans="1:36" x14ac:dyDescent="0.25">
      <c r="A46" s="58" t="s">
        <v>17</v>
      </c>
      <c r="B46" s="59" t="s">
        <v>18</v>
      </c>
      <c r="C46" s="60" t="s">
        <v>115</v>
      </c>
      <c r="D46" s="61" t="s">
        <v>30</v>
      </c>
      <c r="E46" s="50" t="s">
        <v>425</v>
      </c>
      <c r="F46" s="50">
        <v>1.0564268475639405E-3</v>
      </c>
      <c r="G46" s="50">
        <v>1.3770655983975965E-3</v>
      </c>
      <c r="H46" s="63" t="s">
        <v>366</v>
      </c>
      <c r="I46" s="62">
        <v>245.77453680520782</v>
      </c>
      <c r="J46" s="62">
        <v>252.77966950425639</v>
      </c>
      <c r="K46" s="62">
        <v>258.83600400600903</v>
      </c>
      <c r="L46" s="62">
        <v>265.93340010015027</v>
      </c>
      <c r="M46" s="62">
        <v>273.13269904857287</v>
      </c>
      <c r="N46" s="62">
        <v>280.45180270405609</v>
      </c>
      <c r="O46" s="62">
        <v>287.89346519779673</v>
      </c>
      <c r="P46" s="62">
        <v>294.19216324486729</v>
      </c>
      <c r="Q46" s="62">
        <v>301.83350025037555</v>
      </c>
      <c r="R46" s="62">
        <v>309.61942914371559</v>
      </c>
      <c r="S46" s="62">
        <v>313.60741111667505</v>
      </c>
      <c r="T46" s="62">
        <v>325.71870305458191</v>
      </c>
      <c r="U46" s="62">
        <v>332.51176765147721</v>
      </c>
      <c r="V46" s="62">
        <v>341.10190285428143</v>
      </c>
      <c r="W46" s="62">
        <v>350.03079619429144</v>
      </c>
      <c r="X46" s="62">
        <v>359.27366049073612</v>
      </c>
      <c r="Y46" s="62">
        <v>368.9131196795193</v>
      </c>
      <c r="Z46" s="62">
        <v>376.93728092138207</v>
      </c>
      <c r="AA46" s="62">
        <v>384.12792125231431</v>
      </c>
      <c r="AB46" s="62">
        <v>391.6468441790895</v>
      </c>
      <c r="AC46" s="62">
        <v>399.39983837676755</v>
      </c>
      <c r="AD46" s="62">
        <v>407.40301225922957</v>
      </c>
      <c r="AE46" s="62">
        <v>415.67247424058849</v>
      </c>
      <c r="AF46" s="62">
        <v>424.22433274746692</v>
      </c>
      <c r="AG46" s="62">
        <v>433.07469618528177</v>
      </c>
      <c r="AH46" s="62">
        <v>442.23967299440937</v>
      </c>
      <c r="AI46" s="62">
        <v>451.73537156815445</v>
      </c>
      <c r="AJ46" s="62">
        <v>461.57790035497663</v>
      </c>
    </row>
    <row r="47" spans="1:36" x14ac:dyDescent="0.25">
      <c r="A47" s="58" t="s">
        <v>17</v>
      </c>
      <c r="B47" s="59" t="s">
        <v>18</v>
      </c>
      <c r="C47" s="60" t="s">
        <v>115</v>
      </c>
      <c r="D47" s="61" t="s">
        <v>30</v>
      </c>
      <c r="E47" s="50" t="s">
        <v>292</v>
      </c>
      <c r="F47" s="50">
        <v>1.3361920601599248E-4</v>
      </c>
      <c r="G47" s="50">
        <v>1.7417430493566437E-4</v>
      </c>
      <c r="H47" s="63" t="s">
        <v>291</v>
      </c>
      <c r="I47" s="62">
        <v>31.08610742200257</v>
      </c>
      <c r="J47" s="62">
        <v>31.972132111210293</v>
      </c>
      <c r="K47" s="62">
        <v>32.738150704317349</v>
      </c>
      <c r="L47" s="62">
        <v>33.635845071955764</v>
      </c>
      <c r="M47" s="62">
        <v>34.546428338159416</v>
      </c>
      <c r="N47" s="62">
        <v>35.472164768892469</v>
      </c>
      <c r="O47" s="62">
        <v>36.4134027127648</v>
      </c>
      <c r="P47" s="62">
        <v>37.210075983540527</v>
      </c>
      <c r="Q47" s="62">
        <v>38.176569201628531</v>
      </c>
      <c r="R47" s="62">
        <v>39.161350721734777</v>
      </c>
      <c r="S47" s="62">
        <v>39.665759508828458</v>
      </c>
      <c r="T47" s="62">
        <v>41.197622520737632</v>
      </c>
      <c r="U47" s="62">
        <v>42.056824366985261</v>
      </c>
      <c r="V47" s="62">
        <v>43.143323681173932</v>
      </c>
      <c r="W47" s="62">
        <v>44.272669874376781</v>
      </c>
      <c r="X47" s="62">
        <v>45.441727809104961</v>
      </c>
      <c r="Y47" s="62">
        <v>46.660947943654612</v>
      </c>
      <c r="Z47" s="62">
        <v>47.67586161851473</v>
      </c>
      <c r="AA47" s="62">
        <v>48.585349723612879</v>
      </c>
      <c r="AB47" s="62">
        <v>49.53635973806665</v>
      </c>
      <c r="AC47" s="62">
        <v>50.516975604966646</v>
      </c>
      <c r="AD47" s="62">
        <v>51.529234752155517</v>
      </c>
      <c r="AE47" s="62">
        <v>52.575174607505261</v>
      </c>
      <c r="AF47" s="62">
        <v>53.656832600470125</v>
      </c>
      <c r="AG47" s="62">
        <v>54.776246157822193</v>
      </c>
      <c r="AH47" s="62">
        <v>55.935452710755328</v>
      </c>
      <c r="AI47" s="62">
        <v>57.136489684509648</v>
      </c>
      <c r="AJ47" s="62">
        <v>58.381394511301387</v>
      </c>
    </row>
    <row r="48" spans="1:36" x14ac:dyDescent="0.25">
      <c r="A48" s="58" t="s">
        <v>17</v>
      </c>
      <c r="B48" s="59" t="s">
        <v>18</v>
      </c>
      <c r="C48" s="60" t="s">
        <v>115</v>
      </c>
      <c r="D48" s="61" t="s">
        <v>30</v>
      </c>
      <c r="E48" s="50" t="s">
        <v>341</v>
      </c>
      <c r="F48" s="50">
        <v>1.8372640827198967E-4</v>
      </c>
      <c r="G48" s="50">
        <v>2.394896692865385E-4</v>
      </c>
      <c r="H48" s="63" t="s">
        <v>340</v>
      </c>
      <c r="I48" s="62">
        <v>42.743397705253535</v>
      </c>
      <c r="J48" s="62">
        <v>43.961681652914152</v>
      </c>
      <c r="K48" s="62">
        <v>45.014957218436351</v>
      </c>
      <c r="L48" s="62">
        <v>46.249286973939171</v>
      </c>
      <c r="M48" s="62">
        <v>47.501338964969193</v>
      </c>
      <c r="N48" s="62">
        <v>48.774226557227145</v>
      </c>
      <c r="O48" s="62">
        <v>50.0684287300516</v>
      </c>
      <c r="P48" s="62">
        <v>51.163854477368226</v>
      </c>
      <c r="Q48" s="62">
        <v>52.492782652239228</v>
      </c>
      <c r="R48" s="62">
        <v>53.846857242385319</v>
      </c>
      <c r="S48" s="62">
        <v>54.540419324639132</v>
      </c>
      <c r="T48" s="62">
        <v>56.646730966014239</v>
      </c>
      <c r="U48" s="62">
        <v>57.828133504604729</v>
      </c>
      <c r="V48" s="62">
        <v>59.322070061614163</v>
      </c>
      <c r="W48" s="62">
        <v>60.874921077268077</v>
      </c>
      <c r="X48" s="62">
        <v>62.48237573751932</v>
      </c>
      <c r="Y48" s="62">
        <v>64.158803422525096</v>
      </c>
      <c r="Z48" s="62">
        <v>65.554309725457756</v>
      </c>
      <c r="AA48" s="62">
        <v>66.804855869967696</v>
      </c>
      <c r="AB48" s="62">
        <v>68.112494639841643</v>
      </c>
      <c r="AC48" s="62">
        <v>69.460841456829129</v>
      </c>
      <c r="AD48" s="62">
        <v>70.852697784213845</v>
      </c>
      <c r="AE48" s="62">
        <v>72.290865085319737</v>
      </c>
      <c r="AF48" s="62">
        <v>73.778144825646422</v>
      </c>
      <c r="AG48" s="62">
        <v>75.317338467005513</v>
      </c>
      <c r="AH48" s="62">
        <v>76.911247477288583</v>
      </c>
      <c r="AI48" s="62">
        <v>78.562673316200758</v>
      </c>
      <c r="AJ48" s="62">
        <v>80.274417453039405</v>
      </c>
    </row>
    <row r="49" spans="1:36" x14ac:dyDescent="0.25">
      <c r="A49" s="58" t="s">
        <v>17</v>
      </c>
      <c r="B49" s="59" t="s">
        <v>18</v>
      </c>
      <c r="C49" s="60" t="s">
        <v>115</v>
      </c>
      <c r="D49" s="61" t="s">
        <v>30</v>
      </c>
      <c r="E49" s="50" t="s">
        <v>322</v>
      </c>
      <c r="F49" s="50">
        <v>1.4197040639199203E-3</v>
      </c>
      <c r="G49" s="50">
        <v>1.8506019899414338E-3</v>
      </c>
      <c r="H49" s="63" t="s">
        <v>11</v>
      </c>
      <c r="I49" s="62">
        <v>330.28989135877731</v>
      </c>
      <c r="J49" s="62">
        <v>339.70390368160935</v>
      </c>
      <c r="K49" s="62">
        <v>347.84285123337179</v>
      </c>
      <c r="L49" s="62">
        <v>357.38085388952993</v>
      </c>
      <c r="M49" s="62">
        <v>367.05580109294374</v>
      </c>
      <c r="N49" s="62">
        <v>376.89175066948246</v>
      </c>
      <c r="O49" s="62">
        <v>386.89240382312596</v>
      </c>
      <c r="P49" s="62">
        <v>395.35705732511809</v>
      </c>
      <c r="Q49" s="62">
        <v>405.62604776730313</v>
      </c>
      <c r="R49" s="62">
        <v>416.08935141843199</v>
      </c>
      <c r="S49" s="62">
        <v>421.44869478130238</v>
      </c>
      <c r="T49" s="62">
        <v>437.72473928283728</v>
      </c>
      <c r="U49" s="62">
        <v>446.85375889921841</v>
      </c>
      <c r="V49" s="62">
        <v>458.39781411247304</v>
      </c>
      <c r="W49" s="62">
        <v>470.39711741525332</v>
      </c>
      <c r="X49" s="62">
        <v>482.81835797174023</v>
      </c>
      <c r="Y49" s="62">
        <v>495.77257190133025</v>
      </c>
      <c r="Z49" s="62">
        <v>506.55602969671895</v>
      </c>
      <c r="AA49" s="62">
        <v>516.21934081338679</v>
      </c>
      <c r="AB49" s="62">
        <v>526.32382221695821</v>
      </c>
      <c r="AC49" s="62">
        <v>536.74286580277055</v>
      </c>
      <c r="AD49" s="62">
        <v>547.49811924165238</v>
      </c>
      <c r="AE49" s="62">
        <v>558.61123020474338</v>
      </c>
      <c r="AF49" s="62">
        <v>570.10384637999505</v>
      </c>
      <c r="AG49" s="62">
        <v>581.99761542686076</v>
      </c>
      <c r="AH49" s="62">
        <v>594.31418505177533</v>
      </c>
      <c r="AI49" s="62">
        <v>607.07520289791501</v>
      </c>
      <c r="AJ49" s="62">
        <v>620.30231668257727</v>
      </c>
    </row>
    <row r="50" spans="1:36" x14ac:dyDescent="0.25">
      <c r="A50" s="58" t="s">
        <v>17</v>
      </c>
      <c r="B50" s="59" t="s">
        <v>18</v>
      </c>
      <c r="C50" s="60" t="s">
        <v>115</v>
      </c>
      <c r="D50" s="61" t="s">
        <v>30</v>
      </c>
      <c r="E50" s="50" t="s">
        <v>414</v>
      </c>
      <c r="F50" s="50">
        <v>2.0878000939998824E-4</v>
      </c>
      <c r="G50" s="50">
        <v>2.7214735146197555E-4</v>
      </c>
      <c r="H50" s="63" t="s">
        <v>90</v>
      </c>
      <c r="I50" s="62">
        <v>48.572042846879008</v>
      </c>
      <c r="J50" s="62">
        <v>49.956456423766078</v>
      </c>
      <c r="K50" s="62">
        <v>51.153360475495852</v>
      </c>
      <c r="L50" s="62">
        <v>52.556007924930874</v>
      </c>
      <c r="M50" s="62">
        <v>53.978794278374082</v>
      </c>
      <c r="N50" s="62">
        <v>55.425257451394479</v>
      </c>
      <c r="O50" s="62">
        <v>56.895941738694994</v>
      </c>
      <c r="P50" s="62">
        <v>58.140743724282068</v>
      </c>
      <c r="Q50" s="62">
        <v>59.650889377544573</v>
      </c>
      <c r="R50" s="62">
        <v>61.189610502710586</v>
      </c>
      <c r="S50" s="62">
        <v>61.977749232544461</v>
      </c>
      <c r="T50" s="62">
        <v>64.371285188652536</v>
      </c>
      <c r="U50" s="62">
        <v>65.713788073414463</v>
      </c>
      <c r="V50" s="62">
        <v>67.411443251834271</v>
      </c>
      <c r="W50" s="62">
        <v>69.176046678713718</v>
      </c>
      <c r="X50" s="62">
        <v>71.002699701726499</v>
      </c>
      <c r="Y50" s="62">
        <v>72.907731161960328</v>
      </c>
      <c r="Z50" s="62">
        <v>74.493533778929262</v>
      </c>
      <c r="AA50" s="62">
        <v>75.914608943145112</v>
      </c>
      <c r="AB50" s="62">
        <v>77.400562090729139</v>
      </c>
      <c r="AC50" s="62">
        <v>78.932774382760371</v>
      </c>
      <c r="AD50" s="62">
        <v>80.514429300242995</v>
      </c>
      <c r="AE50" s="62">
        <v>82.148710324226968</v>
      </c>
      <c r="AF50" s="62">
        <v>83.83880093823457</v>
      </c>
      <c r="AG50" s="62">
        <v>85.587884621597169</v>
      </c>
      <c r="AH50" s="62">
        <v>87.399144860555197</v>
      </c>
      <c r="AI50" s="62">
        <v>89.275765132046317</v>
      </c>
      <c r="AJ50" s="62">
        <v>91.220928923908417</v>
      </c>
    </row>
    <row r="51" spans="1:36" x14ac:dyDescent="0.25">
      <c r="A51" s="58" t="s">
        <v>17</v>
      </c>
      <c r="B51" s="59" t="s">
        <v>18</v>
      </c>
      <c r="C51" s="60" t="s">
        <v>115</v>
      </c>
      <c r="D51" s="61" t="s">
        <v>30</v>
      </c>
      <c r="E51" s="50" t="s">
        <v>396</v>
      </c>
      <c r="F51" s="50">
        <v>2.4636041109198613E-4</v>
      </c>
      <c r="G51" s="50">
        <v>3.2113387472513117E-4</v>
      </c>
      <c r="H51" s="63" t="s">
        <v>395</v>
      </c>
      <c r="I51" s="62">
        <v>57.315010559317237</v>
      </c>
      <c r="J51" s="62">
        <v>58.948618580043977</v>
      </c>
      <c r="K51" s="62">
        <v>60.360965361085107</v>
      </c>
      <c r="L51" s="62">
        <v>62.016089351418429</v>
      </c>
      <c r="M51" s="62">
        <v>63.694977248481415</v>
      </c>
      <c r="N51" s="62">
        <v>65.401803792645495</v>
      </c>
      <c r="O51" s="62">
        <v>67.137211251660105</v>
      </c>
      <c r="P51" s="62">
        <v>68.606077594652845</v>
      </c>
      <c r="Q51" s="62">
        <v>70.388049465502604</v>
      </c>
      <c r="R51" s="62">
        <v>72.203740393198487</v>
      </c>
      <c r="S51" s="62">
        <v>73.133744094402473</v>
      </c>
      <c r="T51" s="62">
        <v>75.958116522609998</v>
      </c>
      <c r="U51" s="62">
        <v>77.542269926629075</v>
      </c>
      <c r="V51" s="62">
        <v>79.545503037164437</v>
      </c>
      <c r="W51" s="62">
        <v>81.627735080882189</v>
      </c>
      <c r="X51" s="62">
        <v>83.783185648037275</v>
      </c>
      <c r="Y51" s="62">
        <v>86.031122771113189</v>
      </c>
      <c r="Z51" s="62">
        <v>87.902369859136527</v>
      </c>
      <c r="AA51" s="62">
        <v>89.579238552911235</v>
      </c>
      <c r="AB51" s="62">
        <v>91.332663267060383</v>
      </c>
      <c r="AC51" s="62">
        <v>93.140673771657248</v>
      </c>
      <c r="AD51" s="62">
        <v>95.007026574286741</v>
      </c>
      <c r="AE51" s="62">
        <v>96.935478182587829</v>
      </c>
      <c r="AF51" s="62">
        <v>98.929785107116786</v>
      </c>
      <c r="AG51" s="62">
        <v>100.99370385348467</v>
      </c>
      <c r="AH51" s="62">
        <v>103.13099093545515</v>
      </c>
      <c r="AI51" s="62">
        <v>105.34540285581465</v>
      </c>
      <c r="AJ51" s="62">
        <v>107.64069613021194</v>
      </c>
    </row>
    <row r="52" spans="1:36" x14ac:dyDescent="0.25">
      <c r="A52" s="58" t="s">
        <v>17</v>
      </c>
      <c r="B52" s="59" t="s">
        <v>18</v>
      </c>
      <c r="C52" s="60" t="s">
        <v>115</v>
      </c>
      <c r="D52" s="61" t="s">
        <v>30</v>
      </c>
      <c r="E52" s="50" t="s">
        <v>207</v>
      </c>
      <c r="F52" s="50">
        <v>1.0063196453079435E-3</v>
      </c>
      <c r="G52" s="50">
        <v>1.3117502340467223E-3</v>
      </c>
      <c r="H52" s="63" t="s">
        <v>206</v>
      </c>
      <c r="I52" s="62">
        <v>234.11724652195684</v>
      </c>
      <c r="J52" s="62">
        <v>240.79011996255252</v>
      </c>
      <c r="K52" s="62">
        <v>246.55919749189002</v>
      </c>
      <c r="L52" s="62">
        <v>253.31995819816683</v>
      </c>
      <c r="M52" s="62">
        <v>260.17778842176307</v>
      </c>
      <c r="N52" s="62">
        <v>267.1497409157214</v>
      </c>
      <c r="O52" s="62">
        <v>274.23843918050989</v>
      </c>
      <c r="P52" s="62">
        <v>280.23838475103963</v>
      </c>
      <c r="Q52" s="62">
        <v>287.51728679976486</v>
      </c>
      <c r="R52" s="62">
        <v>294.93392262306503</v>
      </c>
      <c r="S52" s="62">
        <v>298.73275130086438</v>
      </c>
      <c r="T52" s="62">
        <v>310.26959460930527</v>
      </c>
      <c r="U52" s="62">
        <v>316.74045851385773</v>
      </c>
      <c r="V52" s="62">
        <v>324.92315647384123</v>
      </c>
      <c r="W52" s="62">
        <v>333.42854499140014</v>
      </c>
      <c r="X52" s="62">
        <v>342.23301256232173</v>
      </c>
      <c r="Y52" s="62">
        <v>351.41526420064883</v>
      </c>
      <c r="Z52" s="62">
        <v>359.05883281443909</v>
      </c>
      <c r="AA52" s="62">
        <v>365.90841510595948</v>
      </c>
      <c r="AB52" s="62">
        <v>373.07070927731451</v>
      </c>
      <c r="AC52" s="62">
        <v>380.45597252490506</v>
      </c>
      <c r="AD52" s="62">
        <v>388.0795492271713</v>
      </c>
      <c r="AE52" s="62">
        <v>395.95678376277402</v>
      </c>
      <c r="AF52" s="62">
        <v>404.10302052229065</v>
      </c>
      <c r="AG52" s="62">
        <v>412.53360387609843</v>
      </c>
      <c r="AH52" s="62">
        <v>421.26387822787609</v>
      </c>
      <c r="AI52" s="62">
        <v>430.30918793646327</v>
      </c>
      <c r="AJ52" s="62">
        <v>439.68487741323861</v>
      </c>
    </row>
    <row r="53" spans="1:36" x14ac:dyDescent="0.25">
      <c r="A53" s="58" t="s">
        <v>17</v>
      </c>
      <c r="B53" s="59" t="s">
        <v>18</v>
      </c>
      <c r="C53" s="60" t="s">
        <v>115</v>
      </c>
      <c r="D53" s="61" t="s">
        <v>30</v>
      </c>
      <c r="E53" s="50" t="s">
        <v>351</v>
      </c>
      <c r="F53" s="50">
        <v>8.058908362839546E-4</v>
      </c>
      <c r="G53" s="50">
        <v>1.0504887766432257E-3</v>
      </c>
      <c r="H53" s="63" t="s">
        <v>350</v>
      </c>
      <c r="I53" s="62">
        <v>187.48808538895298</v>
      </c>
      <c r="J53" s="62">
        <v>192.83192179573709</v>
      </c>
      <c r="K53" s="62">
        <v>197.45197143541398</v>
      </c>
      <c r="L53" s="62">
        <v>202.86619059023317</v>
      </c>
      <c r="M53" s="62">
        <v>208.35814591452396</v>
      </c>
      <c r="N53" s="62">
        <v>213.94149376238269</v>
      </c>
      <c r="O53" s="62">
        <v>219.61833511136268</v>
      </c>
      <c r="P53" s="62">
        <v>224.42327077572881</v>
      </c>
      <c r="Q53" s="62">
        <v>230.25243299732207</v>
      </c>
      <c r="R53" s="62">
        <v>236.19189654046286</v>
      </c>
      <c r="S53" s="62">
        <v>239.23411203762163</v>
      </c>
      <c r="T53" s="62">
        <v>248.47316082819881</v>
      </c>
      <c r="U53" s="62">
        <v>253.65522196337983</v>
      </c>
      <c r="V53" s="62">
        <v>260.20817095208031</v>
      </c>
      <c r="W53" s="62">
        <v>267.01954017983496</v>
      </c>
      <c r="X53" s="62">
        <v>274.0704208486643</v>
      </c>
      <c r="Y53" s="62">
        <v>281.42384228516687</v>
      </c>
      <c r="Z53" s="62">
        <v>287.54504038666693</v>
      </c>
      <c r="AA53" s="62">
        <v>293.03039052054015</v>
      </c>
      <c r="AB53" s="62">
        <v>298.76616967021448</v>
      </c>
      <c r="AC53" s="62">
        <v>304.68050911745507</v>
      </c>
      <c r="AD53" s="62">
        <v>310.78569709893799</v>
      </c>
      <c r="AE53" s="62">
        <v>317.09402185151612</v>
      </c>
      <c r="AF53" s="62">
        <v>323.6177716215854</v>
      </c>
      <c r="AG53" s="62">
        <v>330.36923463936512</v>
      </c>
      <c r="AH53" s="62">
        <v>337.36069916174307</v>
      </c>
      <c r="AI53" s="62">
        <v>344.60445340969881</v>
      </c>
      <c r="AJ53" s="62">
        <v>352.11278564628651</v>
      </c>
    </row>
    <row r="54" spans="1:36" x14ac:dyDescent="0.25">
      <c r="A54" s="58" t="s">
        <v>17</v>
      </c>
      <c r="B54" s="59" t="s">
        <v>18</v>
      </c>
      <c r="C54" s="60" t="s">
        <v>115</v>
      </c>
      <c r="D54" s="61" t="s">
        <v>30</v>
      </c>
      <c r="E54" s="50" t="s">
        <v>124</v>
      </c>
      <c r="F54" s="50">
        <v>6.3886682876396412E-4</v>
      </c>
      <c r="G54" s="50">
        <v>8.3277089547364525E-4</v>
      </c>
      <c r="H54" s="63" t="s">
        <v>113</v>
      </c>
      <c r="I54" s="62">
        <v>148.63045111144979</v>
      </c>
      <c r="J54" s="62">
        <v>152.86675665672422</v>
      </c>
      <c r="K54" s="62">
        <v>156.52928305501732</v>
      </c>
      <c r="L54" s="62">
        <v>160.82138425028847</v>
      </c>
      <c r="M54" s="62">
        <v>165.17511049182468</v>
      </c>
      <c r="N54" s="62">
        <v>169.60128780126712</v>
      </c>
      <c r="O54" s="62">
        <v>174.1015817204067</v>
      </c>
      <c r="P54" s="62">
        <v>177.91067579630314</v>
      </c>
      <c r="Q54" s="62">
        <v>182.5317214952864</v>
      </c>
      <c r="R54" s="62">
        <v>187.24020813829441</v>
      </c>
      <c r="S54" s="62">
        <v>189.65191265158609</v>
      </c>
      <c r="T54" s="62">
        <v>196.97613267727678</v>
      </c>
      <c r="U54" s="62">
        <v>201.08419150464829</v>
      </c>
      <c r="V54" s="62">
        <v>206.27901635061286</v>
      </c>
      <c r="W54" s="62">
        <v>211.67870283686401</v>
      </c>
      <c r="X54" s="62">
        <v>217.26826108728309</v>
      </c>
      <c r="Y54" s="62">
        <v>223.09765735559861</v>
      </c>
      <c r="Z54" s="62">
        <v>227.95021336352355</v>
      </c>
      <c r="AA54" s="62">
        <v>232.29870336602406</v>
      </c>
      <c r="AB54" s="62">
        <v>236.84571999763119</v>
      </c>
      <c r="AC54" s="62">
        <v>241.53428961124675</v>
      </c>
      <c r="AD54" s="62">
        <v>246.37415365874358</v>
      </c>
      <c r="AE54" s="62">
        <v>251.37505359213455</v>
      </c>
      <c r="AF54" s="62">
        <v>256.54673087099781</v>
      </c>
      <c r="AG54" s="62">
        <v>261.89892694208737</v>
      </c>
      <c r="AH54" s="62">
        <v>267.44138327329892</v>
      </c>
      <c r="AI54" s="62">
        <v>273.18384130406173</v>
      </c>
      <c r="AJ54" s="62">
        <v>279.13604250715974</v>
      </c>
    </row>
    <row r="55" spans="1:36" x14ac:dyDescent="0.25">
      <c r="A55" s="58" t="s">
        <v>17</v>
      </c>
      <c r="B55" s="59" t="s">
        <v>18</v>
      </c>
      <c r="C55" s="60" t="s">
        <v>115</v>
      </c>
      <c r="D55" s="61" t="s">
        <v>30</v>
      </c>
      <c r="E55" s="50" t="s">
        <v>385</v>
      </c>
      <c r="F55" s="50">
        <v>4.4261361992797507E-4</v>
      </c>
      <c r="G55" s="50">
        <v>5.7695238509938818E-4</v>
      </c>
      <c r="H55" s="63" t="s">
        <v>384</v>
      </c>
      <c r="I55" s="62">
        <v>102.9727308353835</v>
      </c>
      <c r="J55" s="62">
        <v>105.90768761838409</v>
      </c>
      <c r="K55" s="62">
        <v>108.4451242080512</v>
      </c>
      <c r="L55" s="62">
        <v>111.41873680085345</v>
      </c>
      <c r="M55" s="62">
        <v>114.43504387015305</v>
      </c>
      <c r="N55" s="62">
        <v>117.50154579695629</v>
      </c>
      <c r="O55" s="62">
        <v>120.61939648603339</v>
      </c>
      <c r="P55" s="62">
        <v>123.25837669547799</v>
      </c>
      <c r="Q55" s="62">
        <v>126.4598854803945</v>
      </c>
      <c r="R55" s="62">
        <v>129.72197426574644</v>
      </c>
      <c r="S55" s="62">
        <v>131.39282837299427</v>
      </c>
      <c r="T55" s="62">
        <v>136.46712459994339</v>
      </c>
      <c r="U55" s="62">
        <v>139.31323071563867</v>
      </c>
      <c r="V55" s="62">
        <v>142.91225969388864</v>
      </c>
      <c r="W55" s="62">
        <v>146.65321895887308</v>
      </c>
      <c r="X55" s="62">
        <v>150.52572336766019</v>
      </c>
      <c r="Y55" s="62">
        <v>154.56439006335589</v>
      </c>
      <c r="Z55" s="62">
        <v>157.92629161133004</v>
      </c>
      <c r="AA55" s="62">
        <v>160.93897095946764</v>
      </c>
      <c r="AB55" s="62">
        <v>164.08919163234577</v>
      </c>
      <c r="AC55" s="62">
        <v>167.33748169145198</v>
      </c>
      <c r="AD55" s="62">
        <v>170.69059011651515</v>
      </c>
      <c r="AE55" s="62">
        <v>174.15526588736117</v>
      </c>
      <c r="AF55" s="62">
        <v>177.73825798905727</v>
      </c>
      <c r="AG55" s="62">
        <v>181.44631539778601</v>
      </c>
      <c r="AH55" s="62">
        <v>185.28618710437703</v>
      </c>
      <c r="AI55" s="62">
        <v>189.26462207993819</v>
      </c>
      <c r="AJ55" s="62">
        <v>193.38836931868585</v>
      </c>
    </row>
    <row r="56" spans="1:36" x14ac:dyDescent="0.25">
      <c r="A56" s="58" t="s">
        <v>17</v>
      </c>
      <c r="B56" s="59" t="s">
        <v>18</v>
      </c>
      <c r="C56" s="60" t="s">
        <v>115</v>
      </c>
      <c r="D56" s="61" t="s">
        <v>30</v>
      </c>
      <c r="E56" s="50" t="s">
        <v>524</v>
      </c>
      <c r="F56" s="50">
        <v>9.0025940053274946E-3</v>
      </c>
      <c r="G56" s="50">
        <v>1.1734993795040387E-2</v>
      </c>
      <c r="H56" s="63" t="s">
        <v>68</v>
      </c>
      <c r="I56" s="62">
        <v>2094.4264875574231</v>
      </c>
      <c r="J56" s="62">
        <v>2154.1224009927937</v>
      </c>
      <c r="K56" s="62">
        <v>2205.732903703381</v>
      </c>
      <c r="L56" s="62">
        <v>2266.2150617230195</v>
      </c>
      <c r="M56" s="62">
        <v>2327.5656092834906</v>
      </c>
      <c r="N56" s="62">
        <v>2389.93710130413</v>
      </c>
      <c r="O56" s="62">
        <v>2453.3530077725286</v>
      </c>
      <c r="P56" s="62">
        <v>2507.0288693910429</v>
      </c>
      <c r="Q56" s="62">
        <v>2572.1463499597221</v>
      </c>
      <c r="R56" s="62">
        <v>2638.4960048768808</v>
      </c>
      <c r="S56" s="62">
        <v>2672.4805469073176</v>
      </c>
      <c r="T56" s="62">
        <v>2775.6898173346976</v>
      </c>
      <c r="U56" s="62">
        <v>2833.578541725632</v>
      </c>
      <c r="V56" s="62">
        <v>2906.781433019094</v>
      </c>
      <c r="W56" s="62">
        <v>2982.8711327861356</v>
      </c>
      <c r="X56" s="62">
        <v>3061.6364111384469</v>
      </c>
      <c r="Y56" s="62">
        <v>3143.7813677037298</v>
      </c>
      <c r="Z56" s="62">
        <v>3212.1611765474299</v>
      </c>
      <c r="AA56" s="62">
        <v>3273.4379376284173</v>
      </c>
      <c r="AB56" s="62">
        <v>3337.5122373522408</v>
      </c>
      <c r="AC56" s="62">
        <v>3403.5812313846277</v>
      </c>
      <c r="AD56" s="62">
        <v>3471.7821914264782</v>
      </c>
      <c r="AE56" s="62">
        <v>3542.2523891806673</v>
      </c>
      <c r="AF56" s="62">
        <v>3615.1290964566747</v>
      </c>
      <c r="AG56" s="62">
        <v>3690.5495848832702</v>
      </c>
      <c r="AH56" s="62">
        <v>3768.6511263871403</v>
      </c>
      <c r="AI56" s="62">
        <v>3849.5709924938374</v>
      </c>
      <c r="AJ56" s="62">
        <v>3933.4464551989313</v>
      </c>
    </row>
    <row r="57" spans="1:36" x14ac:dyDescent="0.25">
      <c r="A57" s="58" t="s">
        <v>17</v>
      </c>
      <c r="B57" s="59" t="s">
        <v>18</v>
      </c>
      <c r="C57" s="60" t="s">
        <v>115</v>
      </c>
      <c r="D57" s="61" t="s">
        <v>30</v>
      </c>
      <c r="E57" s="50" t="s">
        <v>133</v>
      </c>
      <c r="F57" s="50">
        <v>5.0942322293597139E-4</v>
      </c>
      <c r="G57" s="50">
        <v>6.640395375672204E-4</v>
      </c>
      <c r="H57" s="63" t="s">
        <v>37</v>
      </c>
      <c r="I57" s="62">
        <v>118.51578454638479</v>
      </c>
      <c r="J57" s="62">
        <v>121.89375367398924</v>
      </c>
      <c r="K57" s="62">
        <v>124.81419956020989</v>
      </c>
      <c r="L57" s="62">
        <v>128.23665933683134</v>
      </c>
      <c r="M57" s="62">
        <v>131.70825803923276</v>
      </c>
      <c r="N57" s="62">
        <v>135.23762818140253</v>
      </c>
      <c r="O57" s="62">
        <v>138.82609784241581</v>
      </c>
      <c r="P57" s="62">
        <v>141.86341468724825</v>
      </c>
      <c r="Q57" s="62">
        <v>145.54817008120878</v>
      </c>
      <c r="R57" s="62">
        <v>149.30264962661383</v>
      </c>
      <c r="S57" s="62">
        <v>151.2257081274085</v>
      </c>
      <c r="T57" s="62">
        <v>157.06593586031221</v>
      </c>
      <c r="U57" s="62">
        <v>160.3416428991313</v>
      </c>
      <c r="V57" s="62">
        <v>164.48392153447563</v>
      </c>
      <c r="W57" s="62">
        <v>168.78955389606148</v>
      </c>
      <c r="X57" s="62">
        <v>173.24658727221268</v>
      </c>
      <c r="Y57" s="62">
        <v>177.89486403518322</v>
      </c>
      <c r="Z57" s="62">
        <v>181.7642224205874</v>
      </c>
      <c r="AA57" s="62">
        <v>185.2316458212741</v>
      </c>
      <c r="AB57" s="62">
        <v>188.85737150137911</v>
      </c>
      <c r="AC57" s="62">
        <v>192.59596949393531</v>
      </c>
      <c r="AD57" s="62">
        <v>196.4552074925929</v>
      </c>
      <c r="AE57" s="62">
        <v>200.44285319111381</v>
      </c>
      <c r="AF57" s="62">
        <v>204.56667428929234</v>
      </c>
      <c r="AG57" s="62">
        <v>208.8344384766971</v>
      </c>
      <c r="AH57" s="62">
        <v>213.2539134597547</v>
      </c>
      <c r="AI57" s="62">
        <v>217.83286692219303</v>
      </c>
      <c r="AJ57" s="62">
        <v>222.57906657433654</v>
      </c>
    </row>
    <row r="58" spans="1:36" x14ac:dyDescent="0.25">
      <c r="A58" s="58" t="s">
        <v>17</v>
      </c>
      <c r="B58" s="59" t="s">
        <v>18</v>
      </c>
      <c r="C58" s="60" t="s">
        <v>115</v>
      </c>
      <c r="D58" s="61" t="s">
        <v>30</v>
      </c>
      <c r="E58" s="50" t="s">
        <v>237</v>
      </c>
      <c r="F58" s="50">
        <v>1.440582064859919E-3</v>
      </c>
      <c r="G58" s="50">
        <v>1.8778167250876315E-3</v>
      </c>
      <c r="H58" s="63" t="s">
        <v>78</v>
      </c>
      <c r="I58" s="62">
        <v>335.14709564346521</v>
      </c>
      <c r="J58" s="62">
        <v>344.69954932398599</v>
      </c>
      <c r="K58" s="62">
        <v>352.95818728092138</v>
      </c>
      <c r="L58" s="62">
        <v>362.63645468202304</v>
      </c>
      <c r="M58" s="62">
        <v>372.45368052078118</v>
      </c>
      <c r="N58" s="62">
        <v>382.43427641462193</v>
      </c>
      <c r="O58" s="62">
        <v>392.58199799699548</v>
      </c>
      <c r="P58" s="62">
        <v>401.17113169754634</v>
      </c>
      <c r="Q58" s="62">
        <v>411.59113670505758</v>
      </c>
      <c r="R58" s="62">
        <v>422.20831246870307</v>
      </c>
      <c r="S58" s="62">
        <v>427.64646970455686</v>
      </c>
      <c r="T58" s="62">
        <v>444.16186780170256</v>
      </c>
      <c r="U58" s="62">
        <v>453.42513770655984</v>
      </c>
      <c r="V58" s="62">
        <v>465.13895843765647</v>
      </c>
      <c r="W58" s="62">
        <v>477.31472208312471</v>
      </c>
      <c r="X58" s="62">
        <v>489.91862794191286</v>
      </c>
      <c r="Y58" s="62">
        <v>503.06334501752627</v>
      </c>
      <c r="Z58" s="62">
        <v>514.00538307461193</v>
      </c>
      <c r="AA58" s="62">
        <v>523.81080170770133</v>
      </c>
      <c r="AB58" s="62">
        <v>534.06387842603112</v>
      </c>
      <c r="AC58" s="62">
        <v>544.63614324104663</v>
      </c>
      <c r="AD58" s="62">
        <v>555.54956217167671</v>
      </c>
      <c r="AE58" s="62">
        <v>566.82610123716609</v>
      </c>
      <c r="AF58" s="62">
        <v>578.4877264738185</v>
      </c>
      <c r="AG58" s="62">
        <v>590.55640388902054</v>
      </c>
      <c r="AH58" s="62">
        <v>603.05409953783089</v>
      </c>
      <c r="AI58" s="62">
        <v>616.0027794111196</v>
      </c>
      <c r="AJ58" s="62">
        <v>629.42440957496808</v>
      </c>
    </row>
    <row r="59" spans="1:36" x14ac:dyDescent="0.25">
      <c r="A59" s="58" t="s">
        <v>17</v>
      </c>
      <c r="B59" s="59" t="s">
        <v>18</v>
      </c>
      <c r="C59" s="60" t="s">
        <v>115</v>
      </c>
      <c r="D59" s="61" t="s">
        <v>30</v>
      </c>
      <c r="E59" s="50" t="s">
        <v>472</v>
      </c>
      <c r="F59" s="50">
        <v>2.9646761334798332E-4</v>
      </c>
      <c r="G59" s="50">
        <v>3.8644923907600533E-4</v>
      </c>
      <c r="H59" s="63" t="s">
        <v>471</v>
      </c>
      <c r="I59" s="62">
        <v>68.972300842568202</v>
      </c>
      <c r="J59" s="62">
        <v>70.938168121747836</v>
      </c>
      <c r="K59" s="62">
        <v>72.637771875204109</v>
      </c>
      <c r="L59" s="62">
        <v>74.629531253401851</v>
      </c>
      <c r="M59" s="62">
        <v>76.649887875291199</v>
      </c>
      <c r="N59" s="62">
        <v>78.703865580980164</v>
      </c>
      <c r="O59" s="62">
        <v>80.792237268946906</v>
      </c>
      <c r="P59" s="62">
        <v>82.559856088480544</v>
      </c>
      <c r="Q59" s="62">
        <v>84.704262916113308</v>
      </c>
      <c r="R59" s="62">
        <v>86.889246913849036</v>
      </c>
      <c r="S59" s="62">
        <v>88.008403910213147</v>
      </c>
      <c r="T59" s="62">
        <v>91.40722496788662</v>
      </c>
      <c r="U59" s="62">
        <v>93.313579064248557</v>
      </c>
      <c r="V59" s="62">
        <v>95.724249417604668</v>
      </c>
      <c r="W59" s="62">
        <v>98.229986283773485</v>
      </c>
      <c r="X59" s="62">
        <v>100.82383357645163</v>
      </c>
      <c r="Y59" s="62">
        <v>103.52897824998368</v>
      </c>
      <c r="Z59" s="62">
        <v>105.78081796607955</v>
      </c>
      <c r="AA59" s="62">
        <v>107.79874469926607</v>
      </c>
      <c r="AB59" s="62">
        <v>109.90879816883539</v>
      </c>
      <c r="AC59" s="62">
        <v>112.08453962351975</v>
      </c>
      <c r="AD59" s="62">
        <v>114.33048960634507</v>
      </c>
      <c r="AE59" s="62">
        <v>116.65116866040231</v>
      </c>
      <c r="AF59" s="62">
        <v>119.0510973322931</v>
      </c>
      <c r="AG59" s="62">
        <v>121.534796162668</v>
      </c>
      <c r="AH59" s="62">
        <v>124.1067857019884</v>
      </c>
      <c r="AI59" s="62">
        <v>126.77158648750579</v>
      </c>
      <c r="AJ59" s="62">
        <v>129.53371907194997</v>
      </c>
    </row>
    <row r="60" spans="1:36" x14ac:dyDescent="0.25">
      <c r="A60" s="58" t="s">
        <v>17</v>
      </c>
      <c r="B60" s="59" t="s">
        <v>18</v>
      </c>
      <c r="C60" s="60" t="s">
        <v>115</v>
      </c>
      <c r="D60" s="61" t="s">
        <v>30</v>
      </c>
      <c r="E60" s="50" t="s">
        <v>138</v>
      </c>
      <c r="F60" s="50">
        <v>2.0460440921198848E-4</v>
      </c>
      <c r="G60" s="50">
        <v>2.6670440443273604E-4</v>
      </c>
      <c r="H60" s="63" t="s">
        <v>137</v>
      </c>
      <c r="I60" s="62">
        <v>47.600601989941431</v>
      </c>
      <c r="J60" s="62">
        <v>48.95732729529076</v>
      </c>
      <c r="K60" s="62">
        <v>50.130293265985934</v>
      </c>
      <c r="L60" s="62">
        <v>51.504887766432255</v>
      </c>
      <c r="M60" s="62">
        <v>52.899218392806596</v>
      </c>
      <c r="N60" s="62">
        <v>54.316752302366588</v>
      </c>
      <c r="O60" s="62">
        <v>55.758022903921095</v>
      </c>
      <c r="P60" s="62">
        <v>56.977928849796427</v>
      </c>
      <c r="Q60" s="62">
        <v>58.45787158999368</v>
      </c>
      <c r="R60" s="62">
        <v>59.965818292656373</v>
      </c>
      <c r="S60" s="62">
        <v>60.738194247893574</v>
      </c>
      <c r="T60" s="62">
        <v>63.08385948487949</v>
      </c>
      <c r="U60" s="62">
        <v>64.399512311946168</v>
      </c>
      <c r="V60" s="62">
        <v>66.063214386797583</v>
      </c>
      <c r="W60" s="62">
        <v>67.792525745139443</v>
      </c>
      <c r="X60" s="62">
        <v>69.582645707691967</v>
      </c>
      <c r="Y60" s="62">
        <v>71.449576538721118</v>
      </c>
      <c r="Z60" s="62">
        <v>73.003663103350675</v>
      </c>
      <c r="AA60" s="62">
        <v>74.396316764282204</v>
      </c>
      <c r="AB60" s="62">
        <v>75.852550848914561</v>
      </c>
      <c r="AC60" s="62">
        <v>77.354118895105159</v>
      </c>
      <c r="AD60" s="62">
        <v>78.904140714238139</v>
      </c>
      <c r="AE60" s="62">
        <v>80.50573611774243</v>
      </c>
      <c r="AF60" s="62">
        <v>82.162024919469872</v>
      </c>
      <c r="AG60" s="62">
        <v>83.876126929165224</v>
      </c>
      <c r="AH60" s="62">
        <v>85.651161963344094</v>
      </c>
      <c r="AI60" s="62">
        <v>87.490249829405386</v>
      </c>
      <c r="AJ60" s="62">
        <v>89.396510345430244</v>
      </c>
    </row>
    <row r="61" spans="1:36" x14ac:dyDescent="0.25">
      <c r="A61" s="58" t="s">
        <v>17</v>
      </c>
      <c r="B61" s="59" t="s">
        <v>18</v>
      </c>
      <c r="C61" s="60" t="s">
        <v>115</v>
      </c>
      <c r="D61" s="61" t="s">
        <v>30</v>
      </c>
      <c r="E61" s="50" t="s">
        <v>325</v>
      </c>
      <c r="F61" s="50">
        <v>4.6808478107477373E-3</v>
      </c>
      <c r="G61" s="50">
        <v>6.1015436197774924E-3</v>
      </c>
      <c r="H61" s="63" t="s">
        <v>101</v>
      </c>
      <c r="I61" s="62">
        <v>1088.9852006270276</v>
      </c>
      <c r="J61" s="62">
        <v>1120.0237530208356</v>
      </c>
      <c r="K61" s="62">
        <v>1146.858341860617</v>
      </c>
      <c r="L61" s="62">
        <v>1178.3056976769503</v>
      </c>
      <c r="M61" s="62">
        <v>1210.204567721147</v>
      </c>
      <c r="N61" s="62">
        <v>1242.6342720602643</v>
      </c>
      <c r="O61" s="62">
        <v>1275.6070137815418</v>
      </c>
      <c r="P61" s="62">
        <v>1303.5154742984041</v>
      </c>
      <c r="Q61" s="62">
        <v>1337.3729398445494</v>
      </c>
      <c r="R61" s="62">
        <v>1371.8710674707713</v>
      </c>
      <c r="S61" s="62">
        <v>1389.5411377936471</v>
      </c>
      <c r="T61" s="62">
        <v>1443.20421392959</v>
      </c>
      <c r="U61" s="62">
        <v>1473.3031286059525</v>
      </c>
      <c r="V61" s="62">
        <v>1511.3645577061245</v>
      </c>
      <c r="W61" s="62">
        <v>1550.9269665367617</v>
      </c>
      <c r="X61" s="62">
        <v>1591.8805273127082</v>
      </c>
      <c r="Y61" s="62">
        <v>1634.5913326511507</v>
      </c>
      <c r="Z61" s="62">
        <v>1670.1450273235941</v>
      </c>
      <c r="AA61" s="62">
        <v>1702.0055325053136</v>
      </c>
      <c r="AB61" s="62">
        <v>1735.3206020741475</v>
      </c>
      <c r="AC61" s="62">
        <v>1769.6728016614877</v>
      </c>
      <c r="AD61" s="62">
        <v>1805.133504911448</v>
      </c>
      <c r="AE61" s="62">
        <v>1841.7740854691688</v>
      </c>
      <c r="AF61" s="62">
        <v>1879.6659170352191</v>
      </c>
      <c r="AG61" s="62">
        <v>1918.8803732162087</v>
      </c>
      <c r="AH61" s="62">
        <v>1959.4888277736477</v>
      </c>
      <c r="AI61" s="62">
        <v>2001.5626542604787</v>
      </c>
      <c r="AJ61" s="62">
        <v>2045.1732264740269</v>
      </c>
    </row>
    <row r="62" spans="1:36" x14ac:dyDescent="0.25">
      <c r="A62" s="58" t="s">
        <v>17</v>
      </c>
      <c r="B62" s="59" t="s">
        <v>18</v>
      </c>
      <c r="C62" s="60" t="s">
        <v>115</v>
      </c>
      <c r="D62" s="61" t="s">
        <v>30</v>
      </c>
      <c r="E62" s="50" t="s">
        <v>451</v>
      </c>
      <c r="F62" s="50">
        <v>5.8166110618836728E-3</v>
      </c>
      <c r="G62" s="50">
        <v>7.5820252117306391E-3</v>
      </c>
      <c r="H62" s="63" t="s">
        <v>450</v>
      </c>
      <c r="I62" s="62">
        <v>1353.2171137140492</v>
      </c>
      <c r="J62" s="62">
        <v>1391.786875966123</v>
      </c>
      <c r="K62" s="62">
        <v>1425.1326228473145</v>
      </c>
      <c r="L62" s="62">
        <v>1464.2103807885742</v>
      </c>
      <c r="M62" s="62">
        <v>1503.849208595502</v>
      </c>
      <c r="N62" s="62">
        <v>1544.1476725958503</v>
      </c>
      <c r="O62" s="62">
        <v>1585.1209368400425</v>
      </c>
      <c r="P62" s="62">
        <v>1619.8011201584986</v>
      </c>
      <c r="Q62" s="62">
        <v>1661.873778058392</v>
      </c>
      <c r="R62" s="62">
        <v>1704.742548605517</v>
      </c>
      <c r="S62" s="62">
        <v>1726.7000936186889</v>
      </c>
      <c r="T62" s="62">
        <v>1793.3840053558597</v>
      </c>
      <c r="U62" s="62">
        <v>1830.7861357253271</v>
      </c>
      <c r="V62" s="62">
        <v>1878.0828089961028</v>
      </c>
      <c r="W62" s="62">
        <v>1927.2446604689642</v>
      </c>
      <c r="X62" s="62">
        <v>1978.1352136901003</v>
      </c>
      <c r="Y62" s="62">
        <v>2031.2093901722149</v>
      </c>
      <c r="Z62" s="62">
        <v>2075.389851080969</v>
      </c>
      <c r="AA62" s="62">
        <v>2114.981005156023</v>
      </c>
      <c r="AB62" s="62">
        <v>2156.3796598477138</v>
      </c>
      <c r="AC62" s="62">
        <v>2199.0670943037039</v>
      </c>
      <c r="AD62" s="62">
        <v>2243.1320003047699</v>
      </c>
      <c r="AE62" s="62">
        <v>2288.6630696329635</v>
      </c>
      <c r="AF62" s="62">
        <v>2335.748994139215</v>
      </c>
      <c r="AG62" s="62">
        <v>2384.4784655576973</v>
      </c>
      <c r="AH62" s="62">
        <v>2434.940175815068</v>
      </c>
      <c r="AI62" s="62">
        <v>2487.2228165788106</v>
      </c>
      <c r="AJ62" s="62">
        <v>2541.4150798200885</v>
      </c>
    </row>
    <row r="63" spans="1:36" x14ac:dyDescent="0.25">
      <c r="A63" s="58" t="s">
        <v>17</v>
      </c>
      <c r="B63" s="59" t="s">
        <v>18</v>
      </c>
      <c r="C63" s="60" t="s">
        <v>115</v>
      </c>
      <c r="D63" s="61" t="s">
        <v>30</v>
      </c>
      <c r="E63" s="50" t="s">
        <v>268</v>
      </c>
      <c r="F63" s="50">
        <v>1.0856560488799389E-4</v>
      </c>
      <c r="G63" s="50">
        <v>1.4151662276022729E-4</v>
      </c>
      <c r="H63" s="63" t="s">
        <v>267</v>
      </c>
      <c r="I63" s="62">
        <v>25.257462280377087</v>
      </c>
      <c r="J63" s="62">
        <v>25.977357340358363</v>
      </c>
      <c r="K63" s="62">
        <v>26.59974744725784</v>
      </c>
      <c r="L63" s="62">
        <v>27.329124120964053</v>
      </c>
      <c r="M63" s="62">
        <v>28.06897302475452</v>
      </c>
      <c r="N63" s="62">
        <v>28.821133874725131</v>
      </c>
      <c r="O63" s="62">
        <v>29.585889704121399</v>
      </c>
      <c r="P63" s="62">
        <v>30.233186736626678</v>
      </c>
      <c r="Q63" s="62">
        <v>31.01846247632318</v>
      </c>
      <c r="R63" s="62">
        <v>31.818597461409503</v>
      </c>
      <c r="S63" s="62">
        <v>32.228429600923121</v>
      </c>
      <c r="T63" s="62">
        <v>33.473068298099321</v>
      </c>
      <c r="U63" s="62">
        <v>34.171169798175519</v>
      </c>
      <c r="V63" s="62">
        <v>35.053950490953817</v>
      </c>
      <c r="W63" s="62">
        <v>35.971544272931133</v>
      </c>
      <c r="X63" s="62">
        <v>36.921403844897782</v>
      </c>
      <c r="Y63" s="62">
        <v>37.912020204219374</v>
      </c>
      <c r="Z63" s="62">
        <v>38.736637565043218</v>
      </c>
      <c r="AA63" s="62">
        <v>39.475596650435456</v>
      </c>
      <c r="AB63" s="62">
        <v>40.248292287179154</v>
      </c>
      <c r="AC63" s="62">
        <v>41.045042679035397</v>
      </c>
      <c r="AD63" s="62">
        <v>41.86750323612636</v>
      </c>
      <c r="AE63" s="62">
        <v>42.717329368598023</v>
      </c>
      <c r="AF63" s="62">
        <v>43.596176487881976</v>
      </c>
      <c r="AG63" s="62">
        <v>44.50570000323053</v>
      </c>
      <c r="AH63" s="62">
        <v>45.447555327488701</v>
      </c>
      <c r="AI63" s="62">
        <v>46.423397868664082</v>
      </c>
      <c r="AJ63" s="62">
        <v>47.434883040432375</v>
      </c>
    </row>
    <row r="64" spans="1:36" x14ac:dyDescent="0.25">
      <c r="A64" s="58" t="s">
        <v>17</v>
      </c>
      <c r="B64" s="59" t="s">
        <v>18</v>
      </c>
      <c r="C64" s="60" t="s">
        <v>115</v>
      </c>
      <c r="D64" s="61" t="s">
        <v>30</v>
      </c>
      <c r="E64" s="50" t="s">
        <v>203</v>
      </c>
      <c r="F64" s="50">
        <v>5.0107202255997174E-5</v>
      </c>
      <c r="G64" s="50">
        <v>6.5315364350874132E-5</v>
      </c>
      <c r="H64" s="63" t="s">
        <v>202</v>
      </c>
      <c r="I64" s="62">
        <v>11.657290283250962</v>
      </c>
      <c r="J64" s="62">
        <v>11.989549541703859</v>
      </c>
      <c r="K64" s="62">
        <v>12.276806514119004</v>
      </c>
      <c r="L64" s="62">
        <v>12.613441901983409</v>
      </c>
      <c r="M64" s="62">
        <v>12.954910626809779</v>
      </c>
      <c r="N64" s="62">
        <v>13.302061788334674</v>
      </c>
      <c r="O64" s="62">
        <v>13.655026017286799</v>
      </c>
      <c r="P64" s="62">
        <v>13.953778493827697</v>
      </c>
      <c r="Q64" s="62">
        <v>14.316213450610697</v>
      </c>
      <c r="R64" s="62">
        <v>14.68550652065054</v>
      </c>
      <c r="S64" s="62">
        <v>14.874659815810672</v>
      </c>
      <c r="T64" s="62">
        <v>15.449108445276609</v>
      </c>
      <c r="U64" s="62">
        <v>15.771309137619472</v>
      </c>
      <c r="V64" s="62">
        <v>16.178746380440224</v>
      </c>
      <c r="W64" s="62">
        <v>16.602251202891292</v>
      </c>
      <c r="X64" s="62">
        <v>17.040647928414359</v>
      </c>
      <c r="Y64" s="62">
        <v>17.497855478870477</v>
      </c>
      <c r="Z64" s="62">
        <v>17.878448106943022</v>
      </c>
      <c r="AA64" s="62">
        <v>18.219506146354828</v>
      </c>
      <c r="AB64" s="62">
        <v>18.576134901774992</v>
      </c>
      <c r="AC64" s="62">
        <v>18.943865851862491</v>
      </c>
      <c r="AD64" s="62">
        <v>19.323463032058317</v>
      </c>
      <c r="AE64" s="62">
        <v>19.715690477814473</v>
      </c>
      <c r="AF64" s="62">
        <v>20.121312225176293</v>
      </c>
      <c r="AG64" s="62">
        <v>20.54109230918332</v>
      </c>
      <c r="AH64" s="62">
        <v>20.975794766533248</v>
      </c>
      <c r="AI64" s="62">
        <v>21.426183631691117</v>
      </c>
      <c r="AJ64" s="62">
        <v>21.893022941738018</v>
      </c>
    </row>
    <row r="65" spans="1:36" x14ac:dyDescent="0.25">
      <c r="A65" s="58" t="s">
        <v>17</v>
      </c>
      <c r="B65" s="59" t="s">
        <v>18</v>
      </c>
      <c r="C65" s="60" t="s">
        <v>115</v>
      </c>
      <c r="D65" s="61" t="s">
        <v>30</v>
      </c>
      <c r="E65" s="50" t="s">
        <v>510</v>
      </c>
      <c r="F65" s="50">
        <v>5.4282802443996944E-5</v>
      </c>
      <c r="G65" s="50">
        <v>7.0758311380113645E-5</v>
      </c>
      <c r="H65" s="63" t="s">
        <v>509</v>
      </c>
      <c r="I65" s="62">
        <v>12.628731140188544</v>
      </c>
      <c r="J65" s="62">
        <v>12.988678670179182</v>
      </c>
      <c r="K65" s="62">
        <v>13.29987372362892</v>
      </c>
      <c r="L65" s="62">
        <v>13.664562060482027</v>
      </c>
      <c r="M65" s="62">
        <v>14.03448651237726</v>
      </c>
      <c r="N65" s="62">
        <v>14.410566937362566</v>
      </c>
      <c r="O65" s="62">
        <v>14.7929448520607</v>
      </c>
      <c r="P65" s="62">
        <v>15.116593368313339</v>
      </c>
      <c r="Q65" s="62">
        <v>15.50923123816159</v>
      </c>
      <c r="R65" s="62">
        <v>15.909298730704752</v>
      </c>
      <c r="S65" s="62">
        <v>16.114214800461561</v>
      </c>
      <c r="T65" s="62">
        <v>16.73653414904966</v>
      </c>
      <c r="U65" s="62">
        <v>17.08558489908776</v>
      </c>
      <c r="V65" s="62">
        <v>17.526975245476908</v>
      </c>
      <c r="W65" s="62">
        <v>17.985772136465567</v>
      </c>
      <c r="X65" s="62">
        <v>18.460701922448891</v>
      </c>
      <c r="Y65" s="62">
        <v>18.956010102109687</v>
      </c>
      <c r="Z65" s="62">
        <v>19.368318782521609</v>
      </c>
      <c r="AA65" s="62">
        <v>19.737798325217728</v>
      </c>
      <c r="AB65" s="62">
        <v>20.124146143589577</v>
      </c>
      <c r="AC65" s="62">
        <v>20.522521339517699</v>
      </c>
      <c r="AD65" s="62">
        <v>20.93375161806318</v>
      </c>
      <c r="AE65" s="62">
        <v>21.358664684299011</v>
      </c>
      <c r="AF65" s="62">
        <v>21.798088243940988</v>
      </c>
      <c r="AG65" s="62">
        <v>22.252850001615265</v>
      </c>
      <c r="AH65" s="62">
        <v>22.72377766374435</v>
      </c>
      <c r="AI65" s="62">
        <v>23.211698934332041</v>
      </c>
      <c r="AJ65" s="62">
        <v>23.717441520216187</v>
      </c>
    </row>
    <row r="66" spans="1:36" x14ac:dyDescent="0.25">
      <c r="A66" s="58" t="s">
        <v>17</v>
      </c>
      <c r="B66" s="59" t="s">
        <v>18</v>
      </c>
      <c r="C66" s="60" t="s">
        <v>115</v>
      </c>
      <c r="D66" s="61" t="s">
        <v>30</v>
      </c>
      <c r="E66" s="50" t="s">
        <v>466</v>
      </c>
      <c r="F66" s="50">
        <v>1.7955080808398991E-4</v>
      </c>
      <c r="G66" s="50">
        <v>2.3404672225729899E-4</v>
      </c>
      <c r="H66" s="63" t="s">
        <v>15</v>
      </c>
      <c r="I66" s="62">
        <v>41.771956848315952</v>
      </c>
      <c r="J66" s="62">
        <v>42.962552524438834</v>
      </c>
      <c r="K66" s="62">
        <v>43.991890008926433</v>
      </c>
      <c r="L66" s="62">
        <v>45.198166815440551</v>
      </c>
      <c r="M66" s="62">
        <v>46.421763079401707</v>
      </c>
      <c r="N66" s="62">
        <v>47.665721408199254</v>
      </c>
      <c r="O66" s="62">
        <v>48.930509895277702</v>
      </c>
      <c r="P66" s="62">
        <v>50.001039602882585</v>
      </c>
      <c r="Q66" s="62">
        <v>51.299764864688335</v>
      </c>
      <c r="R66" s="62">
        <v>52.623065032331105</v>
      </c>
      <c r="S66" s="62">
        <v>53.300864339988244</v>
      </c>
      <c r="T66" s="62">
        <v>55.359305262241186</v>
      </c>
      <c r="U66" s="62">
        <v>56.513857743136441</v>
      </c>
      <c r="V66" s="62">
        <v>57.973841196577474</v>
      </c>
      <c r="W66" s="62">
        <v>59.491400143693802</v>
      </c>
      <c r="X66" s="62">
        <v>61.062321743484794</v>
      </c>
      <c r="Y66" s="62">
        <v>62.700648799285887</v>
      </c>
      <c r="Z66" s="62">
        <v>64.064439049879169</v>
      </c>
      <c r="AA66" s="62">
        <v>65.286563691104803</v>
      </c>
      <c r="AB66" s="62">
        <v>66.564483398027065</v>
      </c>
      <c r="AC66" s="62">
        <v>67.882185969173932</v>
      </c>
      <c r="AD66" s="62">
        <v>69.242409198208975</v>
      </c>
      <c r="AE66" s="62">
        <v>70.647890878835199</v>
      </c>
      <c r="AF66" s="62">
        <v>72.101368806881723</v>
      </c>
      <c r="AG66" s="62">
        <v>73.605580774573568</v>
      </c>
      <c r="AH66" s="62">
        <v>75.163264580077467</v>
      </c>
      <c r="AI66" s="62">
        <v>76.777158013559841</v>
      </c>
      <c r="AJ66" s="62">
        <v>78.449998874561246</v>
      </c>
    </row>
    <row r="67" spans="1:36" x14ac:dyDescent="0.25">
      <c r="A67" s="58" t="s">
        <v>17</v>
      </c>
      <c r="B67" s="59" t="s">
        <v>18</v>
      </c>
      <c r="C67" s="60" t="s">
        <v>115</v>
      </c>
      <c r="D67" s="61" t="s">
        <v>30</v>
      </c>
      <c r="E67" s="50" t="s">
        <v>458</v>
      </c>
      <c r="F67" s="50">
        <v>7.975396359079553E-4</v>
      </c>
      <c r="G67" s="50">
        <v>1.0396028825847468E-3</v>
      </c>
      <c r="H67" s="63" t="s">
        <v>56</v>
      </c>
      <c r="I67" s="62">
        <v>185.54520367507786</v>
      </c>
      <c r="J67" s="62">
        <v>190.83366353878645</v>
      </c>
      <c r="K67" s="62">
        <v>195.40583701639417</v>
      </c>
      <c r="L67" s="62">
        <v>200.76395027323596</v>
      </c>
      <c r="M67" s="62">
        <v>206.198994143389</v>
      </c>
      <c r="N67" s="62">
        <v>211.72448346432694</v>
      </c>
      <c r="O67" s="62">
        <v>217.34249744181491</v>
      </c>
      <c r="P67" s="62">
        <v>222.09764102675754</v>
      </c>
      <c r="Q67" s="62">
        <v>227.8663974222203</v>
      </c>
      <c r="R67" s="62">
        <v>233.74431212035446</v>
      </c>
      <c r="S67" s="62">
        <v>236.7550020683199</v>
      </c>
      <c r="T67" s="62">
        <v>245.89830942065274</v>
      </c>
      <c r="U67" s="62">
        <v>251.0266704404433</v>
      </c>
      <c r="V67" s="62">
        <v>257.51171322200696</v>
      </c>
      <c r="W67" s="62">
        <v>264.25249831268644</v>
      </c>
      <c r="X67" s="62">
        <v>271.23031286059523</v>
      </c>
      <c r="Y67" s="62">
        <v>278.50753303868851</v>
      </c>
      <c r="Z67" s="62">
        <v>284.56529903550978</v>
      </c>
      <c r="AA67" s="62">
        <v>289.99380616281439</v>
      </c>
      <c r="AB67" s="62">
        <v>295.67014718658533</v>
      </c>
      <c r="AC67" s="62">
        <v>301.52319814214468</v>
      </c>
      <c r="AD67" s="62">
        <v>307.56511992692828</v>
      </c>
      <c r="AE67" s="62">
        <v>313.80807343854707</v>
      </c>
      <c r="AF67" s="62">
        <v>320.26421958405609</v>
      </c>
      <c r="AG67" s="62">
        <v>326.94571925450123</v>
      </c>
      <c r="AH67" s="62">
        <v>333.86473336732092</v>
      </c>
      <c r="AI67" s="62">
        <v>341.033422804417</v>
      </c>
      <c r="AJ67" s="62">
        <v>348.46394848933016</v>
      </c>
    </row>
    <row r="68" spans="1:36" x14ac:dyDescent="0.25">
      <c r="A68" s="58" t="s">
        <v>17</v>
      </c>
      <c r="B68" s="59" t="s">
        <v>18</v>
      </c>
      <c r="C68" s="60" t="s">
        <v>115</v>
      </c>
      <c r="D68" s="61" t="s">
        <v>30</v>
      </c>
      <c r="E68" s="50" t="s">
        <v>371</v>
      </c>
      <c r="F68" s="50">
        <v>1.2485044562119297E-3</v>
      </c>
      <c r="G68" s="50">
        <v>1.627441161742614E-3</v>
      </c>
      <c r="H68" s="63" t="s">
        <v>370</v>
      </c>
      <c r="I68" s="62">
        <v>290.4608162243365</v>
      </c>
      <c r="J68" s="62">
        <v>298.73960941412116</v>
      </c>
      <c r="K68" s="62">
        <v>305.89709564346521</v>
      </c>
      <c r="L68" s="62">
        <v>314.28492739108663</v>
      </c>
      <c r="M68" s="62">
        <v>322.793189784677</v>
      </c>
      <c r="N68" s="62">
        <v>331.44303955933901</v>
      </c>
      <c r="O68" s="62">
        <v>340.23773159739608</v>
      </c>
      <c r="P68" s="62">
        <v>347.68164747120682</v>
      </c>
      <c r="Q68" s="62">
        <v>356.71231847771656</v>
      </c>
      <c r="R68" s="62">
        <v>365.91387080620933</v>
      </c>
      <c r="S68" s="62">
        <v>370.62694041061593</v>
      </c>
      <c r="T68" s="62">
        <v>384.9402854281422</v>
      </c>
      <c r="U68" s="62">
        <v>392.96845267901853</v>
      </c>
      <c r="V68" s="62">
        <v>403.12043064596895</v>
      </c>
      <c r="W68" s="62">
        <v>413.67275913870805</v>
      </c>
      <c r="X68" s="62">
        <v>424.59614421632449</v>
      </c>
      <c r="Y68" s="62">
        <v>435.98823234852279</v>
      </c>
      <c r="Z68" s="62">
        <v>445.47133199799703</v>
      </c>
      <c r="AA68" s="62">
        <v>453.96936148000782</v>
      </c>
      <c r="AB68" s="62">
        <v>462.85536130256031</v>
      </c>
      <c r="AC68" s="62">
        <v>472.01799080890709</v>
      </c>
      <c r="AD68" s="62">
        <v>481.47628721545317</v>
      </c>
      <c r="AE68" s="62">
        <v>491.24928773887729</v>
      </c>
      <c r="AF68" s="62">
        <v>501.35602961064274</v>
      </c>
      <c r="AG68" s="62">
        <v>511.81555003715113</v>
      </c>
      <c r="AH68" s="62">
        <v>522.64688626612008</v>
      </c>
      <c r="AI68" s="62">
        <v>533.869075489637</v>
      </c>
      <c r="AJ68" s="62">
        <v>545.50115496497233</v>
      </c>
    </row>
    <row r="69" spans="1:36" x14ac:dyDescent="0.25">
      <c r="A69" s="58" t="s">
        <v>17</v>
      </c>
      <c r="B69" s="59" t="s">
        <v>18</v>
      </c>
      <c r="C69" s="60" t="s">
        <v>115</v>
      </c>
      <c r="D69" s="61" t="s">
        <v>30</v>
      </c>
      <c r="E69" s="50" t="s">
        <v>170</v>
      </c>
      <c r="F69" s="50">
        <v>8.7687603947995065E-5</v>
      </c>
      <c r="G69" s="50">
        <v>1.1430188761402974E-4</v>
      </c>
      <c r="H69" s="63" t="s">
        <v>169</v>
      </c>
      <c r="I69" s="62">
        <v>20.400257995689184</v>
      </c>
      <c r="J69" s="62">
        <v>20.981711697981755</v>
      </c>
      <c r="K69" s="62">
        <v>21.484411399708257</v>
      </c>
      <c r="L69" s="62">
        <v>22.073523328470966</v>
      </c>
      <c r="M69" s="62">
        <v>22.671093596917114</v>
      </c>
      <c r="N69" s="62">
        <v>23.278608129585681</v>
      </c>
      <c r="O69" s="62">
        <v>23.896295530251898</v>
      </c>
      <c r="P69" s="62">
        <v>24.419112364198472</v>
      </c>
      <c r="Q69" s="62">
        <v>25.053373538568721</v>
      </c>
      <c r="R69" s="62">
        <v>25.699636411138446</v>
      </c>
      <c r="S69" s="62">
        <v>26.030654677668675</v>
      </c>
      <c r="T69" s="62">
        <v>27.035939779234067</v>
      </c>
      <c r="U69" s="62">
        <v>27.599790990834077</v>
      </c>
      <c r="V69" s="62">
        <v>28.312806165770393</v>
      </c>
      <c r="W69" s="62">
        <v>29.053939605059764</v>
      </c>
      <c r="X69" s="62">
        <v>29.821133874725131</v>
      </c>
      <c r="Y69" s="62">
        <v>30.621247088023338</v>
      </c>
      <c r="Z69" s="62">
        <v>31.287284187150291</v>
      </c>
      <c r="AA69" s="62">
        <v>31.884135756120948</v>
      </c>
      <c r="AB69" s="62">
        <v>32.508236078106236</v>
      </c>
      <c r="AC69" s="62">
        <v>33.15176524075936</v>
      </c>
      <c r="AD69" s="62">
        <v>33.816060306102059</v>
      </c>
      <c r="AE69" s="62">
        <v>34.50245833617533</v>
      </c>
      <c r="AF69" s="62">
        <v>35.212296394058519</v>
      </c>
      <c r="AG69" s="62">
        <v>35.946911541070811</v>
      </c>
      <c r="AH69" s="62">
        <v>36.707640841433182</v>
      </c>
      <c r="AI69" s="62">
        <v>37.495821355459455</v>
      </c>
      <c r="AJ69" s="62">
        <v>38.312790148041536</v>
      </c>
    </row>
    <row r="70" spans="1:36" x14ac:dyDescent="0.25">
      <c r="A70" s="58" t="s">
        <v>17</v>
      </c>
      <c r="B70" s="59" t="s">
        <v>18</v>
      </c>
      <c r="C70" s="60" t="s">
        <v>115</v>
      </c>
      <c r="D70" s="61" t="s">
        <v>30</v>
      </c>
      <c r="E70" s="50" t="s">
        <v>173</v>
      </c>
      <c r="F70" s="50">
        <v>2.2924045032118711E-3</v>
      </c>
      <c r="G70" s="50">
        <v>2.9881779190524919E-3</v>
      </c>
      <c r="H70" s="63" t="s">
        <v>41</v>
      </c>
      <c r="I70" s="62">
        <v>533.32103045873157</v>
      </c>
      <c r="J70" s="62">
        <v>548.5218915329516</v>
      </c>
      <c r="K70" s="62">
        <v>561.66389802094454</v>
      </c>
      <c r="L70" s="62">
        <v>577.06496701574099</v>
      </c>
      <c r="M70" s="62">
        <v>592.68716117654742</v>
      </c>
      <c r="N70" s="62">
        <v>608.56932681631145</v>
      </c>
      <c r="O70" s="62">
        <v>624.71744029087108</v>
      </c>
      <c r="P70" s="62">
        <v>638.38536609261723</v>
      </c>
      <c r="Q70" s="62">
        <v>654.96676536543953</v>
      </c>
      <c r="R70" s="62">
        <v>671.86192331976224</v>
      </c>
      <c r="S70" s="62">
        <v>680.51568657333826</v>
      </c>
      <c r="T70" s="62">
        <v>706.79671137140497</v>
      </c>
      <c r="U70" s="62">
        <v>721.53739304609087</v>
      </c>
      <c r="V70" s="62">
        <v>740.17764690514036</v>
      </c>
      <c r="W70" s="62">
        <v>759.55299253227668</v>
      </c>
      <c r="X70" s="62">
        <v>779.6096427249571</v>
      </c>
      <c r="Y70" s="62">
        <v>800.52688815832448</v>
      </c>
      <c r="Z70" s="62">
        <v>817.93900089264332</v>
      </c>
      <c r="AA70" s="62">
        <v>833.54240619573341</v>
      </c>
      <c r="AB70" s="62">
        <v>849.85817175620605</v>
      </c>
      <c r="AC70" s="62">
        <v>866.68186272270907</v>
      </c>
      <c r="AD70" s="62">
        <v>884.04843371666823</v>
      </c>
      <c r="AE70" s="62">
        <v>901.99283936001223</v>
      </c>
      <c r="AF70" s="62">
        <v>920.55003430181557</v>
      </c>
      <c r="AG70" s="62">
        <v>939.75497314513711</v>
      </c>
      <c r="AH70" s="62">
        <v>959.6426105688962</v>
      </c>
      <c r="AI70" s="62">
        <v>980.24790114986865</v>
      </c>
      <c r="AJ70" s="62">
        <v>1001.6057995845146</v>
      </c>
    </row>
    <row r="71" spans="1:36" x14ac:dyDescent="0.25">
      <c r="A71" s="58" t="s">
        <v>17</v>
      </c>
      <c r="B71" s="59" t="s">
        <v>18</v>
      </c>
      <c r="C71" s="60" t="s">
        <v>115</v>
      </c>
      <c r="D71" s="61" t="s">
        <v>30</v>
      </c>
      <c r="E71" s="50" t="s">
        <v>435</v>
      </c>
      <c r="F71" s="50">
        <v>1.6284840733199081E-4</v>
      </c>
      <c r="G71" s="50">
        <v>2.1227493414034093E-4</v>
      </c>
      <c r="H71" s="63" t="s">
        <v>434</v>
      </c>
      <c r="I71" s="62">
        <v>37.886193420565625</v>
      </c>
      <c r="J71" s="62">
        <v>38.966036010537543</v>
      </c>
      <c r="K71" s="62">
        <v>39.899621170886761</v>
      </c>
      <c r="L71" s="62">
        <v>40.99368618144608</v>
      </c>
      <c r="M71" s="62">
        <v>42.103459537131783</v>
      </c>
      <c r="N71" s="62">
        <v>43.231700812087695</v>
      </c>
      <c r="O71" s="62">
        <v>44.378834556182099</v>
      </c>
      <c r="P71" s="62">
        <v>45.349780104940017</v>
      </c>
      <c r="Q71" s="62">
        <v>46.527693714484769</v>
      </c>
      <c r="R71" s="62">
        <v>47.727896192114258</v>
      </c>
      <c r="S71" s="62">
        <v>48.342644401384682</v>
      </c>
      <c r="T71" s="62">
        <v>50.209602447148981</v>
      </c>
      <c r="U71" s="62">
        <v>51.256754697263283</v>
      </c>
      <c r="V71" s="62">
        <v>52.580925736430729</v>
      </c>
      <c r="W71" s="62">
        <v>53.957316409396704</v>
      </c>
      <c r="X71" s="62">
        <v>55.382105767346673</v>
      </c>
      <c r="Y71" s="62">
        <v>56.868030306329054</v>
      </c>
      <c r="Z71" s="62">
        <v>58.104956347564823</v>
      </c>
      <c r="AA71" s="62">
        <v>59.213394975653188</v>
      </c>
      <c r="AB71" s="62">
        <v>60.372438430768732</v>
      </c>
      <c r="AC71" s="62">
        <v>61.567564018553092</v>
      </c>
      <c r="AD71" s="62">
        <v>62.801254854189537</v>
      </c>
      <c r="AE71" s="62">
        <v>64.07599405289703</v>
      </c>
      <c r="AF71" s="62">
        <v>65.394264731822958</v>
      </c>
      <c r="AG71" s="62">
        <v>66.758550004845802</v>
      </c>
      <c r="AH71" s="62">
        <v>68.171332991233058</v>
      </c>
      <c r="AI71" s="62">
        <v>69.635096802996131</v>
      </c>
      <c r="AJ71" s="62">
        <v>71.152324560648566</v>
      </c>
    </row>
    <row r="72" spans="1:36" x14ac:dyDescent="0.25">
      <c r="A72" s="58" t="s">
        <v>17</v>
      </c>
      <c r="B72" s="59" t="s">
        <v>18</v>
      </c>
      <c r="C72" s="60" t="s">
        <v>115</v>
      </c>
      <c r="D72" s="61" t="s">
        <v>30</v>
      </c>
      <c r="E72" s="50" t="s">
        <v>454</v>
      </c>
      <c r="F72" s="50">
        <v>2.881164129719838E-4</v>
      </c>
      <c r="G72" s="50">
        <v>3.755633450175263E-4</v>
      </c>
      <c r="H72" s="63" t="s">
        <v>83</v>
      </c>
      <c r="I72" s="62">
        <v>67.029419128693036</v>
      </c>
      <c r="J72" s="62">
        <v>68.939909864797201</v>
      </c>
      <c r="K72" s="62">
        <v>70.591637456184273</v>
      </c>
      <c r="L72" s="62">
        <v>72.527290936404611</v>
      </c>
      <c r="M72" s="62">
        <v>74.490736104156241</v>
      </c>
      <c r="N72" s="62">
        <v>76.486855282924395</v>
      </c>
      <c r="O72" s="62">
        <v>78.516399599399108</v>
      </c>
      <c r="P72" s="62">
        <v>80.234226339509263</v>
      </c>
      <c r="Q72" s="62">
        <v>82.318227341011522</v>
      </c>
      <c r="R72" s="62">
        <v>84.441662493740608</v>
      </c>
      <c r="S72" s="62">
        <v>85.529293940911373</v>
      </c>
      <c r="T72" s="62">
        <v>88.832373560340514</v>
      </c>
      <c r="U72" s="62">
        <v>90.685027541311968</v>
      </c>
      <c r="V72" s="62">
        <v>93.027791687531305</v>
      </c>
      <c r="W72" s="62">
        <v>95.462944416624936</v>
      </c>
      <c r="X72" s="62">
        <v>97.983725588382583</v>
      </c>
      <c r="Y72" s="62">
        <v>100.61266900350526</v>
      </c>
      <c r="Z72" s="62">
        <v>102.80107661492239</v>
      </c>
      <c r="AA72" s="62">
        <v>104.76216034154027</v>
      </c>
      <c r="AB72" s="62">
        <v>106.81277568520622</v>
      </c>
      <c r="AC72" s="62">
        <v>108.92722864820932</v>
      </c>
      <c r="AD72" s="62">
        <v>111.10991243433534</v>
      </c>
      <c r="AE72" s="62">
        <v>113.36522024743323</v>
      </c>
      <c r="AF72" s="62">
        <v>115.69754529476371</v>
      </c>
      <c r="AG72" s="62">
        <v>118.11128077780411</v>
      </c>
      <c r="AH72" s="62">
        <v>120.61081990756618</v>
      </c>
      <c r="AI72" s="62">
        <v>123.20055588222394</v>
      </c>
      <c r="AJ72" s="62">
        <v>125.88488191499363</v>
      </c>
    </row>
    <row r="73" spans="1:36" x14ac:dyDescent="0.25">
      <c r="A73" s="58" t="s">
        <v>17</v>
      </c>
      <c r="B73" s="59" t="s">
        <v>18</v>
      </c>
      <c r="C73" s="60" t="s">
        <v>115</v>
      </c>
      <c r="D73" s="61" t="s">
        <v>30</v>
      </c>
      <c r="E73" s="50" t="s">
        <v>136</v>
      </c>
      <c r="F73" s="50">
        <v>1.4004963030551213E-2</v>
      </c>
      <c r="G73" s="50">
        <v>1.8255644336069323E-2</v>
      </c>
      <c r="H73" s="63" t="s">
        <v>38</v>
      </c>
      <c r="I73" s="62">
        <v>3258.2126341686444</v>
      </c>
      <c r="J73" s="62">
        <v>3351.0790969062291</v>
      </c>
      <c r="K73" s="62">
        <v>3431.3674206962619</v>
      </c>
      <c r="L73" s="62">
        <v>3525.4570116043633</v>
      </c>
      <c r="M73" s="62">
        <v>3620.897520193334</v>
      </c>
      <c r="N73" s="62">
        <v>3717.9262698395423</v>
      </c>
      <c r="O73" s="62">
        <v>3816.5797718316608</v>
      </c>
      <c r="P73" s="62">
        <v>3900.0810890248422</v>
      </c>
      <c r="Q73" s="62">
        <v>4001.3816594456907</v>
      </c>
      <c r="R73" s="62">
        <v>4104.5990725218262</v>
      </c>
      <c r="S73" s="62">
        <v>4157.4674185190834</v>
      </c>
      <c r="T73" s="62">
        <v>4318.0258104548129</v>
      </c>
      <c r="U73" s="62">
        <v>4408.0809039646429</v>
      </c>
      <c r="V73" s="62">
        <v>4521.9596133330433</v>
      </c>
      <c r="W73" s="62">
        <v>4640.3292112081172</v>
      </c>
      <c r="X73" s="62">
        <v>4762.8610959918142</v>
      </c>
      <c r="Y73" s="62">
        <v>4890.6506063442994</v>
      </c>
      <c r="Z73" s="62">
        <v>4997.0262458905754</v>
      </c>
      <c r="AA73" s="62">
        <v>5092.3519679061747</v>
      </c>
      <c r="AB73" s="62">
        <v>5192.0297050461113</v>
      </c>
      <c r="AC73" s="62">
        <v>5294.8105055955666</v>
      </c>
      <c r="AD73" s="62">
        <v>5400.9079174603012</v>
      </c>
      <c r="AE73" s="62">
        <v>5510.5354885491461</v>
      </c>
      <c r="AF73" s="62">
        <v>5623.9067669367751</v>
      </c>
      <c r="AG73" s="62">
        <v>5741.2353004167389</v>
      </c>
      <c r="AH73" s="62">
        <v>5862.7346372460433</v>
      </c>
      <c r="AI73" s="62">
        <v>5988.6183250576678</v>
      </c>
      <c r="AJ73" s="62">
        <v>6119.0999122157773</v>
      </c>
    </row>
    <row r="74" spans="1:36" x14ac:dyDescent="0.25">
      <c r="A74" s="58" t="s">
        <v>17</v>
      </c>
      <c r="B74" s="59" t="s">
        <v>18</v>
      </c>
      <c r="C74" s="60" t="s">
        <v>115</v>
      </c>
      <c r="D74" s="61" t="s">
        <v>30</v>
      </c>
      <c r="E74" s="50" t="s">
        <v>375</v>
      </c>
      <c r="F74" s="50">
        <v>1.0439000469999412E-4</v>
      </c>
      <c r="G74" s="50">
        <v>1.3607367573098778E-4</v>
      </c>
      <c r="H74" s="63" t="s">
        <v>374</v>
      </c>
      <c r="I74" s="62">
        <v>24.286021423439504</v>
      </c>
      <c r="J74" s="62">
        <v>24.978228211883039</v>
      </c>
      <c r="K74" s="62">
        <v>25.576680237747926</v>
      </c>
      <c r="L74" s="62">
        <v>26.278003962465437</v>
      </c>
      <c r="M74" s="62">
        <v>26.989397139187041</v>
      </c>
      <c r="N74" s="62">
        <v>27.71262872569724</v>
      </c>
      <c r="O74" s="62">
        <v>28.447970869347497</v>
      </c>
      <c r="P74" s="62">
        <v>29.070371862141034</v>
      </c>
      <c r="Q74" s="62">
        <v>29.825444688772286</v>
      </c>
      <c r="R74" s="62">
        <v>30.594805251355293</v>
      </c>
      <c r="S74" s="62">
        <v>30.988874616272231</v>
      </c>
      <c r="T74" s="62">
        <v>32.185642594326268</v>
      </c>
      <c r="U74" s="62">
        <v>32.856894036707232</v>
      </c>
      <c r="V74" s="62">
        <v>33.705721625917135</v>
      </c>
      <c r="W74" s="62">
        <v>34.588023339356859</v>
      </c>
      <c r="X74" s="62">
        <v>35.501349850863249</v>
      </c>
      <c r="Y74" s="62">
        <v>36.453865580980164</v>
      </c>
      <c r="Z74" s="62">
        <v>37.246766889464631</v>
      </c>
      <c r="AA74" s="62">
        <v>37.957304471572556</v>
      </c>
      <c r="AB74" s="62">
        <v>38.700281045364569</v>
      </c>
      <c r="AC74" s="62">
        <v>39.466387191380186</v>
      </c>
      <c r="AD74" s="62">
        <v>40.257214650121497</v>
      </c>
      <c r="AE74" s="62">
        <v>41.074355162113484</v>
      </c>
      <c r="AF74" s="62">
        <v>41.919400469117285</v>
      </c>
      <c r="AG74" s="62">
        <v>42.793942310798585</v>
      </c>
      <c r="AH74" s="62">
        <v>43.699572430277598</v>
      </c>
      <c r="AI74" s="62">
        <v>44.637882566023158</v>
      </c>
      <c r="AJ74" s="62">
        <v>45.610464461954209</v>
      </c>
    </row>
    <row r="75" spans="1:36" x14ac:dyDescent="0.25">
      <c r="A75" s="58" t="s">
        <v>17</v>
      </c>
      <c r="B75" s="59" t="s">
        <v>18</v>
      </c>
      <c r="C75" s="60" t="s">
        <v>115</v>
      </c>
      <c r="D75" s="61" t="s">
        <v>30</v>
      </c>
      <c r="E75" s="50" t="s">
        <v>245</v>
      </c>
      <c r="F75" s="50">
        <v>6.6809603007996241E-5</v>
      </c>
      <c r="G75" s="50">
        <v>8.7087152467832184E-5</v>
      </c>
      <c r="H75" s="63" t="s">
        <v>244</v>
      </c>
      <c r="I75" s="62">
        <v>15.543053711001285</v>
      </c>
      <c r="J75" s="62">
        <v>15.986066055605146</v>
      </c>
      <c r="K75" s="62">
        <v>16.369075352158674</v>
      </c>
      <c r="L75" s="62">
        <v>16.817922535977882</v>
      </c>
      <c r="M75" s="62">
        <v>17.273214169079708</v>
      </c>
      <c r="N75" s="62">
        <v>17.736082384446235</v>
      </c>
      <c r="O75" s="62">
        <v>18.2067013563824</v>
      </c>
      <c r="P75" s="62">
        <v>18.605037991770264</v>
      </c>
      <c r="Q75" s="62">
        <v>19.088284600814266</v>
      </c>
      <c r="R75" s="62">
        <v>19.580675360867389</v>
      </c>
      <c r="S75" s="62">
        <v>19.832879754414229</v>
      </c>
      <c r="T75" s="62">
        <v>20.598811260368816</v>
      </c>
      <c r="U75" s="62">
        <v>21.02841218349263</v>
      </c>
      <c r="V75" s="62">
        <v>21.571661840586966</v>
      </c>
      <c r="W75" s="62">
        <v>22.136334937188391</v>
      </c>
      <c r="X75" s="62">
        <v>22.720863904552481</v>
      </c>
      <c r="Y75" s="62">
        <v>23.330473971827306</v>
      </c>
      <c r="Z75" s="62">
        <v>23.837930809257365</v>
      </c>
      <c r="AA75" s="62">
        <v>24.292674861806439</v>
      </c>
      <c r="AB75" s="62">
        <v>24.768179869033325</v>
      </c>
      <c r="AC75" s="62">
        <v>25.258487802483323</v>
      </c>
      <c r="AD75" s="62">
        <v>25.764617376077759</v>
      </c>
      <c r="AE75" s="62">
        <v>26.28758730375263</v>
      </c>
      <c r="AF75" s="62">
        <v>26.828416300235062</v>
      </c>
      <c r="AG75" s="62">
        <v>27.388123078911097</v>
      </c>
      <c r="AH75" s="62">
        <v>27.967726355377664</v>
      </c>
      <c r="AI75" s="62">
        <v>28.568244842254824</v>
      </c>
      <c r="AJ75" s="62">
        <v>29.190697255650694</v>
      </c>
    </row>
    <row r="76" spans="1:36" x14ac:dyDescent="0.25">
      <c r="A76" s="58" t="s">
        <v>17</v>
      </c>
      <c r="B76" s="59" t="s">
        <v>18</v>
      </c>
      <c r="C76" s="60" t="s">
        <v>115</v>
      </c>
      <c r="D76" s="61" t="s">
        <v>30</v>
      </c>
      <c r="E76" s="50" t="s">
        <v>121</v>
      </c>
      <c r="F76" s="50">
        <v>6.8062283064396168E-3</v>
      </c>
      <c r="G76" s="50">
        <v>8.8720036576604034E-3</v>
      </c>
      <c r="H76" s="63" t="s">
        <v>120</v>
      </c>
      <c r="I76" s="62">
        <v>1583.4485968082558</v>
      </c>
      <c r="J76" s="62">
        <v>1628.5804794147743</v>
      </c>
      <c r="K76" s="62">
        <v>1667.5995515011648</v>
      </c>
      <c r="L76" s="62">
        <v>1713.3258583527465</v>
      </c>
      <c r="M76" s="62">
        <v>1759.708693474995</v>
      </c>
      <c r="N76" s="62">
        <v>1806.8633929154601</v>
      </c>
      <c r="O76" s="62">
        <v>1854.8077006814569</v>
      </c>
      <c r="P76" s="62">
        <v>1895.3882454115956</v>
      </c>
      <c r="Q76" s="62">
        <v>1944.6189937079532</v>
      </c>
      <c r="R76" s="62">
        <v>1994.781302388365</v>
      </c>
      <c r="S76" s="62">
        <v>2020.4746249809496</v>
      </c>
      <c r="T76" s="62">
        <v>2098.503897150073</v>
      </c>
      <c r="U76" s="62">
        <v>2142.2694911933118</v>
      </c>
      <c r="V76" s="62">
        <v>2197.6130500097975</v>
      </c>
      <c r="W76" s="62">
        <v>2255.1391217260675</v>
      </c>
      <c r="X76" s="62">
        <v>2314.6880102762839</v>
      </c>
      <c r="Y76" s="62">
        <v>2376.792035879907</v>
      </c>
      <c r="Z76" s="62">
        <v>2428.4892011930938</v>
      </c>
      <c r="AA76" s="62">
        <v>2474.8162515465306</v>
      </c>
      <c r="AB76" s="62">
        <v>2523.2583241577699</v>
      </c>
      <c r="AC76" s="62">
        <v>2573.2084448779883</v>
      </c>
      <c r="AD76" s="62">
        <v>2624.7703951879216</v>
      </c>
      <c r="AE76" s="62">
        <v>2678.0479565697992</v>
      </c>
      <c r="AF76" s="62">
        <v>2733.1449105864467</v>
      </c>
      <c r="AG76" s="62">
        <v>2790.1650386640681</v>
      </c>
      <c r="AH76" s="62">
        <v>2849.2121224540997</v>
      </c>
      <c r="AI76" s="62">
        <v>2910.38994330471</v>
      </c>
      <c r="AJ76" s="62">
        <v>2973.8022829194147</v>
      </c>
    </row>
    <row r="77" spans="1:36" x14ac:dyDescent="0.25">
      <c r="A77" s="58" t="s">
        <v>17</v>
      </c>
      <c r="B77" s="59" t="s">
        <v>18</v>
      </c>
      <c r="C77" s="60" t="s">
        <v>115</v>
      </c>
      <c r="D77" s="61" t="s">
        <v>30</v>
      </c>
      <c r="E77" s="50" t="s">
        <v>281</v>
      </c>
      <c r="F77" s="50">
        <v>5.5535482500396877E-4</v>
      </c>
      <c r="G77" s="50">
        <v>7.2391195488885499E-4</v>
      </c>
      <c r="H77" s="63" t="s">
        <v>96</v>
      </c>
      <c r="I77" s="62">
        <v>129.20163397269818</v>
      </c>
      <c r="J77" s="62">
        <v>132.88417408721779</v>
      </c>
      <c r="K77" s="62">
        <v>136.06793886481896</v>
      </c>
      <c r="L77" s="62">
        <v>139.79898108031611</v>
      </c>
      <c r="M77" s="62">
        <v>143.58359278047504</v>
      </c>
      <c r="N77" s="62">
        <v>147.43118482070932</v>
      </c>
      <c r="O77" s="62">
        <v>151.34320502492869</v>
      </c>
      <c r="P77" s="62">
        <v>154.6543783065903</v>
      </c>
      <c r="Q77" s="62">
        <v>158.67136574426857</v>
      </c>
      <c r="R77" s="62">
        <v>162.76436393721016</v>
      </c>
      <c r="S77" s="62">
        <v>164.86081295856829</v>
      </c>
      <c r="T77" s="62">
        <v>171.22761860181575</v>
      </c>
      <c r="U77" s="62">
        <v>174.79867627528247</v>
      </c>
      <c r="V77" s="62">
        <v>179.31443904987916</v>
      </c>
      <c r="W77" s="62">
        <v>184.00828416537848</v>
      </c>
      <c r="X77" s="62">
        <v>188.86718120659248</v>
      </c>
      <c r="Y77" s="62">
        <v>193.93456489081447</v>
      </c>
      <c r="Z77" s="62">
        <v>198.15279985195184</v>
      </c>
      <c r="AA77" s="62">
        <v>201.932859788766</v>
      </c>
      <c r="AB77" s="62">
        <v>205.88549516133952</v>
      </c>
      <c r="AC77" s="62">
        <v>209.9611798581426</v>
      </c>
      <c r="AD77" s="62">
        <v>214.16838193864638</v>
      </c>
      <c r="AE77" s="62">
        <v>218.51556946244375</v>
      </c>
      <c r="AF77" s="62">
        <v>223.01121049570395</v>
      </c>
      <c r="AG77" s="62">
        <v>227.66377309344847</v>
      </c>
      <c r="AH77" s="62">
        <v>232.48172532907682</v>
      </c>
      <c r="AI77" s="62">
        <v>237.47353525124322</v>
      </c>
      <c r="AJ77" s="62">
        <v>242.64767093759639</v>
      </c>
    </row>
    <row r="78" spans="1:36" x14ac:dyDescent="0.25">
      <c r="A78" s="58" t="s">
        <v>17</v>
      </c>
      <c r="B78" s="59" t="s">
        <v>18</v>
      </c>
      <c r="C78" s="60" t="s">
        <v>115</v>
      </c>
      <c r="D78" s="61" t="s">
        <v>30</v>
      </c>
      <c r="E78" s="50" t="s">
        <v>311</v>
      </c>
      <c r="F78" s="50">
        <v>4.7560086141317324E-3</v>
      </c>
      <c r="G78" s="50">
        <v>6.1995166663038033E-3</v>
      </c>
      <c r="H78" s="63" t="s">
        <v>87</v>
      </c>
      <c r="I78" s="62">
        <v>1106.4711360519038</v>
      </c>
      <c r="J78" s="62">
        <v>1138.0080773333914</v>
      </c>
      <c r="K78" s="62">
        <v>1165.2735516317955</v>
      </c>
      <c r="L78" s="62">
        <v>1197.2258605299253</v>
      </c>
      <c r="M78" s="62">
        <v>1229.6369336613616</v>
      </c>
      <c r="N78" s="62">
        <v>1262.5873647427663</v>
      </c>
      <c r="O78" s="62">
        <v>1296.089552807472</v>
      </c>
      <c r="P78" s="62">
        <v>1324.4461420391456</v>
      </c>
      <c r="Q78" s="62">
        <v>1358.8472600204655</v>
      </c>
      <c r="R78" s="62">
        <v>1393.8993272517471</v>
      </c>
      <c r="S78" s="62">
        <v>1411.853127517363</v>
      </c>
      <c r="T78" s="62">
        <v>1466.3778765975048</v>
      </c>
      <c r="U78" s="62">
        <v>1496.9600923123817</v>
      </c>
      <c r="V78" s="62">
        <v>1535.6326772767848</v>
      </c>
      <c r="W78" s="62">
        <v>1575.8303433410986</v>
      </c>
      <c r="X78" s="62">
        <v>1617.4414992053296</v>
      </c>
      <c r="Y78" s="62">
        <v>1660.8381158694563</v>
      </c>
      <c r="Z78" s="62">
        <v>1696.9626994840085</v>
      </c>
      <c r="AA78" s="62">
        <v>1729.3347917248457</v>
      </c>
      <c r="AB78" s="62">
        <v>1763.1848044268099</v>
      </c>
      <c r="AC78" s="62">
        <v>1798.0886004392814</v>
      </c>
      <c r="AD78" s="62">
        <v>1834.1186994595355</v>
      </c>
      <c r="AE78" s="62">
        <v>1871.3476211858904</v>
      </c>
      <c r="AF78" s="62">
        <v>1909.8478853729835</v>
      </c>
      <c r="AG78" s="62">
        <v>1949.6920116799836</v>
      </c>
      <c r="AH78" s="62">
        <v>1990.9525199234474</v>
      </c>
      <c r="AI78" s="62">
        <v>2033.7019297080151</v>
      </c>
      <c r="AJ78" s="62">
        <v>2078.0127608866337</v>
      </c>
    </row>
    <row r="79" spans="1:36" x14ac:dyDescent="0.25">
      <c r="A79" s="58" t="s">
        <v>17</v>
      </c>
      <c r="B79" s="59" t="s">
        <v>18</v>
      </c>
      <c r="C79" s="60" t="s">
        <v>115</v>
      </c>
      <c r="D79" s="61" t="s">
        <v>30</v>
      </c>
      <c r="E79" s="50" t="s">
        <v>276</v>
      </c>
      <c r="F79" s="50">
        <v>1.7955080808398991E-4</v>
      </c>
      <c r="G79" s="50">
        <v>2.3404672225729899E-4</v>
      </c>
      <c r="H79" s="63" t="s">
        <v>275</v>
      </c>
      <c r="I79" s="62">
        <v>41.771956848315952</v>
      </c>
      <c r="J79" s="62">
        <v>42.962552524438834</v>
      </c>
      <c r="K79" s="62">
        <v>43.991890008926433</v>
      </c>
      <c r="L79" s="62">
        <v>45.198166815440551</v>
      </c>
      <c r="M79" s="62">
        <v>46.421763079401707</v>
      </c>
      <c r="N79" s="62">
        <v>47.665721408199254</v>
      </c>
      <c r="O79" s="62">
        <v>48.930509895277702</v>
      </c>
      <c r="P79" s="62">
        <v>50.001039602882585</v>
      </c>
      <c r="Q79" s="62">
        <v>51.299764864688335</v>
      </c>
      <c r="R79" s="62">
        <v>52.623065032331105</v>
      </c>
      <c r="S79" s="62">
        <v>53.300864339988244</v>
      </c>
      <c r="T79" s="62">
        <v>55.359305262241186</v>
      </c>
      <c r="U79" s="62">
        <v>56.513857743136441</v>
      </c>
      <c r="V79" s="62">
        <v>57.973841196577474</v>
      </c>
      <c r="W79" s="62">
        <v>59.491400143693802</v>
      </c>
      <c r="X79" s="62">
        <v>61.062321743484794</v>
      </c>
      <c r="Y79" s="62">
        <v>62.700648799285887</v>
      </c>
      <c r="Z79" s="62">
        <v>64.064439049879169</v>
      </c>
      <c r="AA79" s="62">
        <v>65.286563691104803</v>
      </c>
      <c r="AB79" s="62">
        <v>66.564483398027065</v>
      </c>
      <c r="AC79" s="62">
        <v>67.882185969173932</v>
      </c>
      <c r="AD79" s="62">
        <v>69.242409198208975</v>
      </c>
      <c r="AE79" s="62">
        <v>70.647890878835199</v>
      </c>
      <c r="AF79" s="62">
        <v>72.101368806881723</v>
      </c>
      <c r="AG79" s="62">
        <v>73.605580774573568</v>
      </c>
      <c r="AH79" s="62">
        <v>75.163264580077467</v>
      </c>
      <c r="AI79" s="62">
        <v>76.777158013559841</v>
      </c>
      <c r="AJ79" s="62">
        <v>78.449998874561246</v>
      </c>
    </row>
    <row r="80" spans="1:36" x14ac:dyDescent="0.25">
      <c r="A80" s="58" t="s">
        <v>17</v>
      </c>
      <c r="B80" s="59" t="s">
        <v>18</v>
      </c>
      <c r="C80" s="60" t="s">
        <v>115</v>
      </c>
      <c r="D80" s="61" t="s">
        <v>30</v>
      </c>
      <c r="E80" s="50" t="s">
        <v>266</v>
      </c>
      <c r="F80" s="50">
        <v>1.3779480620399227E-4</v>
      </c>
      <c r="G80" s="50">
        <v>1.7961725196490388E-4</v>
      </c>
      <c r="H80" s="63" t="s">
        <v>265</v>
      </c>
      <c r="I80" s="62">
        <v>32.057548278940153</v>
      </c>
      <c r="J80" s="62">
        <v>32.971261239685617</v>
      </c>
      <c r="K80" s="62">
        <v>33.761217913827267</v>
      </c>
      <c r="L80" s="62">
        <v>34.686965230454376</v>
      </c>
      <c r="M80" s="62">
        <v>35.626004223726895</v>
      </c>
      <c r="N80" s="62">
        <v>36.58066991792036</v>
      </c>
      <c r="O80" s="62">
        <v>37.551321547538699</v>
      </c>
      <c r="P80" s="62">
        <v>38.372890858026167</v>
      </c>
      <c r="Q80" s="62">
        <v>39.369586989179425</v>
      </c>
      <c r="R80" s="62">
        <v>40.385142931788991</v>
      </c>
      <c r="S80" s="62">
        <v>40.905314493479352</v>
      </c>
      <c r="T80" s="62">
        <v>42.485048224510678</v>
      </c>
      <c r="U80" s="62">
        <v>43.371100128453548</v>
      </c>
      <c r="V80" s="62">
        <v>44.49155254621062</v>
      </c>
      <c r="W80" s="62">
        <v>45.656190807951056</v>
      </c>
      <c r="X80" s="62">
        <v>46.861781803139493</v>
      </c>
      <c r="Y80" s="62">
        <v>48.119102566893822</v>
      </c>
      <c r="Z80" s="62">
        <v>49.165732294093317</v>
      </c>
      <c r="AA80" s="62">
        <v>50.103641902475779</v>
      </c>
      <c r="AB80" s="62">
        <v>51.084370979881236</v>
      </c>
      <c r="AC80" s="62">
        <v>52.095631092621851</v>
      </c>
      <c r="AD80" s="62">
        <v>53.13952333816038</v>
      </c>
      <c r="AE80" s="62">
        <v>54.218148813989806</v>
      </c>
      <c r="AF80" s="62">
        <v>55.333608619234816</v>
      </c>
      <c r="AG80" s="62">
        <v>56.488003850254138</v>
      </c>
      <c r="AH80" s="62">
        <v>57.683435607966437</v>
      </c>
      <c r="AI80" s="62">
        <v>58.922004987150572</v>
      </c>
      <c r="AJ80" s="62">
        <v>60.205813089779561</v>
      </c>
    </row>
    <row r="81" spans="1:36" x14ac:dyDescent="0.25">
      <c r="A81" s="58" t="s">
        <v>17</v>
      </c>
      <c r="B81" s="59" t="s">
        <v>18</v>
      </c>
      <c r="C81" s="60" t="s">
        <v>115</v>
      </c>
      <c r="D81" s="61" t="s">
        <v>30</v>
      </c>
      <c r="E81" s="50" t="s">
        <v>326</v>
      </c>
      <c r="F81" s="50">
        <v>2.2464729011438737E-3</v>
      </c>
      <c r="G81" s="50">
        <v>2.9283055017308574E-3</v>
      </c>
      <c r="H81" s="63" t="s">
        <v>73</v>
      </c>
      <c r="I81" s="62">
        <v>522.63518103241825</v>
      </c>
      <c r="J81" s="62">
        <v>537.53147111972305</v>
      </c>
      <c r="K81" s="62">
        <v>550.41015871633545</v>
      </c>
      <c r="L81" s="62">
        <v>565.50264527225625</v>
      </c>
      <c r="M81" s="62">
        <v>580.81182643530519</v>
      </c>
      <c r="N81" s="62">
        <v>596.37577017700471</v>
      </c>
      <c r="O81" s="62">
        <v>612.20033310835822</v>
      </c>
      <c r="P81" s="62">
        <v>625.59440247327518</v>
      </c>
      <c r="Q81" s="62">
        <v>641.84356970237968</v>
      </c>
      <c r="R81" s="62">
        <v>658.40020900916602</v>
      </c>
      <c r="S81" s="62">
        <v>666.88058174217849</v>
      </c>
      <c r="T81" s="62">
        <v>692.6350286299014</v>
      </c>
      <c r="U81" s="62">
        <v>707.08035966993975</v>
      </c>
      <c r="V81" s="62">
        <v>725.34712938973678</v>
      </c>
      <c r="W81" s="62">
        <v>744.33426226295967</v>
      </c>
      <c r="X81" s="62">
        <v>763.98904879057727</v>
      </c>
      <c r="Y81" s="62">
        <v>784.4871873026932</v>
      </c>
      <c r="Z81" s="62">
        <v>801.55042346127891</v>
      </c>
      <c r="AA81" s="62">
        <v>816.84119222824154</v>
      </c>
      <c r="AB81" s="62">
        <v>832.8300480962456</v>
      </c>
      <c r="AC81" s="62">
        <v>849.31665235850176</v>
      </c>
      <c r="AD81" s="62">
        <v>866.33525927061476</v>
      </c>
      <c r="AE81" s="62">
        <v>883.92012308868232</v>
      </c>
      <c r="AF81" s="62">
        <v>902.10549809540407</v>
      </c>
      <c r="AG81" s="62">
        <v>920.92563852838566</v>
      </c>
      <c r="AH81" s="62">
        <v>940.41479869957402</v>
      </c>
      <c r="AI81" s="62">
        <v>960.60723282081847</v>
      </c>
      <c r="AJ81" s="62">
        <v>981.53719522125471</v>
      </c>
    </row>
    <row r="82" spans="1:36" x14ac:dyDescent="0.25">
      <c r="A82" s="58" t="s">
        <v>17</v>
      </c>
      <c r="B82" s="59" t="s">
        <v>18</v>
      </c>
      <c r="C82" s="60" t="s">
        <v>115</v>
      </c>
      <c r="D82" s="61" t="s">
        <v>30</v>
      </c>
      <c r="E82" s="50" t="s">
        <v>167</v>
      </c>
      <c r="F82" s="50">
        <v>1.2944360582799273E-4</v>
      </c>
      <c r="G82" s="50">
        <v>1.6873135790642486E-4</v>
      </c>
      <c r="H82" s="63" t="s">
        <v>166</v>
      </c>
      <c r="I82" s="62">
        <v>30.11466656506499</v>
      </c>
      <c r="J82" s="62">
        <v>30.973002982734972</v>
      </c>
      <c r="K82" s="62">
        <v>31.715083494807427</v>
      </c>
      <c r="L82" s="62">
        <v>32.584724913457144</v>
      </c>
      <c r="M82" s="62">
        <v>33.46685245259193</v>
      </c>
      <c r="N82" s="62">
        <v>34.363659619864578</v>
      </c>
      <c r="O82" s="62">
        <v>35.275483877990901</v>
      </c>
      <c r="P82" s="62">
        <v>36.047261109054887</v>
      </c>
      <c r="Q82" s="62">
        <v>36.983551414077638</v>
      </c>
      <c r="R82" s="62">
        <v>37.937558511680564</v>
      </c>
      <c r="S82" s="62">
        <v>38.426204524177571</v>
      </c>
      <c r="T82" s="62">
        <v>39.910196816964579</v>
      </c>
      <c r="U82" s="62">
        <v>40.742548605516973</v>
      </c>
      <c r="V82" s="62">
        <v>41.795094816137251</v>
      </c>
      <c r="W82" s="62">
        <v>42.889148940802507</v>
      </c>
      <c r="X82" s="62">
        <v>44.021673815070429</v>
      </c>
      <c r="Y82" s="62">
        <v>45.202793320415402</v>
      </c>
      <c r="Z82" s="62">
        <v>46.185990942936144</v>
      </c>
      <c r="AA82" s="62">
        <v>47.067057544749971</v>
      </c>
      <c r="AB82" s="62">
        <v>47.988348496252073</v>
      </c>
      <c r="AC82" s="62">
        <v>48.938320117311434</v>
      </c>
      <c r="AD82" s="62">
        <v>49.918946166150661</v>
      </c>
      <c r="AE82" s="62">
        <v>50.932200401020722</v>
      </c>
      <c r="AF82" s="62">
        <v>51.980056581705433</v>
      </c>
      <c r="AG82" s="62">
        <v>53.064488465390248</v>
      </c>
      <c r="AH82" s="62">
        <v>54.187469813544226</v>
      </c>
      <c r="AI82" s="62">
        <v>55.350974381868724</v>
      </c>
      <c r="AJ82" s="62">
        <v>56.556975932823221</v>
      </c>
    </row>
    <row r="83" spans="1:36" x14ac:dyDescent="0.25">
      <c r="A83" s="58" t="s">
        <v>17</v>
      </c>
      <c r="B83" s="59" t="s">
        <v>18</v>
      </c>
      <c r="C83" s="60" t="s">
        <v>115</v>
      </c>
      <c r="D83" s="61" t="s">
        <v>30</v>
      </c>
      <c r="E83" s="50" t="s">
        <v>195</v>
      </c>
      <c r="F83" s="50">
        <v>2.3383361052798689E-3</v>
      </c>
      <c r="G83" s="50">
        <v>3.0480503363741265E-3</v>
      </c>
      <c r="H83" s="63" t="s">
        <v>194</v>
      </c>
      <c r="I83" s="62">
        <v>544.00687988504501</v>
      </c>
      <c r="J83" s="62">
        <v>559.51231194618015</v>
      </c>
      <c r="K83" s="62">
        <v>572.91763732555353</v>
      </c>
      <c r="L83" s="62">
        <v>588.62728875922585</v>
      </c>
      <c r="M83" s="62">
        <v>604.56249591778976</v>
      </c>
      <c r="N83" s="62">
        <v>620.76288345561818</v>
      </c>
      <c r="O83" s="62">
        <v>637.23454747338405</v>
      </c>
      <c r="P83" s="62">
        <v>651.17632971195928</v>
      </c>
      <c r="Q83" s="62">
        <v>668.08996102849926</v>
      </c>
      <c r="R83" s="62">
        <v>685.32363763035858</v>
      </c>
      <c r="S83" s="62">
        <v>694.15079140449814</v>
      </c>
      <c r="T83" s="62">
        <v>720.95839411290854</v>
      </c>
      <c r="U83" s="62">
        <v>735.9944264222421</v>
      </c>
      <c r="V83" s="62">
        <v>755.00816442054384</v>
      </c>
      <c r="W83" s="62">
        <v>774.77172280159368</v>
      </c>
      <c r="X83" s="62">
        <v>795.23023665933681</v>
      </c>
      <c r="Y83" s="62">
        <v>816.56658901395576</v>
      </c>
      <c r="Z83" s="62">
        <v>834.32757832400773</v>
      </c>
      <c r="AA83" s="62">
        <v>850.24362016322539</v>
      </c>
      <c r="AB83" s="62">
        <v>866.88629541616649</v>
      </c>
      <c r="AC83" s="62">
        <v>884.04707308691627</v>
      </c>
      <c r="AD83" s="62">
        <v>901.76160816272159</v>
      </c>
      <c r="AE83" s="62">
        <v>920.06555563134214</v>
      </c>
      <c r="AF83" s="62">
        <v>938.99457050822718</v>
      </c>
      <c r="AG83" s="62">
        <v>958.58430776188845</v>
      </c>
      <c r="AH83" s="62">
        <v>978.87042243821827</v>
      </c>
      <c r="AI83" s="62">
        <v>999.88856947891884</v>
      </c>
      <c r="AJ83" s="62">
        <v>1021.6744039477744</v>
      </c>
    </row>
    <row r="84" spans="1:36" x14ac:dyDescent="0.25">
      <c r="A84" s="58" t="s">
        <v>17</v>
      </c>
      <c r="B84" s="59" t="s">
        <v>18</v>
      </c>
      <c r="C84" s="60" t="s">
        <v>115</v>
      </c>
      <c r="D84" s="61" t="s">
        <v>30</v>
      </c>
      <c r="E84" s="50" t="s">
        <v>272</v>
      </c>
      <c r="F84" s="50">
        <v>3.1734561428798221E-4</v>
      </c>
      <c r="G84" s="50">
        <v>4.136639742222029E-4</v>
      </c>
      <c r="H84" s="63" t="s">
        <v>271</v>
      </c>
      <c r="I84" s="62">
        <v>73.829505127256112</v>
      </c>
      <c r="J84" s="62">
        <v>75.933813764124451</v>
      </c>
      <c r="K84" s="62">
        <v>77.753107922753699</v>
      </c>
      <c r="L84" s="62">
        <v>79.885132045894935</v>
      </c>
      <c r="M84" s="62">
        <v>82.047767303128609</v>
      </c>
      <c r="N84" s="62">
        <v>84.246391326119621</v>
      </c>
      <c r="O84" s="62">
        <v>86.4818314428164</v>
      </c>
      <c r="P84" s="62">
        <v>88.373930460908767</v>
      </c>
      <c r="Q84" s="62">
        <v>90.669351853867767</v>
      </c>
      <c r="R84" s="62">
        <v>93.008207964120103</v>
      </c>
      <c r="S84" s="62">
        <v>94.206178833467604</v>
      </c>
      <c r="T84" s="62">
        <v>97.844353486751871</v>
      </c>
      <c r="U84" s="62">
        <v>99.884957871590004</v>
      </c>
      <c r="V84" s="62">
        <v>102.46539374278809</v>
      </c>
      <c r="W84" s="62">
        <v>105.14759095164487</v>
      </c>
      <c r="X84" s="62">
        <v>107.92410354662429</v>
      </c>
      <c r="Y84" s="62">
        <v>110.81975136617972</v>
      </c>
      <c r="Z84" s="62">
        <v>113.23017134397249</v>
      </c>
      <c r="AA84" s="62">
        <v>115.39020559358059</v>
      </c>
      <c r="AB84" s="62">
        <v>117.64885437790831</v>
      </c>
      <c r="AC84" s="62">
        <v>119.97781706179579</v>
      </c>
      <c r="AD84" s="62">
        <v>122.38193253636936</v>
      </c>
      <c r="AE84" s="62">
        <v>124.86603969282501</v>
      </c>
      <c r="AF84" s="62">
        <v>127.43497742611655</v>
      </c>
      <c r="AG84" s="62">
        <v>130.09358462482771</v>
      </c>
      <c r="AH84" s="62">
        <v>132.84670018804391</v>
      </c>
      <c r="AI84" s="62">
        <v>135.69916300071043</v>
      </c>
      <c r="AJ84" s="62">
        <v>138.65581196434081</v>
      </c>
    </row>
    <row r="85" spans="1:36" x14ac:dyDescent="0.25">
      <c r="A85" s="58" t="s">
        <v>17</v>
      </c>
      <c r="B85" s="59" t="s">
        <v>18</v>
      </c>
      <c r="C85" s="60" t="s">
        <v>115</v>
      </c>
      <c r="D85" s="61" t="s">
        <v>30</v>
      </c>
      <c r="E85" s="50" t="s">
        <v>355</v>
      </c>
      <c r="F85" s="50">
        <v>5.9293522669596663E-4</v>
      </c>
      <c r="G85" s="50">
        <v>7.7289847815201066E-4</v>
      </c>
      <c r="H85" s="63" t="s">
        <v>354</v>
      </c>
      <c r="I85" s="62">
        <v>137.9446016851364</v>
      </c>
      <c r="J85" s="62">
        <v>141.87633624349567</v>
      </c>
      <c r="K85" s="62">
        <v>145.27554375040822</v>
      </c>
      <c r="L85" s="62">
        <v>149.2590625068037</v>
      </c>
      <c r="M85" s="62">
        <v>153.2997757505824</v>
      </c>
      <c r="N85" s="62">
        <v>157.40773116196033</v>
      </c>
      <c r="O85" s="62">
        <v>161.58447453789381</v>
      </c>
      <c r="P85" s="62">
        <v>165.11971217696109</v>
      </c>
      <c r="Q85" s="62">
        <v>169.40852583222662</v>
      </c>
      <c r="R85" s="62">
        <v>173.77849382769807</v>
      </c>
      <c r="S85" s="62">
        <v>176.01680782042629</v>
      </c>
      <c r="T85" s="62">
        <v>182.81444993577324</v>
      </c>
      <c r="U85" s="62">
        <v>186.62715812849711</v>
      </c>
      <c r="V85" s="62">
        <v>191.44849883520934</v>
      </c>
      <c r="W85" s="62">
        <v>196.45997256754697</v>
      </c>
      <c r="X85" s="62">
        <v>201.64766715290327</v>
      </c>
      <c r="Y85" s="62">
        <v>207.05795649996736</v>
      </c>
      <c r="Z85" s="62">
        <v>211.56163593215911</v>
      </c>
      <c r="AA85" s="62">
        <v>215.59748939853213</v>
      </c>
      <c r="AB85" s="62">
        <v>219.81759633767078</v>
      </c>
      <c r="AC85" s="62">
        <v>224.16907924703949</v>
      </c>
      <c r="AD85" s="62">
        <v>228.66097921269014</v>
      </c>
      <c r="AE85" s="62">
        <v>233.30233732080461</v>
      </c>
      <c r="AF85" s="62">
        <v>238.10219466458619</v>
      </c>
      <c r="AG85" s="62">
        <v>243.069592325336</v>
      </c>
      <c r="AH85" s="62">
        <v>248.2135714039768</v>
      </c>
      <c r="AI85" s="62">
        <v>253.54317297501157</v>
      </c>
      <c r="AJ85" s="62">
        <v>259.06743814389995</v>
      </c>
    </row>
    <row r="86" spans="1:36" x14ac:dyDescent="0.25">
      <c r="A86" s="58" t="s">
        <v>17</v>
      </c>
      <c r="B86" s="59" t="s">
        <v>18</v>
      </c>
      <c r="C86" s="60" t="s">
        <v>115</v>
      </c>
      <c r="D86" s="61" t="s">
        <v>30</v>
      </c>
      <c r="E86" s="50" t="s">
        <v>502</v>
      </c>
      <c r="F86" s="50">
        <v>1.1942216537679327E-3</v>
      </c>
      <c r="G86" s="50">
        <v>1.5566828503625002E-3</v>
      </c>
      <c r="H86" s="63" t="s">
        <v>85</v>
      </c>
      <c r="I86" s="62">
        <v>277.83208508414793</v>
      </c>
      <c r="J86" s="62">
        <v>285.75093074394198</v>
      </c>
      <c r="K86" s="62">
        <v>292.59722191983627</v>
      </c>
      <c r="L86" s="62">
        <v>300.62036533060461</v>
      </c>
      <c r="M86" s="62">
        <v>308.75870327229973</v>
      </c>
      <c r="N86" s="62">
        <v>317.03247262197641</v>
      </c>
      <c r="O86" s="62">
        <v>325.44478674533536</v>
      </c>
      <c r="P86" s="62">
        <v>332.56505410289344</v>
      </c>
      <c r="Q86" s="62">
        <v>341.20308723955497</v>
      </c>
      <c r="R86" s="62">
        <v>350.00457207550454</v>
      </c>
      <c r="S86" s="62">
        <v>354.51272561015435</v>
      </c>
      <c r="T86" s="62">
        <v>368.20375127909256</v>
      </c>
      <c r="U86" s="62">
        <v>375.88286777993073</v>
      </c>
      <c r="V86" s="62">
        <v>385.59345540049202</v>
      </c>
      <c r="W86" s="62">
        <v>395.68698700224246</v>
      </c>
      <c r="X86" s="62">
        <v>406.1354422938756</v>
      </c>
      <c r="Y86" s="62">
        <v>417.03222224641308</v>
      </c>
      <c r="Z86" s="62">
        <v>426.10301321547536</v>
      </c>
      <c r="AA86" s="62">
        <v>434.23156315479008</v>
      </c>
      <c r="AB86" s="62">
        <v>442.73121515897071</v>
      </c>
      <c r="AC86" s="62">
        <v>451.49546946938938</v>
      </c>
      <c r="AD86" s="62">
        <v>460.54253559738993</v>
      </c>
      <c r="AE86" s="62">
        <v>469.89062305457827</v>
      </c>
      <c r="AF86" s="62">
        <v>479.5579413667017</v>
      </c>
      <c r="AG86" s="62">
        <v>489.56270003553584</v>
      </c>
      <c r="AH86" s="62">
        <v>499.92310860237575</v>
      </c>
      <c r="AI86" s="62">
        <v>510.65737655530495</v>
      </c>
      <c r="AJ86" s="62">
        <v>521.78371344475613</v>
      </c>
    </row>
    <row r="87" spans="1:36" x14ac:dyDescent="0.25">
      <c r="A87" s="58" t="s">
        <v>17</v>
      </c>
      <c r="B87" s="59" t="s">
        <v>18</v>
      </c>
      <c r="C87" s="60" t="s">
        <v>115</v>
      </c>
      <c r="D87" s="61" t="s">
        <v>30</v>
      </c>
      <c r="E87" s="50" t="s">
        <v>280</v>
      </c>
      <c r="F87" s="50">
        <v>1.8998980855398932E-3</v>
      </c>
      <c r="G87" s="50">
        <v>2.4765408983039778E-3</v>
      </c>
      <c r="H87" s="63" t="s">
        <v>86</v>
      </c>
      <c r="I87" s="62">
        <v>442.00558990659903</v>
      </c>
      <c r="J87" s="62">
        <v>454.60375345627136</v>
      </c>
      <c r="K87" s="62">
        <v>465.49558032701225</v>
      </c>
      <c r="L87" s="62">
        <v>478.259672116871</v>
      </c>
      <c r="M87" s="62">
        <v>491.20702793320419</v>
      </c>
      <c r="N87" s="62">
        <v>504.36984280768979</v>
      </c>
      <c r="O87" s="62">
        <v>517.75306982212453</v>
      </c>
      <c r="P87" s="62">
        <v>529.08076789096685</v>
      </c>
      <c r="Q87" s="62">
        <v>542.8230933356557</v>
      </c>
      <c r="R87" s="62">
        <v>556.82545557466642</v>
      </c>
      <c r="S87" s="62">
        <v>563.99751801615469</v>
      </c>
      <c r="T87" s="62">
        <v>585.77869521673813</v>
      </c>
      <c r="U87" s="62">
        <v>597.99547146807174</v>
      </c>
      <c r="V87" s="62">
        <v>613.44413359169187</v>
      </c>
      <c r="W87" s="62">
        <v>629.50202477629489</v>
      </c>
      <c r="X87" s="62">
        <v>646.12456728571124</v>
      </c>
      <c r="Y87" s="62">
        <v>663.46035357383903</v>
      </c>
      <c r="Z87" s="62">
        <v>677.89115738825637</v>
      </c>
      <c r="AA87" s="62">
        <v>690.82294138262057</v>
      </c>
      <c r="AB87" s="62">
        <v>704.34511502563521</v>
      </c>
      <c r="AC87" s="62">
        <v>718.28824688311954</v>
      </c>
      <c r="AD87" s="62">
        <v>732.68130663221132</v>
      </c>
      <c r="AE87" s="62">
        <v>747.55326395046552</v>
      </c>
      <c r="AF87" s="62">
        <v>762.93308853793462</v>
      </c>
      <c r="AG87" s="62">
        <v>778.84975005653439</v>
      </c>
      <c r="AH87" s="62">
        <v>795.33221823105237</v>
      </c>
      <c r="AI87" s="62">
        <v>812.40946270162158</v>
      </c>
      <c r="AJ87" s="62">
        <v>830.11045320756671</v>
      </c>
    </row>
    <row r="88" spans="1:36" x14ac:dyDescent="0.25">
      <c r="A88" s="58" t="s">
        <v>17</v>
      </c>
      <c r="B88" s="59" t="s">
        <v>18</v>
      </c>
      <c r="C88" s="60" t="s">
        <v>115</v>
      </c>
      <c r="D88" s="61" t="s">
        <v>30</v>
      </c>
      <c r="E88" s="50" t="s">
        <v>445</v>
      </c>
      <c r="F88" s="50">
        <v>1.2109240545199319E-4</v>
      </c>
      <c r="G88" s="50">
        <v>1.5784546384794583E-4</v>
      </c>
      <c r="H88" s="63" t="s">
        <v>444</v>
      </c>
      <c r="I88" s="62">
        <v>28.171784851189827</v>
      </c>
      <c r="J88" s="62">
        <v>28.97474472578433</v>
      </c>
      <c r="K88" s="62">
        <v>29.668949075787594</v>
      </c>
      <c r="L88" s="62">
        <v>30.482484596459908</v>
      </c>
      <c r="M88" s="62">
        <v>31.307700681456968</v>
      </c>
      <c r="N88" s="62">
        <v>32.146649321808802</v>
      </c>
      <c r="O88" s="62">
        <v>32.999646208443096</v>
      </c>
      <c r="P88" s="62">
        <v>33.721631360083606</v>
      </c>
      <c r="Q88" s="62">
        <v>34.597515838975852</v>
      </c>
      <c r="R88" s="62">
        <v>35.489974091572137</v>
      </c>
      <c r="S88" s="62">
        <v>35.94709455487579</v>
      </c>
      <c r="T88" s="62">
        <v>37.335345409418473</v>
      </c>
      <c r="U88" s="62">
        <v>38.11399708258039</v>
      </c>
      <c r="V88" s="62">
        <v>39.098637086063874</v>
      </c>
      <c r="W88" s="62">
        <v>40.122107073653957</v>
      </c>
      <c r="X88" s="62">
        <v>41.181565827001371</v>
      </c>
      <c r="Y88" s="62">
        <v>42.28648407393699</v>
      </c>
      <c r="Z88" s="62">
        <v>43.20624959177897</v>
      </c>
      <c r="AA88" s="62">
        <v>44.030473187024164</v>
      </c>
      <c r="AB88" s="62">
        <v>44.892326012622902</v>
      </c>
      <c r="AC88" s="62">
        <v>45.781009142001018</v>
      </c>
      <c r="AD88" s="62">
        <v>46.698368994140942</v>
      </c>
      <c r="AE88" s="62">
        <v>47.646251988051645</v>
      </c>
      <c r="AF88" s="62">
        <v>48.626504544176051</v>
      </c>
      <c r="AG88" s="62">
        <v>49.640973080526365</v>
      </c>
      <c r="AH88" s="62">
        <v>50.691504019122014</v>
      </c>
      <c r="AI88" s="62">
        <v>51.779943776586869</v>
      </c>
      <c r="AJ88" s="62">
        <v>52.908138775866881</v>
      </c>
    </row>
    <row r="89" spans="1:36" x14ac:dyDescent="0.25">
      <c r="A89" s="58" t="s">
        <v>17</v>
      </c>
      <c r="B89" s="59" t="s">
        <v>18</v>
      </c>
      <c r="C89" s="60" t="s">
        <v>115</v>
      </c>
      <c r="D89" s="61" t="s">
        <v>30</v>
      </c>
      <c r="E89" s="50" t="s">
        <v>441</v>
      </c>
      <c r="F89" s="50">
        <v>3.9668201785997775E-4</v>
      </c>
      <c r="G89" s="50">
        <v>5.1707996777775359E-4</v>
      </c>
      <c r="H89" s="63" t="s">
        <v>440</v>
      </c>
      <c r="I89" s="62">
        <v>92.286881409070133</v>
      </c>
      <c r="J89" s="62">
        <v>94.917267205155554</v>
      </c>
      <c r="K89" s="62">
        <v>97.191384903442128</v>
      </c>
      <c r="L89" s="62">
        <v>99.856415057368665</v>
      </c>
      <c r="M89" s="62">
        <v>102.55970912891075</v>
      </c>
      <c r="N89" s="62">
        <v>105.30798915764952</v>
      </c>
      <c r="O89" s="62">
        <v>108.10228930352049</v>
      </c>
      <c r="P89" s="62">
        <v>110.46741307613594</v>
      </c>
      <c r="Q89" s="62">
        <v>113.3366898173347</v>
      </c>
      <c r="R89" s="62">
        <v>116.26025995515012</v>
      </c>
      <c r="S89" s="62">
        <v>117.75772354183449</v>
      </c>
      <c r="T89" s="62">
        <v>122.30544185843983</v>
      </c>
      <c r="U89" s="62">
        <v>124.85619733948749</v>
      </c>
      <c r="V89" s="62">
        <v>128.08174217848511</v>
      </c>
      <c r="W89" s="62">
        <v>131.43448868955608</v>
      </c>
      <c r="X89" s="62">
        <v>134.90512943328036</v>
      </c>
      <c r="Y89" s="62">
        <v>138.52468920772463</v>
      </c>
      <c r="Z89" s="62">
        <v>141.5377141799656</v>
      </c>
      <c r="AA89" s="62">
        <v>144.23775699197571</v>
      </c>
      <c r="AB89" s="62">
        <v>147.06106797238539</v>
      </c>
      <c r="AC89" s="62">
        <v>149.97227132724473</v>
      </c>
      <c r="AD89" s="62">
        <v>152.97741567046171</v>
      </c>
      <c r="AE89" s="62">
        <v>156.08254961603126</v>
      </c>
      <c r="AF89" s="62">
        <v>159.29372178264569</v>
      </c>
      <c r="AG89" s="62">
        <v>162.61698078103464</v>
      </c>
      <c r="AH89" s="62">
        <v>166.05837523505488</v>
      </c>
      <c r="AI89" s="62">
        <v>169.62395375088801</v>
      </c>
      <c r="AJ89" s="62">
        <v>173.319764955426</v>
      </c>
    </row>
    <row r="90" spans="1:36" x14ac:dyDescent="0.25">
      <c r="A90" s="58" t="s">
        <v>17</v>
      </c>
      <c r="B90" s="59" t="s">
        <v>18</v>
      </c>
      <c r="C90" s="60" t="s">
        <v>115</v>
      </c>
      <c r="D90" s="61" t="s">
        <v>30</v>
      </c>
      <c r="E90" s="50" t="s">
        <v>411</v>
      </c>
      <c r="F90" s="50">
        <v>5.1359882312397109E-4</v>
      </c>
      <c r="G90" s="50">
        <v>6.6948248459645985E-4</v>
      </c>
      <c r="H90" s="63" t="s">
        <v>410</v>
      </c>
      <c r="I90" s="62">
        <v>119.48722540332237</v>
      </c>
      <c r="J90" s="62">
        <v>122.89288280246456</v>
      </c>
      <c r="K90" s="62">
        <v>125.83726676971979</v>
      </c>
      <c r="L90" s="62">
        <v>129.28777949532994</v>
      </c>
      <c r="M90" s="62">
        <v>132.78783392480022</v>
      </c>
      <c r="N90" s="62">
        <v>136.3461333304304</v>
      </c>
      <c r="O90" s="62">
        <v>139.96401667718968</v>
      </c>
      <c r="P90" s="62">
        <v>143.02622956173389</v>
      </c>
      <c r="Q90" s="62">
        <v>146.74118786875965</v>
      </c>
      <c r="R90" s="62">
        <v>150.52644183666803</v>
      </c>
      <c r="S90" s="62">
        <v>152.46526311205938</v>
      </c>
      <c r="T90" s="62">
        <v>158.35336156408525</v>
      </c>
      <c r="U90" s="62">
        <v>161.65591866059958</v>
      </c>
      <c r="V90" s="62">
        <v>165.8321503995123</v>
      </c>
      <c r="W90" s="62">
        <v>170.17307482963574</v>
      </c>
      <c r="X90" s="62">
        <v>174.66664126624718</v>
      </c>
      <c r="Y90" s="62">
        <v>179.3530186584224</v>
      </c>
      <c r="Z90" s="62">
        <v>183.25409309616597</v>
      </c>
      <c r="AA90" s="62">
        <v>186.74993800013698</v>
      </c>
      <c r="AB90" s="62">
        <v>190.40538274319368</v>
      </c>
      <c r="AC90" s="62">
        <v>194.17462498159051</v>
      </c>
      <c r="AD90" s="62">
        <v>198.06549607859776</v>
      </c>
      <c r="AE90" s="62">
        <v>202.08582739759834</v>
      </c>
      <c r="AF90" s="62">
        <v>206.24345030805702</v>
      </c>
      <c r="AG90" s="62">
        <v>210.54619616912905</v>
      </c>
      <c r="AH90" s="62">
        <v>215.00189635696577</v>
      </c>
      <c r="AI90" s="62">
        <v>219.61838222483394</v>
      </c>
      <c r="AJ90" s="62">
        <v>224.40348515281471</v>
      </c>
    </row>
    <row r="91" spans="1:36" x14ac:dyDescent="0.25">
      <c r="A91" s="58" t="s">
        <v>17</v>
      </c>
      <c r="B91" s="59" t="s">
        <v>18</v>
      </c>
      <c r="C91" s="60" t="s">
        <v>115</v>
      </c>
      <c r="D91" s="61" t="s">
        <v>30</v>
      </c>
      <c r="E91" s="50" t="s">
        <v>460</v>
      </c>
      <c r="F91" s="50">
        <v>2.2130680996398753E-4</v>
      </c>
      <c r="G91" s="50">
        <v>2.8847619254969409E-4</v>
      </c>
      <c r="H91" s="63" t="s">
        <v>459</v>
      </c>
      <c r="I91" s="62">
        <v>51.486365417691751</v>
      </c>
      <c r="J91" s="62">
        <v>52.953843809192044</v>
      </c>
      <c r="K91" s="62">
        <v>54.222562104025599</v>
      </c>
      <c r="L91" s="62">
        <v>55.709368400426726</v>
      </c>
      <c r="M91" s="62">
        <v>57.217521935076526</v>
      </c>
      <c r="N91" s="62">
        <v>58.750772898478147</v>
      </c>
      <c r="O91" s="62">
        <v>60.309698243016697</v>
      </c>
      <c r="P91" s="62">
        <v>61.629188347738996</v>
      </c>
      <c r="Q91" s="62">
        <v>63.229942740197252</v>
      </c>
      <c r="R91" s="62">
        <v>64.86098713287322</v>
      </c>
      <c r="S91" s="62">
        <v>65.696414186497137</v>
      </c>
      <c r="T91" s="62">
        <v>68.233562299971695</v>
      </c>
      <c r="U91" s="62">
        <v>69.656615357819334</v>
      </c>
      <c r="V91" s="62">
        <v>71.456129846944322</v>
      </c>
      <c r="W91" s="62">
        <v>73.326609479436542</v>
      </c>
      <c r="X91" s="62">
        <v>75.262861683830096</v>
      </c>
      <c r="Y91" s="62">
        <v>77.282195031677944</v>
      </c>
      <c r="Z91" s="62">
        <v>78.963145805665022</v>
      </c>
      <c r="AA91" s="62">
        <v>80.469485479733819</v>
      </c>
      <c r="AB91" s="62">
        <v>82.044595816172887</v>
      </c>
      <c r="AC91" s="62">
        <v>83.668740845725992</v>
      </c>
      <c r="AD91" s="62">
        <v>85.345295058257577</v>
      </c>
      <c r="AE91" s="62">
        <v>87.077632943680584</v>
      </c>
      <c r="AF91" s="62">
        <v>88.869128994528637</v>
      </c>
      <c r="AG91" s="62">
        <v>90.723157698893004</v>
      </c>
      <c r="AH91" s="62">
        <v>92.643093552188517</v>
      </c>
      <c r="AI91" s="62">
        <v>94.632311039969096</v>
      </c>
      <c r="AJ91" s="62">
        <v>96.694184659342923</v>
      </c>
    </row>
    <row r="92" spans="1:36" x14ac:dyDescent="0.25">
      <c r="A92" s="58" t="s">
        <v>17</v>
      </c>
      <c r="B92" s="59" t="s">
        <v>18</v>
      </c>
      <c r="C92" s="60" t="s">
        <v>115</v>
      </c>
      <c r="D92" s="61" t="s">
        <v>30</v>
      </c>
      <c r="E92" s="50" t="s">
        <v>332</v>
      </c>
      <c r="F92" s="50">
        <v>2.9229201315998354E-5</v>
      </c>
      <c r="G92" s="50">
        <v>3.8100629204676579E-5</v>
      </c>
      <c r="H92" s="63" t="s">
        <v>331</v>
      </c>
      <c r="I92" s="62">
        <v>6.8000859985630617</v>
      </c>
      <c r="J92" s="62">
        <v>6.9939038993272513</v>
      </c>
      <c r="K92" s="62">
        <v>7.1614704665694191</v>
      </c>
      <c r="L92" s="62">
        <v>7.3578411094903222</v>
      </c>
      <c r="M92" s="62">
        <v>7.5570311989723713</v>
      </c>
      <c r="N92" s="62">
        <v>7.7595360431952276</v>
      </c>
      <c r="O92" s="62">
        <v>7.9654318434172993</v>
      </c>
      <c r="P92" s="62">
        <v>8.1397041213994896</v>
      </c>
      <c r="Q92" s="62">
        <v>8.3511245128562415</v>
      </c>
      <c r="R92" s="62">
        <v>8.5665454703794826</v>
      </c>
      <c r="S92" s="62">
        <v>8.6768848925562256</v>
      </c>
      <c r="T92" s="62">
        <v>9.0119799264113567</v>
      </c>
      <c r="U92" s="62">
        <v>9.1999303302780255</v>
      </c>
      <c r="V92" s="62">
        <v>9.4376020552567983</v>
      </c>
      <c r="W92" s="62">
        <v>9.6846465350199207</v>
      </c>
      <c r="X92" s="62">
        <v>9.9403779582417098</v>
      </c>
      <c r="Y92" s="62">
        <v>10.207082362674447</v>
      </c>
      <c r="Z92" s="62">
        <v>10.429094729050096</v>
      </c>
      <c r="AA92" s="62">
        <v>10.628045252040316</v>
      </c>
      <c r="AB92" s="62">
        <v>10.836078692702079</v>
      </c>
      <c r="AC92" s="62">
        <v>11.050588413586453</v>
      </c>
      <c r="AD92" s="62">
        <v>11.27202010203402</v>
      </c>
      <c r="AE92" s="62">
        <v>11.500819445391777</v>
      </c>
      <c r="AF92" s="62">
        <v>11.73743213135284</v>
      </c>
      <c r="AG92" s="62">
        <v>11.982303847023605</v>
      </c>
      <c r="AH92" s="62">
        <v>12.235880280477728</v>
      </c>
      <c r="AI92" s="62">
        <v>12.498607118486484</v>
      </c>
      <c r="AJ92" s="62">
        <v>12.770930049347179</v>
      </c>
    </row>
    <row r="93" spans="1:36" x14ac:dyDescent="0.25">
      <c r="A93" s="58" t="s">
        <v>17</v>
      </c>
      <c r="B93" s="59" t="s">
        <v>18</v>
      </c>
      <c r="C93" s="60" t="s">
        <v>115</v>
      </c>
      <c r="D93" s="61" t="s">
        <v>30</v>
      </c>
      <c r="E93" s="50" t="s">
        <v>485</v>
      </c>
      <c r="F93" s="50">
        <v>6.5139362932796323E-4</v>
      </c>
      <c r="G93" s="50">
        <v>8.4909973656136374E-4</v>
      </c>
      <c r="H93" s="63" t="s">
        <v>484</v>
      </c>
      <c r="I93" s="62">
        <v>151.5447736822625</v>
      </c>
      <c r="J93" s="62">
        <v>155.86414404215017</v>
      </c>
      <c r="K93" s="62">
        <v>159.59848468354704</v>
      </c>
      <c r="L93" s="62">
        <v>163.97474472578432</v>
      </c>
      <c r="M93" s="62">
        <v>168.41383814852713</v>
      </c>
      <c r="N93" s="62">
        <v>172.92680324835078</v>
      </c>
      <c r="O93" s="62">
        <v>177.5153382247284</v>
      </c>
      <c r="P93" s="62">
        <v>181.39912041976007</v>
      </c>
      <c r="Q93" s="62">
        <v>186.11077485793908</v>
      </c>
      <c r="R93" s="62">
        <v>190.91158476845703</v>
      </c>
      <c r="S93" s="62">
        <v>193.37057760553873</v>
      </c>
      <c r="T93" s="62">
        <v>200.83840978859592</v>
      </c>
      <c r="U93" s="62">
        <v>205.02701878905313</v>
      </c>
      <c r="V93" s="62">
        <v>210.32370294572291</v>
      </c>
      <c r="W93" s="62">
        <v>215.82926563758681</v>
      </c>
      <c r="X93" s="62">
        <v>221.52842306938669</v>
      </c>
      <c r="Y93" s="62">
        <v>227.47212122531622</v>
      </c>
      <c r="Z93" s="62">
        <v>232.41982539025929</v>
      </c>
      <c r="AA93" s="62">
        <v>236.85357990261275</v>
      </c>
      <c r="AB93" s="62">
        <v>241.48975372307493</v>
      </c>
      <c r="AC93" s="62">
        <v>246.27025607421237</v>
      </c>
      <c r="AD93" s="62">
        <v>251.20501941675815</v>
      </c>
      <c r="AE93" s="62">
        <v>256.30397621158812</v>
      </c>
      <c r="AF93" s="62">
        <v>261.57705892729183</v>
      </c>
      <c r="AG93" s="62">
        <v>267.03420001938321</v>
      </c>
      <c r="AH93" s="62">
        <v>272.68533196493223</v>
      </c>
      <c r="AI93" s="62">
        <v>278.54038721198452</v>
      </c>
      <c r="AJ93" s="62">
        <v>284.60929824259426</v>
      </c>
    </row>
    <row r="94" spans="1:36" x14ac:dyDescent="0.25">
      <c r="A94" s="58" t="s">
        <v>17</v>
      </c>
      <c r="B94" s="59" t="s">
        <v>18</v>
      </c>
      <c r="C94" s="60" t="s">
        <v>115</v>
      </c>
      <c r="D94" s="61" t="s">
        <v>30</v>
      </c>
      <c r="E94" s="50" t="s">
        <v>492</v>
      </c>
      <c r="F94" s="50">
        <v>4.1756001879997648E-4</v>
      </c>
      <c r="G94" s="50">
        <v>5.442947029239511E-4</v>
      </c>
      <c r="H94" s="63" t="s">
        <v>491</v>
      </c>
      <c r="I94" s="62">
        <v>97.144085693758015</v>
      </c>
      <c r="J94" s="62">
        <v>99.912912847532155</v>
      </c>
      <c r="K94" s="62">
        <v>102.3067209509917</v>
      </c>
      <c r="L94" s="62">
        <v>105.11201584986175</v>
      </c>
      <c r="M94" s="62">
        <v>107.95758855674816</v>
      </c>
      <c r="N94" s="62">
        <v>110.85051490278896</v>
      </c>
      <c r="O94" s="62">
        <v>113.79188347738999</v>
      </c>
      <c r="P94" s="62">
        <v>116.28148744856414</v>
      </c>
      <c r="Q94" s="62">
        <v>119.30177875508915</v>
      </c>
      <c r="R94" s="62">
        <v>122.37922100542117</v>
      </c>
      <c r="S94" s="62">
        <v>123.95549846508892</v>
      </c>
      <c r="T94" s="62">
        <v>128.74257037730507</v>
      </c>
      <c r="U94" s="62">
        <v>131.42757614682893</v>
      </c>
      <c r="V94" s="62">
        <v>134.82288650366854</v>
      </c>
      <c r="W94" s="62">
        <v>138.35209335742744</v>
      </c>
      <c r="X94" s="62">
        <v>142.005399403453</v>
      </c>
      <c r="Y94" s="62">
        <v>145.81546232392066</v>
      </c>
      <c r="Z94" s="62">
        <v>148.98706755785852</v>
      </c>
      <c r="AA94" s="62">
        <v>151.82921788629022</v>
      </c>
      <c r="AB94" s="62">
        <v>154.80112418145828</v>
      </c>
      <c r="AC94" s="62">
        <v>157.86554876552074</v>
      </c>
      <c r="AD94" s="62">
        <v>161.02885860048599</v>
      </c>
      <c r="AE94" s="62">
        <v>164.29742064845394</v>
      </c>
      <c r="AF94" s="62">
        <v>167.67760187646914</v>
      </c>
      <c r="AG94" s="62">
        <v>171.17576924319434</v>
      </c>
      <c r="AH94" s="62">
        <v>174.79828972111039</v>
      </c>
      <c r="AI94" s="62">
        <v>178.55153026409263</v>
      </c>
      <c r="AJ94" s="62">
        <v>182.44185784781683</v>
      </c>
    </row>
    <row r="95" spans="1:36" x14ac:dyDescent="0.25">
      <c r="A95" s="58" t="s">
        <v>17</v>
      </c>
      <c r="B95" s="59" t="s">
        <v>18</v>
      </c>
      <c r="C95" s="60" t="s">
        <v>115</v>
      </c>
      <c r="D95" s="61" t="s">
        <v>30</v>
      </c>
      <c r="E95" s="50" t="s">
        <v>241</v>
      </c>
      <c r="F95" s="50">
        <v>2.3717409067838665E-3</v>
      </c>
      <c r="G95" s="50">
        <v>3.0915939126080426E-3</v>
      </c>
      <c r="H95" s="63" t="s">
        <v>88</v>
      </c>
      <c r="I95" s="62">
        <v>551.77840674054562</v>
      </c>
      <c r="J95" s="62">
        <v>567.50534497398269</v>
      </c>
      <c r="K95" s="62">
        <v>581.10217500163287</v>
      </c>
      <c r="L95" s="62">
        <v>597.03625002721481</v>
      </c>
      <c r="M95" s="62">
        <v>613.19910300232959</v>
      </c>
      <c r="N95" s="62">
        <v>629.63092464784131</v>
      </c>
      <c r="O95" s="62">
        <v>646.33789815157525</v>
      </c>
      <c r="P95" s="62">
        <v>660.47884870784435</v>
      </c>
      <c r="Q95" s="62">
        <v>677.63410332890646</v>
      </c>
      <c r="R95" s="62">
        <v>695.11397531079228</v>
      </c>
      <c r="S95" s="62">
        <v>704.06723128170518</v>
      </c>
      <c r="T95" s="62">
        <v>731.25779974309296</v>
      </c>
      <c r="U95" s="62">
        <v>746.50863251398846</v>
      </c>
      <c r="V95" s="62">
        <v>765.79399534083734</v>
      </c>
      <c r="W95" s="62">
        <v>785.83989027018788</v>
      </c>
      <c r="X95" s="62">
        <v>806.59066861161307</v>
      </c>
      <c r="Y95" s="62">
        <v>828.23182599986944</v>
      </c>
      <c r="Z95" s="62">
        <v>846.24654372863642</v>
      </c>
      <c r="AA95" s="62">
        <v>862.38995759412853</v>
      </c>
      <c r="AB95" s="62">
        <v>879.27038535068311</v>
      </c>
      <c r="AC95" s="62">
        <v>896.67631698815796</v>
      </c>
      <c r="AD95" s="62">
        <v>914.64391685076055</v>
      </c>
      <c r="AE95" s="62">
        <v>933.20934928321844</v>
      </c>
      <c r="AF95" s="62">
        <v>952.40877865834477</v>
      </c>
      <c r="AG95" s="62">
        <v>972.27836930134401</v>
      </c>
      <c r="AH95" s="62">
        <v>992.8542856159072</v>
      </c>
      <c r="AI95" s="62">
        <v>1014.1726919000463</v>
      </c>
      <c r="AJ95" s="62">
        <v>1036.2697525755998</v>
      </c>
    </row>
    <row r="96" spans="1:36" x14ac:dyDescent="0.25">
      <c r="A96" s="58" t="s">
        <v>17</v>
      </c>
      <c r="B96" s="59" t="s">
        <v>18</v>
      </c>
      <c r="C96" s="60" t="s">
        <v>115</v>
      </c>
      <c r="D96" s="61" t="s">
        <v>30</v>
      </c>
      <c r="E96" s="50" t="s">
        <v>225</v>
      </c>
      <c r="F96" s="50">
        <v>9.1863204135994835E-5</v>
      </c>
      <c r="G96" s="50">
        <v>1.1974483464326925E-4</v>
      </c>
      <c r="H96" s="63" t="s">
        <v>224</v>
      </c>
      <c r="I96" s="62">
        <v>21.371698852626768</v>
      </c>
      <c r="J96" s="62">
        <v>21.980840826457076</v>
      </c>
      <c r="K96" s="62">
        <v>22.507478609218175</v>
      </c>
      <c r="L96" s="62">
        <v>23.124643486969585</v>
      </c>
      <c r="M96" s="62">
        <v>23.750669482484597</v>
      </c>
      <c r="N96" s="62">
        <v>24.387113278613572</v>
      </c>
      <c r="O96" s="62">
        <v>25.0342143650258</v>
      </c>
      <c r="P96" s="62">
        <v>25.581927238684113</v>
      </c>
      <c r="Q96" s="62">
        <v>26.246391326119614</v>
      </c>
      <c r="R96" s="62">
        <v>26.923428621192659</v>
      </c>
      <c r="S96" s="62">
        <v>27.270209662319566</v>
      </c>
      <c r="T96" s="62">
        <v>28.32336548300712</v>
      </c>
      <c r="U96" s="62">
        <v>28.914066752302364</v>
      </c>
      <c r="V96" s="62">
        <v>29.661035030807081</v>
      </c>
      <c r="W96" s="62">
        <v>30.437460538634038</v>
      </c>
      <c r="X96" s="62">
        <v>31.24118786875966</v>
      </c>
      <c r="Y96" s="62">
        <v>32.079401711262548</v>
      </c>
      <c r="Z96" s="62">
        <v>32.777154862728878</v>
      </c>
      <c r="AA96" s="62">
        <v>33.402427934983848</v>
      </c>
      <c r="AB96" s="62">
        <v>34.056247319920821</v>
      </c>
      <c r="AC96" s="62">
        <v>34.730420728414565</v>
      </c>
      <c r="AD96" s="62">
        <v>35.426348892106923</v>
      </c>
      <c r="AE96" s="62">
        <v>36.145432542659869</v>
      </c>
      <c r="AF96" s="62">
        <v>36.889072412823211</v>
      </c>
      <c r="AG96" s="62">
        <v>37.658669233502756</v>
      </c>
      <c r="AH96" s="62">
        <v>38.455623738644292</v>
      </c>
      <c r="AI96" s="62">
        <v>39.281336658100379</v>
      </c>
      <c r="AJ96" s="62">
        <v>40.137208726519702</v>
      </c>
    </row>
    <row r="97" spans="1:36" x14ac:dyDescent="0.25">
      <c r="A97" s="58" t="s">
        <v>17</v>
      </c>
      <c r="B97" s="59" t="s">
        <v>18</v>
      </c>
      <c r="C97" s="60" t="s">
        <v>115</v>
      </c>
      <c r="D97" s="61" t="s">
        <v>30</v>
      </c>
      <c r="E97" s="50" t="s">
        <v>429</v>
      </c>
      <c r="F97" s="50">
        <v>2.0460440921198848E-4</v>
      </c>
      <c r="G97" s="50">
        <v>2.6670440443273604E-4</v>
      </c>
      <c r="H97" s="63" t="s">
        <v>428</v>
      </c>
      <c r="I97" s="62">
        <v>47.600601989941431</v>
      </c>
      <c r="J97" s="62">
        <v>48.95732729529076</v>
      </c>
      <c r="K97" s="62">
        <v>50.130293265985934</v>
      </c>
      <c r="L97" s="62">
        <v>51.504887766432255</v>
      </c>
      <c r="M97" s="62">
        <v>52.899218392806596</v>
      </c>
      <c r="N97" s="62">
        <v>54.316752302366588</v>
      </c>
      <c r="O97" s="62">
        <v>55.758022903921095</v>
      </c>
      <c r="P97" s="62">
        <v>56.977928849796427</v>
      </c>
      <c r="Q97" s="62">
        <v>58.45787158999368</v>
      </c>
      <c r="R97" s="62">
        <v>59.965818292656373</v>
      </c>
      <c r="S97" s="62">
        <v>60.738194247893574</v>
      </c>
      <c r="T97" s="62">
        <v>63.08385948487949</v>
      </c>
      <c r="U97" s="62">
        <v>64.399512311946168</v>
      </c>
      <c r="V97" s="62">
        <v>66.063214386797583</v>
      </c>
      <c r="W97" s="62">
        <v>67.792525745139443</v>
      </c>
      <c r="X97" s="62">
        <v>69.582645707691967</v>
      </c>
      <c r="Y97" s="62">
        <v>71.449576538721118</v>
      </c>
      <c r="Z97" s="62">
        <v>73.003663103350675</v>
      </c>
      <c r="AA97" s="62">
        <v>74.396316764282204</v>
      </c>
      <c r="AB97" s="62">
        <v>75.852550848914561</v>
      </c>
      <c r="AC97" s="62">
        <v>77.354118895105159</v>
      </c>
      <c r="AD97" s="62">
        <v>78.904140714238139</v>
      </c>
      <c r="AE97" s="62">
        <v>80.50573611774243</v>
      </c>
      <c r="AF97" s="62">
        <v>82.162024919469872</v>
      </c>
      <c r="AG97" s="62">
        <v>83.876126929165224</v>
      </c>
      <c r="AH97" s="62">
        <v>85.651161963344094</v>
      </c>
      <c r="AI97" s="62">
        <v>87.490249829405386</v>
      </c>
      <c r="AJ97" s="62">
        <v>89.396510345430244</v>
      </c>
    </row>
    <row r="98" spans="1:36" x14ac:dyDescent="0.25">
      <c r="A98" s="58" t="s">
        <v>17</v>
      </c>
      <c r="B98" s="59" t="s">
        <v>18</v>
      </c>
      <c r="C98" s="60" t="s">
        <v>115</v>
      </c>
      <c r="D98" s="61" t="s">
        <v>30</v>
      </c>
      <c r="E98" s="50" t="s">
        <v>165</v>
      </c>
      <c r="F98" s="50">
        <v>2.5888721165598545E-4</v>
      </c>
      <c r="G98" s="50">
        <v>3.3746271581284971E-4</v>
      </c>
      <c r="H98" s="63" t="s">
        <v>164</v>
      </c>
      <c r="I98" s="62">
        <v>60.22933313012998</v>
      </c>
      <c r="J98" s="62">
        <v>61.946005965469944</v>
      </c>
      <c r="K98" s="62">
        <v>63.430166989614854</v>
      </c>
      <c r="L98" s="62">
        <v>65.169449826914288</v>
      </c>
      <c r="M98" s="62">
        <v>66.933704905183859</v>
      </c>
      <c r="N98" s="62">
        <v>68.727319239729155</v>
      </c>
      <c r="O98" s="62">
        <v>70.550967755981802</v>
      </c>
      <c r="P98" s="62">
        <v>72.094522218109773</v>
      </c>
      <c r="Q98" s="62">
        <v>73.967102828155276</v>
      </c>
      <c r="R98" s="62">
        <v>75.875117023361128</v>
      </c>
      <c r="S98" s="62">
        <v>76.852409048355142</v>
      </c>
      <c r="T98" s="62">
        <v>79.820393633929157</v>
      </c>
      <c r="U98" s="62">
        <v>81.485097211033946</v>
      </c>
      <c r="V98" s="62">
        <v>83.590189632274502</v>
      </c>
      <c r="W98" s="62">
        <v>85.778297881605013</v>
      </c>
      <c r="X98" s="62">
        <v>88.043347630140858</v>
      </c>
      <c r="Y98" s="62">
        <v>90.405586640830805</v>
      </c>
      <c r="Z98" s="62">
        <v>92.371981885872287</v>
      </c>
      <c r="AA98" s="62">
        <v>94.134115089499943</v>
      </c>
      <c r="AB98" s="62">
        <v>95.976696992504145</v>
      </c>
      <c r="AC98" s="62">
        <v>97.876640234622869</v>
      </c>
      <c r="AD98" s="62">
        <v>99.837892332301323</v>
      </c>
      <c r="AE98" s="62">
        <v>101.86440080204144</v>
      </c>
      <c r="AF98" s="62">
        <v>103.96011316341087</v>
      </c>
      <c r="AG98" s="62">
        <v>106.1289769307805</v>
      </c>
      <c r="AH98" s="62">
        <v>108.37493962708845</v>
      </c>
      <c r="AI98" s="62">
        <v>110.70194876373745</v>
      </c>
      <c r="AJ98" s="62">
        <v>113.11395186564644</v>
      </c>
    </row>
    <row r="99" spans="1:36" x14ac:dyDescent="0.25">
      <c r="A99" s="58" t="s">
        <v>17</v>
      </c>
      <c r="B99" s="59" t="s">
        <v>18</v>
      </c>
      <c r="C99" s="60" t="s">
        <v>115</v>
      </c>
      <c r="D99" s="61" t="s">
        <v>30</v>
      </c>
      <c r="E99" s="50" t="s">
        <v>142</v>
      </c>
      <c r="F99" s="50">
        <v>1.4614600657999181E-4</v>
      </c>
      <c r="G99" s="50">
        <v>1.9050314602338291E-4</v>
      </c>
      <c r="H99" s="63" t="s">
        <v>141</v>
      </c>
      <c r="I99" s="62">
        <v>34.000429992815313</v>
      </c>
      <c r="J99" s="62">
        <v>34.969519496636259</v>
      </c>
      <c r="K99" s="62">
        <v>35.807352332847096</v>
      </c>
      <c r="L99" s="62">
        <v>36.789205547451616</v>
      </c>
      <c r="M99" s="62">
        <v>37.78515599486186</v>
      </c>
      <c r="N99" s="62">
        <v>38.797680215976136</v>
      </c>
      <c r="O99" s="62">
        <v>39.827159217086503</v>
      </c>
      <c r="P99" s="62">
        <v>40.698520606997455</v>
      </c>
      <c r="Q99" s="62">
        <v>41.755622564281204</v>
      </c>
      <c r="R99" s="62">
        <v>42.832727351897411</v>
      </c>
      <c r="S99" s="62">
        <v>43.384424462781134</v>
      </c>
      <c r="T99" s="62">
        <v>45.059899632056784</v>
      </c>
      <c r="U99" s="62">
        <v>45.999651651390131</v>
      </c>
      <c r="V99" s="62">
        <v>47.18801027628399</v>
      </c>
      <c r="W99" s="62">
        <v>48.423232675099605</v>
      </c>
      <c r="X99" s="62">
        <v>49.701889791208551</v>
      </c>
      <c r="Y99" s="62">
        <v>51.035411813372235</v>
      </c>
      <c r="Z99" s="62">
        <v>52.145473645250483</v>
      </c>
      <c r="AA99" s="62">
        <v>53.140226260201587</v>
      </c>
      <c r="AB99" s="62">
        <v>54.180393463510406</v>
      </c>
      <c r="AC99" s="62">
        <v>55.252942067932267</v>
      </c>
      <c r="AD99" s="62">
        <v>56.360100510170099</v>
      </c>
      <c r="AE99" s="62">
        <v>57.504097226958883</v>
      </c>
      <c r="AF99" s="62">
        <v>58.687160656764199</v>
      </c>
      <c r="AG99" s="62">
        <v>59.911519235118028</v>
      </c>
      <c r="AH99" s="62">
        <v>61.179401402388642</v>
      </c>
      <c r="AI99" s="62">
        <v>62.493035592432427</v>
      </c>
      <c r="AJ99" s="62">
        <v>63.854650246735901</v>
      </c>
    </row>
    <row r="100" spans="1:36" x14ac:dyDescent="0.25">
      <c r="A100" s="58" t="s">
        <v>17</v>
      </c>
      <c r="B100" s="59" t="s">
        <v>18</v>
      </c>
      <c r="C100" s="60" t="s">
        <v>115</v>
      </c>
      <c r="D100" s="61" t="s">
        <v>30</v>
      </c>
      <c r="E100" s="50" t="s">
        <v>361</v>
      </c>
      <c r="F100" s="50">
        <v>2.7433693235158459E-3</v>
      </c>
      <c r="G100" s="50">
        <v>3.5760161982103592E-3</v>
      </c>
      <c r="H100" s="63" t="s">
        <v>98</v>
      </c>
      <c r="I100" s="62">
        <v>638.23664300799032</v>
      </c>
      <c r="J100" s="62">
        <v>656.42783740828634</v>
      </c>
      <c r="K100" s="62">
        <v>672.15515664801558</v>
      </c>
      <c r="L100" s="62">
        <v>690.58594413359174</v>
      </c>
      <c r="M100" s="62">
        <v>709.28135681783544</v>
      </c>
      <c r="N100" s="62">
        <v>728.28788291132355</v>
      </c>
      <c r="O100" s="62">
        <v>747.61267444645227</v>
      </c>
      <c r="P100" s="62">
        <v>763.96937253706653</v>
      </c>
      <c r="Q100" s="62">
        <v>783.81268642093573</v>
      </c>
      <c r="R100" s="62">
        <v>804.03148200561714</v>
      </c>
      <c r="S100" s="62">
        <v>814.38762491563432</v>
      </c>
      <c r="T100" s="62">
        <v>845.83868737889441</v>
      </c>
      <c r="U100" s="62">
        <v>863.47917528466621</v>
      </c>
      <c r="V100" s="62">
        <v>885.78636432910241</v>
      </c>
      <c r="W100" s="62">
        <v>908.97325335829839</v>
      </c>
      <c r="X100" s="62">
        <v>932.97547408068624</v>
      </c>
      <c r="Y100" s="62">
        <v>958.00758746815882</v>
      </c>
      <c r="Z100" s="62">
        <v>978.84503385513051</v>
      </c>
      <c r="AA100" s="62">
        <v>997.51796151292683</v>
      </c>
      <c r="AB100" s="62">
        <v>1017.043385872181</v>
      </c>
      <c r="AC100" s="62">
        <v>1037.1766553894715</v>
      </c>
      <c r="AD100" s="62">
        <v>1057.959601005193</v>
      </c>
      <c r="AE100" s="62">
        <v>1079.4340536603424</v>
      </c>
      <c r="AF100" s="62">
        <v>1101.6418443284024</v>
      </c>
      <c r="AG100" s="62">
        <v>1124.6248039277871</v>
      </c>
      <c r="AH100" s="62">
        <v>1148.4247634676954</v>
      </c>
      <c r="AI100" s="62">
        <v>1173.0835538350887</v>
      </c>
      <c r="AJ100" s="62">
        <v>1198.6430060601567</v>
      </c>
    </row>
    <row r="101" spans="1:36" x14ac:dyDescent="0.25">
      <c r="A101" s="58" t="s">
        <v>17</v>
      </c>
      <c r="B101" s="59" t="s">
        <v>18</v>
      </c>
      <c r="C101" s="60" t="s">
        <v>115</v>
      </c>
      <c r="D101" s="61" t="s">
        <v>30</v>
      </c>
      <c r="E101" s="50" t="s">
        <v>126</v>
      </c>
      <c r="F101" s="50">
        <v>4.1756001879997651E-6</v>
      </c>
      <c r="G101" s="50">
        <v>5.4429470292395115E-6</v>
      </c>
      <c r="H101" s="63" t="s">
        <v>125</v>
      </c>
      <c r="I101" s="62">
        <v>0.97144085693758031</v>
      </c>
      <c r="J101" s="62">
        <v>0.99912912847532165</v>
      </c>
      <c r="K101" s="62">
        <v>1.0230672095099171</v>
      </c>
      <c r="L101" s="62">
        <v>1.0511201584986176</v>
      </c>
      <c r="M101" s="62">
        <v>1.0795758855674817</v>
      </c>
      <c r="N101" s="62">
        <v>1.1085051490278897</v>
      </c>
      <c r="O101" s="62">
        <v>1.1379188347739</v>
      </c>
      <c r="P101" s="62">
        <v>1.1628148744856415</v>
      </c>
      <c r="Q101" s="62">
        <v>1.1930177875508916</v>
      </c>
      <c r="R101" s="62">
        <v>1.2237922100542118</v>
      </c>
      <c r="S101" s="62">
        <v>1.2395549846508893</v>
      </c>
      <c r="T101" s="62">
        <v>1.287425703773051</v>
      </c>
      <c r="U101" s="62">
        <v>1.3142757614682894</v>
      </c>
      <c r="V101" s="62">
        <v>1.3482288650366854</v>
      </c>
      <c r="W101" s="62">
        <v>1.3835209335742744</v>
      </c>
      <c r="X101" s="62">
        <v>1.42005399403453</v>
      </c>
      <c r="Y101" s="62">
        <v>1.4581546232392066</v>
      </c>
      <c r="Z101" s="62">
        <v>1.4898706755785853</v>
      </c>
      <c r="AA101" s="62">
        <v>1.5182921788629025</v>
      </c>
      <c r="AB101" s="62">
        <v>1.5480112418145828</v>
      </c>
      <c r="AC101" s="62">
        <v>1.5786554876552077</v>
      </c>
      <c r="AD101" s="62">
        <v>1.6102885860048599</v>
      </c>
      <c r="AE101" s="62">
        <v>1.6429742064845394</v>
      </c>
      <c r="AF101" s="62">
        <v>1.6767760187646914</v>
      </c>
      <c r="AG101" s="62">
        <v>1.7117576924319435</v>
      </c>
      <c r="AH101" s="62">
        <v>1.747982897211104</v>
      </c>
      <c r="AI101" s="62">
        <v>1.7855153026409265</v>
      </c>
      <c r="AJ101" s="62">
        <v>1.8244185784781684</v>
      </c>
    </row>
    <row r="102" spans="1:36" x14ac:dyDescent="0.25">
      <c r="A102" s="58" t="s">
        <v>17</v>
      </c>
      <c r="B102" s="59" t="s">
        <v>18</v>
      </c>
      <c r="C102" s="60" t="s">
        <v>115</v>
      </c>
      <c r="D102" s="61" t="s">
        <v>30</v>
      </c>
      <c r="E102" s="50" t="s">
        <v>373</v>
      </c>
      <c r="F102" s="50">
        <v>4.3843801973997537E-4</v>
      </c>
      <c r="G102" s="50">
        <v>5.7150943807014873E-4</v>
      </c>
      <c r="H102" s="63" t="s">
        <v>372</v>
      </c>
      <c r="I102" s="62">
        <v>102.00128997844594</v>
      </c>
      <c r="J102" s="62">
        <v>104.90855848990878</v>
      </c>
      <c r="K102" s="62">
        <v>107.42205699854129</v>
      </c>
      <c r="L102" s="62">
        <v>110.36761664235485</v>
      </c>
      <c r="M102" s="62">
        <v>113.35546798458557</v>
      </c>
      <c r="N102" s="62">
        <v>116.39304064792842</v>
      </c>
      <c r="O102" s="62">
        <v>119.4814776512595</v>
      </c>
      <c r="P102" s="62">
        <v>122.09556182099236</v>
      </c>
      <c r="Q102" s="62">
        <v>125.26686769284362</v>
      </c>
      <c r="R102" s="62">
        <v>128.49818205569224</v>
      </c>
      <c r="S102" s="62">
        <v>130.15327338834339</v>
      </c>
      <c r="T102" s="62">
        <v>135.17969889617035</v>
      </c>
      <c r="U102" s="62">
        <v>137.99895495417039</v>
      </c>
      <c r="V102" s="62">
        <v>141.56403082885197</v>
      </c>
      <c r="W102" s="62">
        <v>145.26969802529882</v>
      </c>
      <c r="X102" s="62">
        <v>149.10566937362566</v>
      </c>
      <c r="Y102" s="62">
        <v>153.10623544011671</v>
      </c>
      <c r="Z102" s="62">
        <v>156.43642093575147</v>
      </c>
      <c r="AA102" s="62">
        <v>159.42067878060476</v>
      </c>
      <c r="AB102" s="62">
        <v>162.5411803905312</v>
      </c>
      <c r="AC102" s="62">
        <v>165.75882620379681</v>
      </c>
      <c r="AD102" s="62">
        <v>169.0803015305103</v>
      </c>
      <c r="AE102" s="62">
        <v>172.51229168087664</v>
      </c>
      <c r="AF102" s="62">
        <v>176.06148197029259</v>
      </c>
      <c r="AG102" s="62">
        <v>179.73455770535409</v>
      </c>
      <c r="AH102" s="62">
        <v>183.53820420716593</v>
      </c>
      <c r="AI102" s="62">
        <v>187.47910677729729</v>
      </c>
      <c r="AJ102" s="62">
        <v>191.5639507402077</v>
      </c>
    </row>
    <row r="103" spans="1:36" x14ac:dyDescent="0.25">
      <c r="A103" s="58" t="s">
        <v>17</v>
      </c>
      <c r="B103" s="59" t="s">
        <v>18</v>
      </c>
      <c r="C103" s="60" t="s">
        <v>115</v>
      </c>
      <c r="D103" s="61" t="s">
        <v>30</v>
      </c>
      <c r="E103" s="50" t="s">
        <v>520</v>
      </c>
      <c r="F103" s="50">
        <v>6.2634002819996471E-5</v>
      </c>
      <c r="G103" s="50">
        <v>8.1644205438592671E-5</v>
      </c>
      <c r="H103" s="63" t="s">
        <v>519</v>
      </c>
      <c r="I103" s="62">
        <v>14.571612854063703</v>
      </c>
      <c r="J103" s="62">
        <v>14.986936927129825</v>
      </c>
      <c r="K103" s="62">
        <v>15.346008142648756</v>
      </c>
      <c r="L103" s="62">
        <v>15.766802377479262</v>
      </c>
      <c r="M103" s="62">
        <v>16.193638283512225</v>
      </c>
      <c r="N103" s="62">
        <v>16.627577235418343</v>
      </c>
      <c r="O103" s="62">
        <v>17.068782521608501</v>
      </c>
      <c r="P103" s="62">
        <v>17.442223117284623</v>
      </c>
      <c r="Q103" s="62">
        <v>17.895266813263373</v>
      </c>
      <c r="R103" s="62">
        <v>18.356883150813175</v>
      </c>
      <c r="S103" s="62">
        <v>18.593324769763342</v>
      </c>
      <c r="T103" s="62">
        <v>19.311385556595763</v>
      </c>
      <c r="U103" s="62">
        <v>19.714136422024342</v>
      </c>
      <c r="V103" s="62">
        <v>20.223432975550281</v>
      </c>
      <c r="W103" s="62">
        <v>20.752814003614116</v>
      </c>
      <c r="X103" s="62">
        <v>21.300809910517952</v>
      </c>
      <c r="Y103" s="62">
        <v>21.8723193485881</v>
      </c>
      <c r="Z103" s="62">
        <v>22.348060133678779</v>
      </c>
      <c r="AA103" s="62">
        <v>22.774382682943536</v>
      </c>
      <c r="AB103" s="62">
        <v>23.220168627218744</v>
      </c>
      <c r="AC103" s="62">
        <v>23.679832314828115</v>
      </c>
      <c r="AD103" s="62">
        <v>24.154328790072899</v>
      </c>
      <c r="AE103" s="62">
        <v>24.644613097268092</v>
      </c>
      <c r="AF103" s="62">
        <v>25.151640281470371</v>
      </c>
      <c r="AG103" s="62">
        <v>25.676365386479151</v>
      </c>
      <c r="AH103" s="62">
        <v>26.219743458166562</v>
      </c>
      <c r="AI103" s="62">
        <v>26.782729539613896</v>
      </c>
      <c r="AJ103" s="62">
        <v>27.366278677172527</v>
      </c>
    </row>
    <row r="104" spans="1:36" x14ac:dyDescent="0.25">
      <c r="A104" s="58" t="s">
        <v>17</v>
      </c>
      <c r="B104" s="59" t="s">
        <v>18</v>
      </c>
      <c r="C104" s="60" t="s">
        <v>115</v>
      </c>
      <c r="D104" s="61" t="s">
        <v>30</v>
      </c>
      <c r="E104" s="50" t="s">
        <v>177</v>
      </c>
      <c r="F104" s="50">
        <v>1.9625320883598897E-4</v>
      </c>
      <c r="G104" s="50">
        <v>2.5581851037425701E-4</v>
      </c>
      <c r="H104" s="63" t="s">
        <v>45</v>
      </c>
      <c r="I104" s="62">
        <v>45.657720276066271</v>
      </c>
      <c r="J104" s="62">
        <v>46.959069038340111</v>
      </c>
      <c r="K104" s="62">
        <v>48.084158846966098</v>
      </c>
      <c r="L104" s="62">
        <v>49.402647449435015</v>
      </c>
      <c r="M104" s="62">
        <v>50.74006662167163</v>
      </c>
      <c r="N104" s="62">
        <v>52.099742004310812</v>
      </c>
      <c r="O104" s="62">
        <v>53.482185234373297</v>
      </c>
      <c r="P104" s="62">
        <v>54.652299100825147</v>
      </c>
      <c r="Q104" s="62">
        <v>56.0718360148919</v>
      </c>
      <c r="R104" s="62">
        <v>57.518233872547945</v>
      </c>
      <c r="S104" s="62">
        <v>58.259084278591793</v>
      </c>
      <c r="T104" s="62">
        <v>60.509008077333384</v>
      </c>
      <c r="U104" s="62">
        <v>61.770960789009592</v>
      </c>
      <c r="V104" s="62">
        <v>63.366756656724213</v>
      </c>
      <c r="W104" s="62">
        <v>65.025483877990894</v>
      </c>
      <c r="X104" s="62">
        <v>66.742537719622902</v>
      </c>
      <c r="Y104" s="62">
        <v>68.533267292242712</v>
      </c>
      <c r="Z104" s="62">
        <v>70.023921752193502</v>
      </c>
      <c r="AA104" s="62">
        <v>71.359732406556404</v>
      </c>
      <c r="AB104" s="62">
        <v>72.756528365285391</v>
      </c>
      <c r="AC104" s="62">
        <v>74.19680791979475</v>
      </c>
      <c r="AD104" s="62">
        <v>75.683563542228413</v>
      </c>
      <c r="AE104" s="62">
        <v>77.219787704773353</v>
      </c>
      <c r="AF104" s="62">
        <v>78.808472881940489</v>
      </c>
      <c r="AG104" s="62">
        <v>80.452611544301334</v>
      </c>
      <c r="AH104" s="62">
        <v>82.15519616892189</v>
      </c>
      <c r="AI104" s="62">
        <v>83.919219224123538</v>
      </c>
      <c r="AJ104" s="62">
        <v>85.747673188473911</v>
      </c>
    </row>
    <row r="105" spans="1:36" x14ac:dyDescent="0.25">
      <c r="A105" s="58" t="s">
        <v>17</v>
      </c>
      <c r="B105" s="59" t="s">
        <v>18</v>
      </c>
      <c r="C105" s="60" t="s">
        <v>115</v>
      </c>
      <c r="D105" s="61" t="s">
        <v>30</v>
      </c>
      <c r="E105" s="50" t="s">
        <v>369</v>
      </c>
      <c r="F105" s="50">
        <v>3.5075041579198026E-4</v>
      </c>
      <c r="G105" s="50">
        <v>4.5720755045611895E-4</v>
      </c>
      <c r="H105" s="63" t="s">
        <v>368</v>
      </c>
      <c r="I105" s="62">
        <v>81.601031982756737</v>
      </c>
      <c r="J105" s="62">
        <v>83.926846791927019</v>
      </c>
      <c r="K105" s="62">
        <v>85.937645598833029</v>
      </c>
      <c r="L105" s="62">
        <v>88.294093313883863</v>
      </c>
      <c r="M105" s="62">
        <v>90.684374387668456</v>
      </c>
      <c r="N105" s="62">
        <v>93.114432518342724</v>
      </c>
      <c r="O105" s="62">
        <v>95.585182121007591</v>
      </c>
      <c r="P105" s="62">
        <v>97.67644945679389</v>
      </c>
      <c r="Q105" s="62">
        <v>100.21349415427488</v>
      </c>
      <c r="R105" s="62">
        <v>102.79854564455378</v>
      </c>
      <c r="S105" s="62">
        <v>104.1226187106747</v>
      </c>
      <c r="T105" s="62">
        <v>108.14375911693627</v>
      </c>
      <c r="U105" s="62">
        <v>110.39916396333631</v>
      </c>
      <c r="V105" s="62">
        <v>113.25122466308157</v>
      </c>
      <c r="W105" s="62">
        <v>116.21575842023906</v>
      </c>
      <c r="X105" s="62">
        <v>119.28453549890052</v>
      </c>
      <c r="Y105" s="62">
        <v>122.48498835209335</v>
      </c>
      <c r="Z105" s="62">
        <v>125.14913674860117</v>
      </c>
      <c r="AA105" s="62">
        <v>127.53654302448379</v>
      </c>
      <c r="AB105" s="62">
        <v>130.03294431242495</v>
      </c>
      <c r="AC105" s="62">
        <v>132.60706096303744</v>
      </c>
      <c r="AD105" s="62">
        <v>135.26424122440824</v>
      </c>
      <c r="AE105" s="62">
        <v>138.00983334470132</v>
      </c>
      <c r="AF105" s="62">
        <v>140.84918557623408</v>
      </c>
      <c r="AG105" s="62">
        <v>143.78764616428325</v>
      </c>
      <c r="AH105" s="62">
        <v>146.83056336573273</v>
      </c>
      <c r="AI105" s="62">
        <v>149.98328542183782</v>
      </c>
      <c r="AJ105" s="62">
        <v>153.25116059216614</v>
      </c>
    </row>
    <row r="106" spans="1:36" x14ac:dyDescent="0.25">
      <c r="A106" s="58" t="s">
        <v>17</v>
      </c>
      <c r="B106" s="59" t="s">
        <v>18</v>
      </c>
      <c r="C106" s="60" t="s">
        <v>115</v>
      </c>
      <c r="D106" s="61" t="s">
        <v>30</v>
      </c>
      <c r="E106" s="50" t="s">
        <v>390</v>
      </c>
      <c r="F106" s="50">
        <v>1.7955080808398991E-4</v>
      </c>
      <c r="G106" s="50">
        <v>2.3404672225729899E-4</v>
      </c>
      <c r="H106" s="63" t="s">
        <v>389</v>
      </c>
      <c r="I106" s="62">
        <v>41.771956848315952</v>
      </c>
      <c r="J106" s="62">
        <v>42.962552524438834</v>
      </c>
      <c r="K106" s="62">
        <v>43.991890008926433</v>
      </c>
      <c r="L106" s="62">
        <v>45.198166815440551</v>
      </c>
      <c r="M106" s="62">
        <v>46.421763079401707</v>
      </c>
      <c r="N106" s="62">
        <v>47.665721408199254</v>
      </c>
      <c r="O106" s="62">
        <v>48.930509895277702</v>
      </c>
      <c r="P106" s="62">
        <v>50.001039602882585</v>
      </c>
      <c r="Q106" s="62">
        <v>51.299764864688335</v>
      </c>
      <c r="R106" s="62">
        <v>52.623065032331105</v>
      </c>
      <c r="S106" s="62">
        <v>53.300864339988244</v>
      </c>
      <c r="T106" s="62">
        <v>55.359305262241186</v>
      </c>
      <c r="U106" s="62">
        <v>56.513857743136441</v>
      </c>
      <c r="V106" s="62">
        <v>57.973841196577474</v>
      </c>
      <c r="W106" s="62">
        <v>59.491400143693802</v>
      </c>
      <c r="X106" s="62">
        <v>61.062321743484794</v>
      </c>
      <c r="Y106" s="62">
        <v>62.700648799285887</v>
      </c>
      <c r="Z106" s="62">
        <v>64.064439049879169</v>
      </c>
      <c r="AA106" s="62">
        <v>65.286563691104803</v>
      </c>
      <c r="AB106" s="62">
        <v>66.564483398027065</v>
      </c>
      <c r="AC106" s="62">
        <v>67.882185969173932</v>
      </c>
      <c r="AD106" s="62">
        <v>69.242409198208975</v>
      </c>
      <c r="AE106" s="62">
        <v>70.647890878835199</v>
      </c>
      <c r="AF106" s="62">
        <v>72.101368806881723</v>
      </c>
      <c r="AG106" s="62">
        <v>73.605580774573568</v>
      </c>
      <c r="AH106" s="62">
        <v>75.163264580077467</v>
      </c>
      <c r="AI106" s="62">
        <v>76.777158013559841</v>
      </c>
      <c r="AJ106" s="62">
        <v>78.449998874561246</v>
      </c>
    </row>
    <row r="107" spans="1:36" x14ac:dyDescent="0.25">
      <c r="A107" s="58" t="s">
        <v>17</v>
      </c>
      <c r="B107" s="59" t="s">
        <v>18</v>
      </c>
      <c r="C107" s="60" t="s">
        <v>115</v>
      </c>
      <c r="D107" s="61" t="s">
        <v>30</v>
      </c>
      <c r="E107" s="50" t="s">
        <v>496</v>
      </c>
      <c r="F107" s="50">
        <v>1.4614600657999181E-4</v>
      </c>
      <c r="G107" s="50">
        <v>1.9050314602338291E-4</v>
      </c>
      <c r="H107" s="63" t="s">
        <v>495</v>
      </c>
      <c r="I107" s="62">
        <v>34.000429992815313</v>
      </c>
      <c r="J107" s="62">
        <v>34.969519496636259</v>
      </c>
      <c r="K107" s="62">
        <v>35.807352332847096</v>
      </c>
      <c r="L107" s="62">
        <v>36.789205547451616</v>
      </c>
      <c r="M107" s="62">
        <v>37.78515599486186</v>
      </c>
      <c r="N107" s="62">
        <v>38.797680215976136</v>
      </c>
      <c r="O107" s="62">
        <v>39.827159217086503</v>
      </c>
      <c r="P107" s="62">
        <v>40.698520606997455</v>
      </c>
      <c r="Q107" s="62">
        <v>41.755622564281204</v>
      </c>
      <c r="R107" s="62">
        <v>42.832727351897411</v>
      </c>
      <c r="S107" s="62">
        <v>43.384424462781134</v>
      </c>
      <c r="T107" s="62">
        <v>45.059899632056784</v>
      </c>
      <c r="U107" s="62">
        <v>45.999651651390131</v>
      </c>
      <c r="V107" s="62">
        <v>47.18801027628399</v>
      </c>
      <c r="W107" s="62">
        <v>48.423232675099605</v>
      </c>
      <c r="X107" s="62">
        <v>49.701889791208551</v>
      </c>
      <c r="Y107" s="62">
        <v>51.035411813372235</v>
      </c>
      <c r="Z107" s="62">
        <v>52.145473645250483</v>
      </c>
      <c r="AA107" s="62">
        <v>53.140226260201587</v>
      </c>
      <c r="AB107" s="62">
        <v>54.180393463510406</v>
      </c>
      <c r="AC107" s="62">
        <v>55.252942067932267</v>
      </c>
      <c r="AD107" s="62">
        <v>56.360100510170099</v>
      </c>
      <c r="AE107" s="62">
        <v>57.504097226958883</v>
      </c>
      <c r="AF107" s="62">
        <v>58.687160656764199</v>
      </c>
      <c r="AG107" s="62">
        <v>59.911519235118028</v>
      </c>
      <c r="AH107" s="62">
        <v>61.179401402388642</v>
      </c>
      <c r="AI107" s="62">
        <v>62.493035592432427</v>
      </c>
      <c r="AJ107" s="62">
        <v>63.854650246735901</v>
      </c>
    </row>
    <row r="108" spans="1:36" x14ac:dyDescent="0.25">
      <c r="A108" s="58" t="s">
        <v>17</v>
      </c>
      <c r="B108" s="59" t="s">
        <v>18</v>
      </c>
      <c r="C108" s="60" t="s">
        <v>115</v>
      </c>
      <c r="D108" s="61" t="s">
        <v>30</v>
      </c>
      <c r="E108" s="50" t="s">
        <v>147</v>
      </c>
      <c r="F108" s="50">
        <v>4.1756001879997651E-6</v>
      </c>
      <c r="G108" s="50">
        <v>5.4429470292395115E-6</v>
      </c>
      <c r="H108" s="63" t="s">
        <v>80</v>
      </c>
      <c r="I108" s="62">
        <v>0.97144085693758031</v>
      </c>
      <c r="J108" s="62">
        <v>0.99912912847532165</v>
      </c>
      <c r="K108" s="62">
        <v>1.0230672095099171</v>
      </c>
      <c r="L108" s="62">
        <v>1.0511201584986176</v>
      </c>
      <c r="M108" s="62">
        <v>1.0795758855674817</v>
      </c>
      <c r="N108" s="62">
        <v>1.1085051490278897</v>
      </c>
      <c r="O108" s="62">
        <v>1.1379188347739</v>
      </c>
      <c r="P108" s="62">
        <v>1.1628148744856415</v>
      </c>
      <c r="Q108" s="62">
        <v>1.1930177875508916</v>
      </c>
      <c r="R108" s="62">
        <v>1.2237922100542118</v>
      </c>
      <c r="S108" s="62">
        <v>1.2395549846508893</v>
      </c>
      <c r="T108" s="62">
        <v>1.287425703773051</v>
      </c>
      <c r="U108" s="62">
        <v>1.3142757614682894</v>
      </c>
      <c r="V108" s="62">
        <v>1.3482288650366854</v>
      </c>
      <c r="W108" s="62">
        <v>1.3835209335742744</v>
      </c>
      <c r="X108" s="62">
        <v>1.42005399403453</v>
      </c>
      <c r="Y108" s="62">
        <v>1.4581546232392066</v>
      </c>
      <c r="Z108" s="62">
        <v>1.4898706755785853</v>
      </c>
      <c r="AA108" s="62">
        <v>1.5182921788629025</v>
      </c>
      <c r="AB108" s="62">
        <v>1.5480112418145828</v>
      </c>
      <c r="AC108" s="62">
        <v>1.5786554876552077</v>
      </c>
      <c r="AD108" s="62">
        <v>1.6102885860048599</v>
      </c>
      <c r="AE108" s="62">
        <v>1.6429742064845394</v>
      </c>
      <c r="AF108" s="62">
        <v>1.6767760187646914</v>
      </c>
      <c r="AG108" s="62">
        <v>1.7117576924319435</v>
      </c>
      <c r="AH108" s="62">
        <v>1.747982897211104</v>
      </c>
      <c r="AI108" s="62">
        <v>1.7855153026409265</v>
      </c>
      <c r="AJ108" s="62">
        <v>1.8244185784781684</v>
      </c>
    </row>
    <row r="109" spans="1:36" x14ac:dyDescent="0.25">
      <c r="A109" s="58" t="s">
        <v>17</v>
      </c>
      <c r="B109" s="59" t="s">
        <v>18</v>
      </c>
      <c r="C109" s="60" t="s">
        <v>115</v>
      </c>
      <c r="D109" s="61" t="s">
        <v>30</v>
      </c>
      <c r="E109" s="50" t="s">
        <v>306</v>
      </c>
      <c r="F109" s="50">
        <v>4.0920881842397696E-4</v>
      </c>
      <c r="G109" s="50">
        <v>5.3340880886547208E-4</v>
      </c>
      <c r="H109" s="63" t="s">
        <v>305</v>
      </c>
      <c r="I109" s="62">
        <v>95.201203979882862</v>
      </c>
      <c r="J109" s="62">
        <v>97.91465459058152</v>
      </c>
      <c r="K109" s="62">
        <v>100.26058653197187</v>
      </c>
      <c r="L109" s="62">
        <v>103.00977553286451</v>
      </c>
      <c r="M109" s="62">
        <v>105.79843678561319</v>
      </c>
      <c r="N109" s="62">
        <v>108.63350460473318</v>
      </c>
      <c r="O109" s="62">
        <v>111.51604580784219</v>
      </c>
      <c r="P109" s="62">
        <v>113.95585769959285</v>
      </c>
      <c r="Q109" s="62">
        <v>116.91574317998736</v>
      </c>
      <c r="R109" s="62">
        <v>119.93163658531275</v>
      </c>
      <c r="S109" s="62">
        <v>121.47638849578715</v>
      </c>
      <c r="T109" s="62">
        <v>126.16771896975898</v>
      </c>
      <c r="U109" s="62">
        <v>128.79902462389234</v>
      </c>
      <c r="V109" s="62">
        <v>132.12642877359517</v>
      </c>
      <c r="W109" s="62">
        <v>135.58505149027889</v>
      </c>
      <c r="X109" s="62">
        <v>139.16529141538393</v>
      </c>
      <c r="Y109" s="62">
        <v>142.89915307744224</v>
      </c>
      <c r="Z109" s="62">
        <v>146.00732620670135</v>
      </c>
      <c r="AA109" s="62">
        <v>148.79263352856441</v>
      </c>
      <c r="AB109" s="62">
        <v>151.70510169782912</v>
      </c>
      <c r="AC109" s="62">
        <v>154.70823779021032</v>
      </c>
      <c r="AD109" s="62">
        <v>157.80828142847628</v>
      </c>
      <c r="AE109" s="62">
        <v>161.01147223548486</v>
      </c>
      <c r="AF109" s="62">
        <v>164.32404983893974</v>
      </c>
      <c r="AG109" s="62">
        <v>167.75225385833045</v>
      </c>
      <c r="AH109" s="62">
        <v>171.30232392668819</v>
      </c>
      <c r="AI109" s="62">
        <v>174.98049965881077</v>
      </c>
      <c r="AJ109" s="62">
        <v>178.79302069086049</v>
      </c>
    </row>
    <row r="110" spans="1:36" x14ac:dyDescent="0.25">
      <c r="A110" s="58" t="s">
        <v>17</v>
      </c>
      <c r="B110" s="59" t="s">
        <v>18</v>
      </c>
      <c r="C110" s="60" t="s">
        <v>115</v>
      </c>
      <c r="D110" s="61" t="s">
        <v>30</v>
      </c>
      <c r="E110" s="50" t="s">
        <v>210</v>
      </c>
      <c r="F110" s="50">
        <v>1.3992436229987214E-2</v>
      </c>
      <c r="G110" s="50">
        <v>1.8239315494981603E-2</v>
      </c>
      <c r="H110" s="63" t="s">
        <v>46</v>
      </c>
      <c r="I110" s="62">
        <v>3255.2983115978318</v>
      </c>
      <c r="J110" s="62">
        <v>3348.0817095208031</v>
      </c>
      <c r="K110" s="62">
        <v>3428.2982190677321</v>
      </c>
      <c r="L110" s="62">
        <v>3522.3036511288674</v>
      </c>
      <c r="M110" s="62">
        <v>3617.6587925366312</v>
      </c>
      <c r="N110" s="62">
        <v>3714.6007543924584</v>
      </c>
      <c r="O110" s="62">
        <v>3813.1660153273388</v>
      </c>
      <c r="P110" s="62">
        <v>3896.5926444013849</v>
      </c>
      <c r="Q110" s="62">
        <v>3997.8026060830375</v>
      </c>
      <c r="R110" s="62">
        <v>4100.9276958916635</v>
      </c>
      <c r="S110" s="62">
        <v>4153.7487535651308</v>
      </c>
      <c r="T110" s="62">
        <v>4314.1635333434933</v>
      </c>
      <c r="U110" s="62">
        <v>4404.1380766802376</v>
      </c>
      <c r="V110" s="62">
        <v>4517.9149267379335</v>
      </c>
      <c r="W110" s="62">
        <v>4636.1786484073937</v>
      </c>
      <c r="X110" s="62">
        <v>4758.6009340097107</v>
      </c>
      <c r="Y110" s="62">
        <v>4886.2761424745813</v>
      </c>
      <c r="Z110" s="62">
        <v>4992.5566338638391</v>
      </c>
      <c r="AA110" s="62">
        <v>5087.7970913695863</v>
      </c>
      <c r="AB110" s="62">
        <v>5187.3856713206669</v>
      </c>
      <c r="AC110" s="62">
        <v>5290.0745391326009</v>
      </c>
      <c r="AD110" s="62">
        <v>5396.0770517022856</v>
      </c>
      <c r="AE110" s="62">
        <v>5505.6065659296919</v>
      </c>
      <c r="AF110" s="62">
        <v>5618.8764388804811</v>
      </c>
      <c r="AG110" s="62">
        <v>5736.1000273394429</v>
      </c>
      <c r="AH110" s="62">
        <v>5857.4906885544096</v>
      </c>
      <c r="AI110" s="62">
        <v>5983.2617791497451</v>
      </c>
      <c r="AJ110" s="62">
        <v>6113.6266564803427</v>
      </c>
    </row>
    <row r="111" spans="1:36" x14ac:dyDescent="0.25">
      <c r="A111" s="58" t="s">
        <v>17</v>
      </c>
      <c r="B111" s="59" t="s">
        <v>18</v>
      </c>
      <c r="C111" s="60" t="s">
        <v>115</v>
      </c>
      <c r="D111" s="61" t="s">
        <v>30</v>
      </c>
      <c r="E111" s="50" t="s">
        <v>383</v>
      </c>
      <c r="F111" s="50">
        <v>1.9625320883598897E-4</v>
      </c>
      <c r="G111" s="50">
        <v>2.5581851037425701E-4</v>
      </c>
      <c r="H111" s="63" t="s">
        <v>76</v>
      </c>
      <c r="I111" s="62">
        <v>45.657720276066271</v>
      </c>
      <c r="J111" s="62">
        <v>46.959069038340111</v>
      </c>
      <c r="K111" s="62">
        <v>48.084158846966098</v>
      </c>
      <c r="L111" s="62">
        <v>49.402647449435015</v>
      </c>
      <c r="M111" s="62">
        <v>50.74006662167163</v>
      </c>
      <c r="N111" s="62">
        <v>52.099742004310812</v>
      </c>
      <c r="O111" s="62">
        <v>53.482185234373297</v>
      </c>
      <c r="P111" s="62">
        <v>54.652299100825147</v>
      </c>
      <c r="Q111" s="62">
        <v>56.0718360148919</v>
      </c>
      <c r="R111" s="62">
        <v>57.518233872547945</v>
      </c>
      <c r="S111" s="62">
        <v>58.259084278591793</v>
      </c>
      <c r="T111" s="62">
        <v>60.509008077333384</v>
      </c>
      <c r="U111" s="62">
        <v>61.770960789009592</v>
      </c>
      <c r="V111" s="62">
        <v>63.366756656724213</v>
      </c>
      <c r="W111" s="62">
        <v>65.025483877990894</v>
      </c>
      <c r="X111" s="62">
        <v>66.742537719622902</v>
      </c>
      <c r="Y111" s="62">
        <v>68.533267292242712</v>
      </c>
      <c r="Z111" s="62">
        <v>70.023921752193502</v>
      </c>
      <c r="AA111" s="62">
        <v>71.359732406556404</v>
      </c>
      <c r="AB111" s="62">
        <v>72.756528365285391</v>
      </c>
      <c r="AC111" s="62">
        <v>74.19680791979475</v>
      </c>
      <c r="AD111" s="62">
        <v>75.683563542228413</v>
      </c>
      <c r="AE111" s="62">
        <v>77.219787704773353</v>
      </c>
      <c r="AF111" s="62">
        <v>78.808472881940489</v>
      </c>
      <c r="AG111" s="62">
        <v>80.452611544301334</v>
      </c>
      <c r="AH111" s="62">
        <v>82.15519616892189</v>
      </c>
      <c r="AI111" s="62">
        <v>83.919219224123538</v>
      </c>
      <c r="AJ111" s="62">
        <v>85.747673188473911</v>
      </c>
    </row>
    <row r="112" spans="1:36" x14ac:dyDescent="0.25">
      <c r="A112" s="58" t="s">
        <v>17</v>
      </c>
      <c r="B112" s="59" t="s">
        <v>18</v>
      </c>
      <c r="C112" s="60" t="s">
        <v>115</v>
      </c>
      <c r="D112" s="61" t="s">
        <v>30</v>
      </c>
      <c r="E112" s="50" t="s">
        <v>155</v>
      </c>
      <c r="F112" s="50">
        <v>2.3800921071598662E-4</v>
      </c>
      <c r="G112" s="50">
        <v>3.1024798066665214E-4</v>
      </c>
      <c r="H112" s="63" t="s">
        <v>154</v>
      </c>
      <c r="I112" s="62">
        <v>55.372128845442077</v>
      </c>
      <c r="J112" s="62">
        <v>56.950360323093335</v>
      </c>
      <c r="K112" s="62">
        <v>58.314830942065271</v>
      </c>
      <c r="L112" s="62">
        <v>59.913849034421197</v>
      </c>
      <c r="M112" s="62">
        <v>61.535825477346457</v>
      </c>
      <c r="N112" s="62">
        <v>63.184793494589712</v>
      </c>
      <c r="O112" s="62">
        <v>64.861373582112293</v>
      </c>
      <c r="P112" s="62">
        <v>66.280447845681564</v>
      </c>
      <c r="Q112" s="62">
        <v>68.002013890400818</v>
      </c>
      <c r="R112" s="62">
        <v>69.756155973090074</v>
      </c>
      <c r="S112" s="62">
        <v>70.654634125100699</v>
      </c>
      <c r="T112" s="62">
        <v>73.383265115063892</v>
      </c>
      <c r="U112" s="62">
        <v>74.913718403692499</v>
      </c>
      <c r="V112" s="62">
        <v>76.849045307091075</v>
      </c>
      <c r="W112" s="62">
        <v>78.86069321373364</v>
      </c>
      <c r="X112" s="62">
        <v>80.94307765996821</v>
      </c>
      <c r="Y112" s="62">
        <v>83.114813524634769</v>
      </c>
      <c r="Z112" s="62">
        <v>84.922628507979354</v>
      </c>
      <c r="AA112" s="62">
        <v>86.542654195185435</v>
      </c>
      <c r="AB112" s="62">
        <v>88.236640783431227</v>
      </c>
      <c r="AC112" s="62">
        <v>89.983362796346825</v>
      </c>
      <c r="AD112" s="62">
        <v>91.786449402277015</v>
      </c>
      <c r="AE112" s="62">
        <v>93.649529769618752</v>
      </c>
      <c r="AF112" s="62">
        <v>95.576233069587403</v>
      </c>
      <c r="AG112" s="62">
        <v>97.570188468620785</v>
      </c>
      <c r="AH112" s="62">
        <v>99.635025141032926</v>
      </c>
      <c r="AI112" s="62">
        <v>101.77437225053281</v>
      </c>
      <c r="AJ112" s="62">
        <v>103.9918589732556</v>
      </c>
    </row>
    <row r="113" spans="1:36" x14ac:dyDescent="0.25">
      <c r="A113" s="58" t="s">
        <v>17</v>
      </c>
      <c r="B113" s="59" t="s">
        <v>18</v>
      </c>
      <c r="C113" s="60" t="s">
        <v>115</v>
      </c>
      <c r="D113" s="61" t="s">
        <v>30</v>
      </c>
      <c r="E113" s="50" t="s">
        <v>406</v>
      </c>
      <c r="F113" s="50">
        <v>5.1359882312397109E-4</v>
      </c>
      <c r="G113" s="50">
        <v>6.6948248459645985E-4</v>
      </c>
      <c r="H113" s="63" t="s">
        <v>405</v>
      </c>
      <c r="I113" s="62">
        <v>119.48722540332237</v>
      </c>
      <c r="J113" s="62">
        <v>122.89288280246456</v>
      </c>
      <c r="K113" s="62">
        <v>125.83726676971979</v>
      </c>
      <c r="L113" s="62">
        <v>129.28777949532994</v>
      </c>
      <c r="M113" s="62">
        <v>132.78783392480022</v>
      </c>
      <c r="N113" s="62">
        <v>136.3461333304304</v>
      </c>
      <c r="O113" s="62">
        <v>139.96401667718968</v>
      </c>
      <c r="P113" s="62">
        <v>143.02622956173389</v>
      </c>
      <c r="Q113" s="62">
        <v>146.74118786875965</v>
      </c>
      <c r="R113" s="62">
        <v>150.52644183666803</v>
      </c>
      <c r="S113" s="62">
        <v>152.46526311205938</v>
      </c>
      <c r="T113" s="62">
        <v>158.35336156408525</v>
      </c>
      <c r="U113" s="62">
        <v>161.65591866059958</v>
      </c>
      <c r="V113" s="62">
        <v>165.8321503995123</v>
      </c>
      <c r="W113" s="62">
        <v>170.17307482963574</v>
      </c>
      <c r="X113" s="62">
        <v>174.66664126624718</v>
      </c>
      <c r="Y113" s="62">
        <v>179.3530186584224</v>
      </c>
      <c r="Z113" s="62">
        <v>183.25409309616597</v>
      </c>
      <c r="AA113" s="62">
        <v>186.74993800013698</v>
      </c>
      <c r="AB113" s="62">
        <v>190.40538274319368</v>
      </c>
      <c r="AC113" s="62">
        <v>194.17462498159051</v>
      </c>
      <c r="AD113" s="62">
        <v>198.06549607859776</v>
      </c>
      <c r="AE113" s="62">
        <v>202.08582739759834</v>
      </c>
      <c r="AF113" s="62">
        <v>206.24345030805702</v>
      </c>
      <c r="AG113" s="62">
        <v>210.54619616912905</v>
      </c>
      <c r="AH113" s="62">
        <v>215.00189635696577</v>
      </c>
      <c r="AI113" s="62">
        <v>219.61838222483394</v>
      </c>
      <c r="AJ113" s="62">
        <v>224.40348515281471</v>
      </c>
    </row>
    <row r="114" spans="1:36" x14ac:dyDescent="0.25">
      <c r="A114" s="58" t="s">
        <v>17</v>
      </c>
      <c r="B114" s="59" t="s">
        <v>18</v>
      </c>
      <c r="C114" s="60" t="s">
        <v>115</v>
      </c>
      <c r="D114" s="61" t="s">
        <v>30</v>
      </c>
      <c r="E114" s="50" t="s">
        <v>400</v>
      </c>
      <c r="F114" s="50">
        <v>1.0439000469999412E-4</v>
      </c>
      <c r="G114" s="50">
        <v>1.3607367573098778E-4</v>
      </c>
      <c r="H114" s="63" t="s">
        <v>399</v>
      </c>
      <c r="I114" s="62">
        <v>24.286021423439504</v>
      </c>
      <c r="J114" s="62">
        <v>24.978228211883039</v>
      </c>
      <c r="K114" s="62">
        <v>25.576680237747926</v>
      </c>
      <c r="L114" s="62">
        <v>26.278003962465437</v>
      </c>
      <c r="M114" s="62">
        <v>26.989397139187041</v>
      </c>
      <c r="N114" s="62">
        <v>27.71262872569724</v>
      </c>
      <c r="O114" s="62">
        <v>28.447970869347497</v>
      </c>
      <c r="P114" s="62">
        <v>29.070371862141034</v>
      </c>
      <c r="Q114" s="62">
        <v>29.825444688772286</v>
      </c>
      <c r="R114" s="62">
        <v>30.594805251355293</v>
      </c>
      <c r="S114" s="62">
        <v>30.988874616272231</v>
      </c>
      <c r="T114" s="62">
        <v>32.185642594326268</v>
      </c>
      <c r="U114" s="62">
        <v>32.856894036707232</v>
      </c>
      <c r="V114" s="62">
        <v>33.705721625917135</v>
      </c>
      <c r="W114" s="62">
        <v>34.588023339356859</v>
      </c>
      <c r="X114" s="62">
        <v>35.501349850863249</v>
      </c>
      <c r="Y114" s="62">
        <v>36.453865580980164</v>
      </c>
      <c r="Z114" s="62">
        <v>37.246766889464631</v>
      </c>
      <c r="AA114" s="62">
        <v>37.957304471572556</v>
      </c>
      <c r="AB114" s="62">
        <v>38.700281045364569</v>
      </c>
      <c r="AC114" s="62">
        <v>39.466387191380186</v>
      </c>
      <c r="AD114" s="62">
        <v>40.257214650121497</v>
      </c>
      <c r="AE114" s="62">
        <v>41.074355162113484</v>
      </c>
      <c r="AF114" s="62">
        <v>41.919400469117285</v>
      </c>
      <c r="AG114" s="62">
        <v>42.793942310798585</v>
      </c>
      <c r="AH114" s="62">
        <v>43.699572430277598</v>
      </c>
      <c r="AI114" s="62">
        <v>44.637882566023158</v>
      </c>
      <c r="AJ114" s="62">
        <v>45.610464461954209</v>
      </c>
    </row>
    <row r="115" spans="1:36" x14ac:dyDescent="0.25">
      <c r="A115" s="58" t="s">
        <v>17</v>
      </c>
      <c r="B115" s="59" t="s">
        <v>18</v>
      </c>
      <c r="C115" s="60" t="s">
        <v>115</v>
      </c>
      <c r="D115" s="61" t="s">
        <v>30</v>
      </c>
      <c r="E115" s="50" t="s">
        <v>197</v>
      </c>
      <c r="F115" s="50">
        <v>3.5075041579198026E-4</v>
      </c>
      <c r="G115" s="50">
        <v>4.5720755045611895E-4</v>
      </c>
      <c r="H115" s="63" t="s">
        <v>196</v>
      </c>
      <c r="I115" s="62">
        <v>81.601031982756737</v>
      </c>
      <c r="J115" s="62">
        <v>83.926846791927019</v>
      </c>
      <c r="K115" s="62">
        <v>85.937645598833029</v>
      </c>
      <c r="L115" s="62">
        <v>88.294093313883863</v>
      </c>
      <c r="M115" s="62">
        <v>90.684374387668456</v>
      </c>
      <c r="N115" s="62">
        <v>93.114432518342724</v>
      </c>
      <c r="O115" s="62">
        <v>95.585182121007591</v>
      </c>
      <c r="P115" s="62">
        <v>97.67644945679389</v>
      </c>
      <c r="Q115" s="62">
        <v>100.21349415427488</v>
      </c>
      <c r="R115" s="62">
        <v>102.79854564455378</v>
      </c>
      <c r="S115" s="62">
        <v>104.1226187106747</v>
      </c>
      <c r="T115" s="62">
        <v>108.14375911693627</v>
      </c>
      <c r="U115" s="62">
        <v>110.39916396333631</v>
      </c>
      <c r="V115" s="62">
        <v>113.25122466308157</v>
      </c>
      <c r="W115" s="62">
        <v>116.21575842023906</v>
      </c>
      <c r="X115" s="62">
        <v>119.28453549890052</v>
      </c>
      <c r="Y115" s="62">
        <v>122.48498835209335</v>
      </c>
      <c r="Z115" s="62">
        <v>125.14913674860117</v>
      </c>
      <c r="AA115" s="62">
        <v>127.53654302448379</v>
      </c>
      <c r="AB115" s="62">
        <v>130.03294431242495</v>
      </c>
      <c r="AC115" s="62">
        <v>132.60706096303744</v>
      </c>
      <c r="AD115" s="62">
        <v>135.26424122440824</v>
      </c>
      <c r="AE115" s="62">
        <v>138.00983334470132</v>
      </c>
      <c r="AF115" s="62">
        <v>140.84918557623408</v>
      </c>
      <c r="AG115" s="62">
        <v>143.78764616428325</v>
      </c>
      <c r="AH115" s="62">
        <v>146.83056336573273</v>
      </c>
      <c r="AI115" s="62">
        <v>149.98328542183782</v>
      </c>
      <c r="AJ115" s="62">
        <v>153.25116059216614</v>
      </c>
    </row>
    <row r="116" spans="1:36" x14ac:dyDescent="0.25">
      <c r="A116" s="58" t="s">
        <v>17</v>
      </c>
      <c r="B116" s="59" t="s">
        <v>18</v>
      </c>
      <c r="C116" s="60" t="s">
        <v>115</v>
      </c>
      <c r="D116" s="61" t="s">
        <v>30</v>
      </c>
      <c r="E116" s="50" t="s">
        <v>494</v>
      </c>
      <c r="F116" s="50">
        <v>1.3779480620399226E-3</v>
      </c>
      <c r="G116" s="50">
        <v>1.7961725196490388E-3</v>
      </c>
      <c r="H116" s="63" t="s">
        <v>493</v>
      </c>
      <c r="I116" s="62">
        <v>320.57548278940152</v>
      </c>
      <c r="J116" s="62">
        <v>329.71261239685617</v>
      </c>
      <c r="K116" s="62">
        <v>337.61217913827261</v>
      </c>
      <c r="L116" s="62">
        <v>346.86965230454376</v>
      </c>
      <c r="M116" s="62">
        <v>356.26004223726898</v>
      </c>
      <c r="N116" s="62">
        <v>365.80669917920358</v>
      </c>
      <c r="O116" s="62">
        <v>375.51321547538703</v>
      </c>
      <c r="P116" s="62">
        <v>383.7289085802617</v>
      </c>
      <c r="Q116" s="62">
        <v>393.69586989179425</v>
      </c>
      <c r="R116" s="62">
        <v>403.85142931788988</v>
      </c>
      <c r="S116" s="62">
        <v>409.05314493479352</v>
      </c>
      <c r="T116" s="62">
        <v>424.85048224510678</v>
      </c>
      <c r="U116" s="62">
        <v>433.71100128453548</v>
      </c>
      <c r="V116" s="62">
        <v>444.91552546210619</v>
      </c>
      <c r="W116" s="62">
        <v>456.5619080795106</v>
      </c>
      <c r="X116" s="62">
        <v>468.6178180313949</v>
      </c>
      <c r="Y116" s="62">
        <v>481.19102566893821</v>
      </c>
      <c r="Z116" s="62">
        <v>491.65732294093317</v>
      </c>
      <c r="AA116" s="62">
        <v>501.03641902475778</v>
      </c>
      <c r="AB116" s="62">
        <v>510.84370979881237</v>
      </c>
      <c r="AC116" s="62">
        <v>520.95631092621852</v>
      </c>
      <c r="AD116" s="62">
        <v>531.39523338160382</v>
      </c>
      <c r="AE116" s="62">
        <v>542.18148813989808</v>
      </c>
      <c r="AF116" s="62">
        <v>553.33608619234815</v>
      </c>
      <c r="AG116" s="62">
        <v>564.88003850254142</v>
      </c>
      <c r="AH116" s="62">
        <v>576.8343560796643</v>
      </c>
      <c r="AI116" s="62">
        <v>589.22004987150581</v>
      </c>
      <c r="AJ116" s="62">
        <v>602.05813089779565</v>
      </c>
    </row>
    <row r="117" spans="1:36" x14ac:dyDescent="0.25">
      <c r="A117" s="58" t="s">
        <v>17</v>
      </c>
      <c r="B117" s="59" t="s">
        <v>18</v>
      </c>
      <c r="C117" s="60" t="s">
        <v>115</v>
      </c>
      <c r="D117" s="61" t="s">
        <v>30</v>
      </c>
      <c r="E117" s="50" t="s">
        <v>409</v>
      </c>
      <c r="F117" s="50">
        <v>1.0685360881091399E-2</v>
      </c>
      <c r="G117" s="50">
        <v>1.3928501447823909E-2</v>
      </c>
      <c r="H117" s="63" t="s">
        <v>54</v>
      </c>
      <c r="I117" s="62">
        <v>2485.9171529032678</v>
      </c>
      <c r="J117" s="62">
        <v>2556.771439768348</v>
      </c>
      <c r="K117" s="62">
        <v>2618.0289891358775</v>
      </c>
      <c r="L117" s="62">
        <v>2689.8164855979621</v>
      </c>
      <c r="M117" s="62">
        <v>2762.6346911671853</v>
      </c>
      <c r="N117" s="62">
        <v>2836.6646763623694</v>
      </c>
      <c r="O117" s="62">
        <v>2911.9342981864102</v>
      </c>
      <c r="P117" s="62">
        <v>2975.6432638087567</v>
      </c>
      <c r="Q117" s="62">
        <v>3052.9325183427313</v>
      </c>
      <c r="R117" s="62">
        <v>3131.6842655287278</v>
      </c>
      <c r="S117" s="62">
        <v>3172.0212057216258</v>
      </c>
      <c r="T117" s="62">
        <v>3294.5223759552373</v>
      </c>
      <c r="U117" s="62">
        <v>3363.2316735973523</v>
      </c>
      <c r="V117" s="62">
        <v>3450.1176656288781</v>
      </c>
      <c r="W117" s="62">
        <v>3540.4300690165683</v>
      </c>
      <c r="X117" s="62">
        <v>3633.9181707343623</v>
      </c>
      <c r="Y117" s="62">
        <v>3731.4176808691295</v>
      </c>
      <c r="Z117" s="62">
        <v>3812.5790588055997</v>
      </c>
      <c r="AA117" s="62">
        <v>3885.3096857101668</v>
      </c>
      <c r="AB117" s="62">
        <v>3961.3607678035173</v>
      </c>
      <c r="AC117" s="62">
        <v>4039.7793929096761</v>
      </c>
      <c r="AD117" s="62">
        <v>4120.7284915864366</v>
      </c>
      <c r="AE117" s="62">
        <v>4204.3709943939366</v>
      </c>
      <c r="AF117" s="62">
        <v>4290.869832018845</v>
      </c>
      <c r="AG117" s="62">
        <v>4380.3879349333438</v>
      </c>
      <c r="AH117" s="62">
        <v>4473.0882339632153</v>
      </c>
      <c r="AI117" s="62">
        <v>4569.1336594581308</v>
      </c>
      <c r="AJ117" s="62">
        <v>4668.6871423256325</v>
      </c>
    </row>
    <row r="118" spans="1:36" x14ac:dyDescent="0.25">
      <c r="A118" s="58" t="s">
        <v>17</v>
      </c>
      <c r="B118" s="59" t="s">
        <v>18</v>
      </c>
      <c r="C118" s="60" t="s">
        <v>115</v>
      </c>
      <c r="D118" s="61" t="s">
        <v>30</v>
      </c>
      <c r="E118" s="50" t="s">
        <v>216</v>
      </c>
      <c r="F118" s="50">
        <v>5.6370602537996828E-4</v>
      </c>
      <c r="G118" s="50">
        <v>7.3479784894733401E-4</v>
      </c>
      <c r="H118" s="63" t="s">
        <v>215</v>
      </c>
      <c r="I118" s="62">
        <v>131.14451568657333</v>
      </c>
      <c r="J118" s="62">
        <v>134.88243234416842</v>
      </c>
      <c r="K118" s="62">
        <v>138.11407328383879</v>
      </c>
      <c r="L118" s="62">
        <v>141.90122139731335</v>
      </c>
      <c r="M118" s="62">
        <v>145.74274455161003</v>
      </c>
      <c r="N118" s="62">
        <v>149.6481951187651</v>
      </c>
      <c r="O118" s="62">
        <v>153.61904269447649</v>
      </c>
      <c r="P118" s="62">
        <v>156.9800080555616</v>
      </c>
      <c r="Q118" s="62">
        <v>161.05740131937034</v>
      </c>
      <c r="R118" s="62">
        <v>165.21194835731859</v>
      </c>
      <c r="S118" s="62">
        <v>167.33992292787005</v>
      </c>
      <c r="T118" s="62">
        <v>173.80247000936185</v>
      </c>
      <c r="U118" s="62">
        <v>177.42722779821906</v>
      </c>
      <c r="V118" s="62">
        <v>182.01089677995253</v>
      </c>
      <c r="W118" s="62">
        <v>186.77532603252703</v>
      </c>
      <c r="X118" s="62">
        <v>191.70728919466154</v>
      </c>
      <c r="Y118" s="62">
        <v>196.85087413729289</v>
      </c>
      <c r="Z118" s="62">
        <v>201.13254120310901</v>
      </c>
      <c r="AA118" s="62">
        <v>204.96944414649181</v>
      </c>
      <c r="AB118" s="62">
        <v>208.98151764496868</v>
      </c>
      <c r="AC118" s="62">
        <v>213.11849083345302</v>
      </c>
      <c r="AD118" s="62">
        <v>217.38895911065609</v>
      </c>
      <c r="AE118" s="62">
        <v>221.80151787541283</v>
      </c>
      <c r="AF118" s="62">
        <v>226.36476253323332</v>
      </c>
      <c r="AG118" s="62">
        <v>231.08728847831236</v>
      </c>
      <c r="AH118" s="62">
        <v>235.97769112349903</v>
      </c>
      <c r="AI118" s="62">
        <v>241.04456585652505</v>
      </c>
      <c r="AJ118" s="62">
        <v>246.29650809455273</v>
      </c>
    </row>
    <row r="119" spans="1:36" x14ac:dyDescent="0.25">
      <c r="A119" s="58" t="s">
        <v>17</v>
      </c>
      <c r="B119" s="59" t="s">
        <v>18</v>
      </c>
      <c r="C119" s="60" t="s">
        <v>115</v>
      </c>
      <c r="D119" s="61" t="s">
        <v>30</v>
      </c>
      <c r="E119" s="50" t="s">
        <v>163</v>
      </c>
      <c r="F119" s="50">
        <v>1.0092425654395432E-2</v>
      </c>
      <c r="G119" s="50">
        <v>1.3155602969671899E-2</v>
      </c>
      <c r="H119" s="63" t="s">
        <v>162</v>
      </c>
      <c r="I119" s="62">
        <v>2347.9725512181317</v>
      </c>
      <c r="J119" s="62">
        <v>2414.8951035248524</v>
      </c>
      <c r="K119" s="62">
        <v>2472.7534453854696</v>
      </c>
      <c r="L119" s="62">
        <v>2540.5574230911584</v>
      </c>
      <c r="M119" s="62">
        <v>2609.3349154166031</v>
      </c>
      <c r="N119" s="62">
        <v>2679.2569452004091</v>
      </c>
      <c r="O119" s="62">
        <v>2750.3498236485161</v>
      </c>
      <c r="P119" s="62">
        <v>2810.5235516317953</v>
      </c>
      <c r="Q119" s="62">
        <v>2883.5239925105047</v>
      </c>
      <c r="R119" s="62">
        <v>2957.9057717010296</v>
      </c>
      <c r="S119" s="62">
        <v>2996.0043979011994</v>
      </c>
      <c r="T119" s="62">
        <v>3111.7079260194641</v>
      </c>
      <c r="U119" s="62">
        <v>3176.6045154688554</v>
      </c>
      <c r="V119" s="62">
        <v>3258.6691667936689</v>
      </c>
      <c r="W119" s="62">
        <v>3343.9700964490212</v>
      </c>
      <c r="X119" s="62">
        <v>3432.2705035814593</v>
      </c>
      <c r="Y119" s="62">
        <v>3524.3597243691624</v>
      </c>
      <c r="Z119" s="62">
        <v>3601.0174228734404</v>
      </c>
      <c r="AA119" s="62">
        <v>3669.7121963116351</v>
      </c>
      <c r="AB119" s="62">
        <v>3741.5431714658466</v>
      </c>
      <c r="AC119" s="62">
        <v>3815.6103136626366</v>
      </c>
      <c r="AD119" s="62">
        <v>3892.0675123737465</v>
      </c>
      <c r="AE119" s="62">
        <v>3971.0686570731318</v>
      </c>
      <c r="AF119" s="62">
        <v>4052.767637354259</v>
      </c>
      <c r="AG119" s="62">
        <v>4137.3183426080077</v>
      </c>
      <c r="AH119" s="62">
        <v>4224.8746625592385</v>
      </c>
      <c r="AI119" s="62">
        <v>4315.5904864831191</v>
      </c>
      <c r="AJ119" s="62">
        <v>4409.6197041817331</v>
      </c>
    </row>
    <row r="120" spans="1:36" x14ac:dyDescent="0.25">
      <c r="A120" s="58" t="s">
        <v>17</v>
      </c>
      <c r="B120" s="59" t="s">
        <v>18</v>
      </c>
      <c r="C120" s="60" t="s">
        <v>115</v>
      </c>
      <c r="D120" s="61" t="s">
        <v>30</v>
      </c>
      <c r="E120" s="50" t="s">
        <v>392</v>
      </c>
      <c r="F120" s="50">
        <v>4.3426241955197556E-4</v>
      </c>
      <c r="G120" s="50">
        <v>5.6606649104090916E-4</v>
      </c>
      <c r="H120" s="63" t="s">
        <v>391</v>
      </c>
      <c r="I120" s="62">
        <v>101.02984912150835</v>
      </c>
      <c r="J120" s="62">
        <v>103.90942936143345</v>
      </c>
      <c r="K120" s="62">
        <v>106.39898978903136</v>
      </c>
      <c r="L120" s="62">
        <v>109.31649648385621</v>
      </c>
      <c r="M120" s="62">
        <v>112.27589209901808</v>
      </c>
      <c r="N120" s="62">
        <v>115.28453549890052</v>
      </c>
      <c r="O120" s="62">
        <v>118.3435588164856</v>
      </c>
      <c r="P120" s="62">
        <v>120.93274694650671</v>
      </c>
      <c r="Q120" s="62">
        <v>124.07384990529272</v>
      </c>
      <c r="R120" s="62">
        <v>127.27438984563801</v>
      </c>
      <c r="S120" s="62">
        <v>128.91371840369249</v>
      </c>
      <c r="T120" s="62">
        <v>133.89227319239728</v>
      </c>
      <c r="U120" s="62">
        <v>136.68467919270208</v>
      </c>
      <c r="V120" s="62">
        <v>140.21580196381527</v>
      </c>
      <c r="W120" s="62">
        <v>143.88617709172453</v>
      </c>
      <c r="X120" s="62">
        <v>147.68561537959113</v>
      </c>
      <c r="Y120" s="62">
        <v>151.6480808168775</v>
      </c>
      <c r="Z120" s="62">
        <v>154.94655026017287</v>
      </c>
      <c r="AA120" s="62">
        <v>157.90238660174182</v>
      </c>
      <c r="AB120" s="62">
        <v>160.99316914871662</v>
      </c>
      <c r="AC120" s="62">
        <v>164.18017071614159</v>
      </c>
      <c r="AD120" s="62">
        <v>167.47001294450544</v>
      </c>
      <c r="AE120" s="62">
        <v>170.86931747439209</v>
      </c>
      <c r="AF120" s="62">
        <v>174.38470595152791</v>
      </c>
      <c r="AG120" s="62">
        <v>178.02280001292212</v>
      </c>
      <c r="AH120" s="62">
        <v>181.7902213099548</v>
      </c>
      <c r="AI120" s="62">
        <v>185.69359147465633</v>
      </c>
      <c r="AJ120" s="62">
        <v>189.7395321617295</v>
      </c>
    </row>
    <row r="121" spans="1:36" x14ac:dyDescent="0.25">
      <c r="A121" s="58" t="s">
        <v>17</v>
      </c>
      <c r="B121" s="59" t="s">
        <v>18</v>
      </c>
      <c r="C121" s="60" t="s">
        <v>115</v>
      </c>
      <c r="D121" s="61" t="s">
        <v>30</v>
      </c>
      <c r="E121" s="50" t="s">
        <v>157</v>
      </c>
      <c r="F121" s="50">
        <v>1.6451864740719075E-3</v>
      </c>
      <c r="G121" s="50">
        <v>2.1445211295203674E-3</v>
      </c>
      <c r="H121" s="63" t="s">
        <v>156</v>
      </c>
      <c r="I121" s="62">
        <v>382.74769763340663</v>
      </c>
      <c r="J121" s="62">
        <v>393.65687661927672</v>
      </c>
      <c r="K121" s="62">
        <v>403.08848054690731</v>
      </c>
      <c r="L121" s="62">
        <v>414.1413424484553</v>
      </c>
      <c r="M121" s="62">
        <v>425.35289891358775</v>
      </c>
      <c r="N121" s="62">
        <v>436.75102871698851</v>
      </c>
      <c r="O121" s="62">
        <v>448.34002090091656</v>
      </c>
      <c r="P121" s="62">
        <v>458.14906054734274</v>
      </c>
      <c r="Q121" s="62">
        <v>470.04900829505124</v>
      </c>
      <c r="R121" s="62">
        <v>482.17413076135944</v>
      </c>
      <c r="S121" s="62">
        <v>488.38466395245041</v>
      </c>
      <c r="T121" s="62">
        <v>507.24572728658205</v>
      </c>
      <c r="U121" s="62">
        <v>517.82465001850596</v>
      </c>
      <c r="V121" s="62">
        <v>531.20217282445401</v>
      </c>
      <c r="W121" s="62">
        <v>545.10724782826412</v>
      </c>
      <c r="X121" s="62">
        <v>559.50127364960485</v>
      </c>
      <c r="Y121" s="62">
        <v>574.51292155624742</v>
      </c>
      <c r="Z121" s="62">
        <v>587.00904617796255</v>
      </c>
      <c r="AA121" s="62">
        <v>598.20711847198356</v>
      </c>
      <c r="AB121" s="62">
        <v>609.91642927494559</v>
      </c>
      <c r="AC121" s="62">
        <v>621.99026213615173</v>
      </c>
      <c r="AD121" s="62">
        <v>634.45370288591482</v>
      </c>
      <c r="AE121" s="62">
        <v>647.33183735490854</v>
      </c>
      <c r="AF121" s="62">
        <v>660.6497513932884</v>
      </c>
      <c r="AG121" s="62">
        <v>674.4325308181858</v>
      </c>
      <c r="AH121" s="62">
        <v>688.70526150117496</v>
      </c>
      <c r="AI121" s="62">
        <v>703.49302924052506</v>
      </c>
      <c r="AJ121" s="62">
        <v>718.8209199203983</v>
      </c>
    </row>
    <row r="122" spans="1:36" x14ac:dyDescent="0.25">
      <c r="A122" s="58" t="s">
        <v>17</v>
      </c>
      <c r="B122" s="59" t="s">
        <v>18</v>
      </c>
      <c r="C122" s="60" t="s">
        <v>115</v>
      </c>
      <c r="D122" s="61" t="s">
        <v>30</v>
      </c>
      <c r="E122" s="50" t="s">
        <v>465</v>
      </c>
      <c r="F122" s="50">
        <v>3.0064321353598307E-4</v>
      </c>
      <c r="G122" s="50">
        <v>3.9189218610524484E-4</v>
      </c>
      <c r="H122" s="63" t="s">
        <v>464</v>
      </c>
      <c r="I122" s="62">
        <v>69.943741699505779</v>
      </c>
      <c r="J122" s="62">
        <v>71.937297250223168</v>
      </c>
      <c r="K122" s="62">
        <v>73.660839084714027</v>
      </c>
      <c r="L122" s="62">
        <v>75.680651411900456</v>
      </c>
      <c r="M122" s="62">
        <v>77.729463760858678</v>
      </c>
      <c r="N122" s="62">
        <v>79.812370730008055</v>
      </c>
      <c r="O122" s="62">
        <v>81.930156103720805</v>
      </c>
      <c r="P122" s="62">
        <v>83.722670962966191</v>
      </c>
      <c r="Q122" s="62">
        <v>85.897280703664194</v>
      </c>
      <c r="R122" s="62">
        <v>88.113039123903249</v>
      </c>
      <c r="S122" s="62">
        <v>89.247958894864041</v>
      </c>
      <c r="T122" s="62">
        <v>92.694650671659673</v>
      </c>
      <c r="U122" s="62">
        <v>94.627854825716838</v>
      </c>
      <c r="V122" s="62">
        <v>97.072478282641356</v>
      </c>
      <c r="W122" s="62">
        <v>99.61350721734776</v>
      </c>
      <c r="X122" s="62">
        <v>102.24388757048617</v>
      </c>
      <c r="Y122" s="62">
        <v>104.98713287322288</v>
      </c>
      <c r="Z122" s="62">
        <v>107.27068864165814</v>
      </c>
      <c r="AA122" s="62">
        <v>109.31703687812897</v>
      </c>
      <c r="AB122" s="62">
        <v>111.45680941064997</v>
      </c>
      <c r="AC122" s="62">
        <v>113.66319511117496</v>
      </c>
      <c r="AD122" s="62">
        <v>115.94077819234992</v>
      </c>
      <c r="AE122" s="62">
        <v>118.29414286688684</v>
      </c>
      <c r="AF122" s="62">
        <v>120.72787335105778</v>
      </c>
      <c r="AG122" s="62">
        <v>123.24655385509995</v>
      </c>
      <c r="AH122" s="62">
        <v>125.8547685991995</v>
      </c>
      <c r="AI122" s="62">
        <v>128.5571017901467</v>
      </c>
      <c r="AJ122" s="62">
        <v>131.35813765042812</v>
      </c>
    </row>
    <row r="123" spans="1:36" x14ac:dyDescent="0.25">
      <c r="A123" s="58" t="s">
        <v>17</v>
      </c>
      <c r="B123" s="59" t="s">
        <v>18</v>
      </c>
      <c r="C123" s="60" t="s">
        <v>115</v>
      </c>
      <c r="D123" s="61" t="s">
        <v>30</v>
      </c>
      <c r="E123" s="50" t="s">
        <v>468</v>
      </c>
      <c r="F123" s="50">
        <v>9.9796844493194384E-4</v>
      </c>
      <c r="G123" s="50">
        <v>1.3008643399882432E-3</v>
      </c>
      <c r="H123" s="63" t="s">
        <v>467</v>
      </c>
      <c r="I123" s="62">
        <v>232.17436480808166</v>
      </c>
      <c r="J123" s="62">
        <v>238.79186170560186</v>
      </c>
      <c r="K123" s="62">
        <v>244.51306307287015</v>
      </c>
      <c r="L123" s="62">
        <v>251.21771788116956</v>
      </c>
      <c r="M123" s="62">
        <v>258.01863665062808</v>
      </c>
      <c r="N123" s="62">
        <v>264.93273061766564</v>
      </c>
      <c r="O123" s="62">
        <v>271.96260151096209</v>
      </c>
      <c r="P123" s="62">
        <v>277.91275500206831</v>
      </c>
      <c r="Q123" s="62">
        <v>285.13125122466306</v>
      </c>
      <c r="R123" s="62">
        <v>292.48633820295657</v>
      </c>
      <c r="S123" s="62">
        <v>296.25364133156256</v>
      </c>
      <c r="T123" s="62">
        <v>307.69474320175914</v>
      </c>
      <c r="U123" s="62">
        <v>314.11190699092117</v>
      </c>
      <c r="V123" s="62">
        <v>322.22669874376783</v>
      </c>
      <c r="W123" s="62">
        <v>330.66150312425157</v>
      </c>
      <c r="X123" s="62">
        <v>339.39290457425267</v>
      </c>
      <c r="Y123" s="62">
        <v>348.49895495417036</v>
      </c>
      <c r="Z123" s="62">
        <v>356.07909146328188</v>
      </c>
      <c r="AA123" s="62">
        <v>362.87183074823366</v>
      </c>
      <c r="AB123" s="62">
        <v>369.97468679368529</v>
      </c>
      <c r="AC123" s="62">
        <v>377.29866154959461</v>
      </c>
      <c r="AD123" s="62">
        <v>384.85897205516153</v>
      </c>
      <c r="AE123" s="62">
        <v>392.67083534980492</v>
      </c>
      <c r="AF123" s="62">
        <v>400.74946848476122</v>
      </c>
      <c r="AG123" s="62">
        <v>409.11008849123448</v>
      </c>
      <c r="AH123" s="62">
        <v>417.76791243345383</v>
      </c>
      <c r="AI123" s="62">
        <v>426.73815733118141</v>
      </c>
      <c r="AJ123" s="62">
        <v>436.03604025628221</v>
      </c>
    </row>
    <row r="124" spans="1:36" x14ac:dyDescent="0.25">
      <c r="A124" s="58" t="s">
        <v>17</v>
      </c>
      <c r="B124" s="59" t="s">
        <v>18</v>
      </c>
      <c r="C124" s="60" t="s">
        <v>115</v>
      </c>
      <c r="D124" s="61" t="s">
        <v>30</v>
      </c>
      <c r="E124" s="50" t="s">
        <v>296</v>
      </c>
      <c r="F124" s="50">
        <v>3.2152121447598191E-4</v>
      </c>
      <c r="G124" s="50">
        <v>4.1910692125144236E-4</v>
      </c>
      <c r="H124" s="63" t="s">
        <v>295</v>
      </c>
      <c r="I124" s="62">
        <v>74.800945984193675</v>
      </c>
      <c r="J124" s="62">
        <v>76.932942892599769</v>
      </c>
      <c r="K124" s="62">
        <v>78.776175132263603</v>
      </c>
      <c r="L124" s="62">
        <v>80.93625220439354</v>
      </c>
      <c r="M124" s="62">
        <v>83.127343188696088</v>
      </c>
      <c r="N124" s="62">
        <v>85.354896475147498</v>
      </c>
      <c r="O124" s="62">
        <v>87.619750277590299</v>
      </c>
      <c r="P124" s="62">
        <v>89.536745335394386</v>
      </c>
      <c r="Q124" s="62">
        <v>91.862369641418638</v>
      </c>
      <c r="R124" s="62">
        <v>94.232000174174303</v>
      </c>
      <c r="S124" s="62">
        <v>95.44573381811847</v>
      </c>
      <c r="T124" s="62">
        <v>99.131779190524909</v>
      </c>
      <c r="U124" s="62">
        <v>101.19923363305827</v>
      </c>
      <c r="V124" s="62">
        <v>103.81362260782477</v>
      </c>
      <c r="W124" s="62">
        <v>106.53111188521913</v>
      </c>
      <c r="X124" s="62">
        <v>109.34415754065881</v>
      </c>
      <c r="Y124" s="62">
        <v>112.2779059894189</v>
      </c>
      <c r="Z124" s="62">
        <v>114.72004201955106</v>
      </c>
      <c r="AA124" s="62">
        <v>116.90849777244347</v>
      </c>
      <c r="AB124" s="62">
        <v>119.19686561972287</v>
      </c>
      <c r="AC124" s="62">
        <v>121.55647254945097</v>
      </c>
      <c r="AD124" s="62">
        <v>123.99222112237422</v>
      </c>
      <c r="AE124" s="62">
        <v>126.50901389930954</v>
      </c>
      <c r="AF124" s="62">
        <v>129.11175344488123</v>
      </c>
      <c r="AG124" s="62">
        <v>131.80534231725966</v>
      </c>
      <c r="AH124" s="62">
        <v>134.59468308525501</v>
      </c>
      <c r="AI124" s="62">
        <v>137.48467830335133</v>
      </c>
      <c r="AJ124" s="62">
        <v>140.48023054281896</v>
      </c>
    </row>
    <row r="125" spans="1:36" x14ac:dyDescent="0.25">
      <c r="A125" s="58" t="s">
        <v>17</v>
      </c>
      <c r="B125" s="59" t="s">
        <v>18</v>
      </c>
      <c r="C125" s="60" t="s">
        <v>115</v>
      </c>
      <c r="D125" s="61" t="s">
        <v>30</v>
      </c>
      <c r="E125" s="50" t="s">
        <v>230</v>
      </c>
      <c r="F125" s="50">
        <v>4.1756001879997648E-5</v>
      </c>
      <c r="G125" s="50">
        <v>5.4429470292395112E-5</v>
      </c>
      <c r="H125" s="63" t="s">
        <v>229</v>
      </c>
      <c r="I125" s="62">
        <v>9.7144085693758022</v>
      </c>
      <c r="J125" s="62">
        <v>9.9912912847532169</v>
      </c>
      <c r="K125" s="62">
        <v>10.23067209509917</v>
      </c>
      <c r="L125" s="62">
        <v>10.511201584986175</v>
      </c>
      <c r="M125" s="62">
        <v>10.795758855674816</v>
      </c>
      <c r="N125" s="62">
        <v>11.085051490278897</v>
      </c>
      <c r="O125" s="62">
        <v>11.379188347738999</v>
      </c>
      <c r="P125" s="62">
        <v>11.628148744856414</v>
      </c>
      <c r="Q125" s="62">
        <v>11.930177875508916</v>
      </c>
      <c r="R125" s="62">
        <v>12.237922100542116</v>
      </c>
      <c r="S125" s="62">
        <v>12.395549846508894</v>
      </c>
      <c r="T125" s="62">
        <v>12.874257037730509</v>
      </c>
      <c r="U125" s="62">
        <v>13.142757614682893</v>
      </c>
      <c r="V125" s="62">
        <v>13.482288650366854</v>
      </c>
      <c r="W125" s="62">
        <v>13.835209335742745</v>
      </c>
      <c r="X125" s="62">
        <v>14.200539940345299</v>
      </c>
      <c r="Y125" s="62">
        <v>14.581546232392066</v>
      </c>
      <c r="Z125" s="62">
        <v>14.898706755785852</v>
      </c>
      <c r="AA125" s="62">
        <v>15.182921788629022</v>
      </c>
      <c r="AB125" s="62">
        <v>15.480112418145827</v>
      </c>
      <c r="AC125" s="62">
        <v>15.786554876552076</v>
      </c>
      <c r="AD125" s="62">
        <v>16.102885860048598</v>
      </c>
      <c r="AE125" s="62">
        <v>16.429742064845392</v>
      </c>
      <c r="AF125" s="62">
        <v>16.767760187646914</v>
      </c>
      <c r="AG125" s="62">
        <v>17.117576924319433</v>
      </c>
      <c r="AH125" s="62">
        <v>17.47982897211104</v>
      </c>
      <c r="AI125" s="62">
        <v>17.855153026409265</v>
      </c>
      <c r="AJ125" s="62">
        <v>18.244185784781685</v>
      </c>
    </row>
    <row r="126" spans="1:36" x14ac:dyDescent="0.25">
      <c r="A126" s="58" t="s">
        <v>17</v>
      </c>
      <c r="B126" s="59" t="s">
        <v>18</v>
      </c>
      <c r="C126" s="60" t="s">
        <v>115</v>
      </c>
      <c r="D126" s="61" t="s">
        <v>30</v>
      </c>
      <c r="E126" s="50" t="s">
        <v>514</v>
      </c>
      <c r="F126" s="50">
        <v>1.0230220460599425E-2</v>
      </c>
      <c r="G126" s="50">
        <v>1.3335220221636803E-2</v>
      </c>
      <c r="H126" s="63" t="s">
        <v>513</v>
      </c>
      <c r="I126" s="62">
        <v>2380.0300994970717</v>
      </c>
      <c r="J126" s="62">
        <v>2447.866364764538</v>
      </c>
      <c r="K126" s="62">
        <v>2506.5146632992969</v>
      </c>
      <c r="L126" s="62">
        <v>2575.2443883216129</v>
      </c>
      <c r="M126" s="62">
        <v>2644.9609196403298</v>
      </c>
      <c r="N126" s="62">
        <v>2715.8376151183297</v>
      </c>
      <c r="O126" s="62">
        <v>2787.901145196055</v>
      </c>
      <c r="P126" s="62">
        <v>2848.8964424898218</v>
      </c>
      <c r="Q126" s="62">
        <v>2922.8935794996842</v>
      </c>
      <c r="R126" s="62">
        <v>2998.2909146328188</v>
      </c>
      <c r="S126" s="62">
        <v>3036.909712394679</v>
      </c>
      <c r="T126" s="62">
        <v>3154.1929742439747</v>
      </c>
      <c r="U126" s="62">
        <v>3219.9756155973091</v>
      </c>
      <c r="V126" s="62">
        <v>3303.1607193398795</v>
      </c>
      <c r="W126" s="62">
        <v>3389.6262872569723</v>
      </c>
      <c r="X126" s="62">
        <v>3479.1322853845986</v>
      </c>
      <c r="Y126" s="62">
        <v>3572.4788269360561</v>
      </c>
      <c r="Z126" s="62">
        <v>3650.1831551675336</v>
      </c>
      <c r="AA126" s="62">
        <v>3719.8158382141105</v>
      </c>
      <c r="AB126" s="62">
        <v>3792.6275424457281</v>
      </c>
      <c r="AC126" s="62">
        <v>3867.7059447552583</v>
      </c>
      <c r="AD126" s="62">
        <v>3945.2070357119069</v>
      </c>
      <c r="AE126" s="62">
        <v>4025.2868058871218</v>
      </c>
      <c r="AF126" s="62">
        <v>4108.1012459734939</v>
      </c>
      <c r="AG126" s="62">
        <v>4193.8063464582619</v>
      </c>
      <c r="AH126" s="62">
        <v>4282.5580981672047</v>
      </c>
      <c r="AI126" s="62">
        <v>4374.5124914702701</v>
      </c>
      <c r="AJ126" s="62">
        <v>4469.8255172715126</v>
      </c>
    </row>
    <row r="127" spans="1:36" x14ac:dyDescent="0.25">
      <c r="A127" s="58" t="s">
        <v>17</v>
      </c>
      <c r="B127" s="59" t="s">
        <v>18</v>
      </c>
      <c r="C127" s="60" t="s">
        <v>115</v>
      </c>
      <c r="D127" s="61" t="s">
        <v>30</v>
      </c>
      <c r="E127" s="50" t="s">
        <v>349</v>
      </c>
      <c r="F127" s="50">
        <v>1.5658500704999118E-3</v>
      </c>
      <c r="G127" s="50">
        <v>2.0411051359648168E-3</v>
      </c>
      <c r="H127" s="63" t="s">
        <v>348</v>
      </c>
      <c r="I127" s="62">
        <v>364.29032135159258</v>
      </c>
      <c r="J127" s="62">
        <v>374.67342317824563</v>
      </c>
      <c r="K127" s="62">
        <v>383.65020356621886</v>
      </c>
      <c r="L127" s="62">
        <v>394.17005943698155</v>
      </c>
      <c r="M127" s="62">
        <v>404.84095708780563</v>
      </c>
      <c r="N127" s="62">
        <v>415.68943088545859</v>
      </c>
      <c r="O127" s="62">
        <v>426.71956304021251</v>
      </c>
      <c r="P127" s="62">
        <v>436.05557793211557</v>
      </c>
      <c r="Q127" s="62">
        <v>447.3816703315843</v>
      </c>
      <c r="R127" s="62">
        <v>458.92207877032939</v>
      </c>
      <c r="S127" s="62">
        <v>464.83311924408349</v>
      </c>
      <c r="T127" s="62">
        <v>482.78463891489406</v>
      </c>
      <c r="U127" s="62">
        <v>492.85341055060849</v>
      </c>
      <c r="V127" s="62">
        <v>505.58582438875703</v>
      </c>
      <c r="W127" s="62">
        <v>518.82035009035292</v>
      </c>
      <c r="X127" s="62">
        <v>532.52024776294877</v>
      </c>
      <c r="Y127" s="62">
        <v>546.80798371470246</v>
      </c>
      <c r="Z127" s="62">
        <v>558.70150334196944</v>
      </c>
      <c r="AA127" s="62">
        <v>569.35956707358832</v>
      </c>
      <c r="AB127" s="62">
        <v>580.50421568046852</v>
      </c>
      <c r="AC127" s="62">
        <v>591.99580787070283</v>
      </c>
      <c r="AD127" s="62">
        <v>603.8582197518225</v>
      </c>
      <c r="AE127" s="62">
        <v>616.11532743170233</v>
      </c>
      <c r="AF127" s="62">
        <v>628.79100703675931</v>
      </c>
      <c r="AG127" s="62">
        <v>641.90913466197878</v>
      </c>
      <c r="AH127" s="62">
        <v>655.49358645416396</v>
      </c>
      <c r="AI127" s="62">
        <v>669.56823849034743</v>
      </c>
      <c r="AJ127" s="62">
        <v>684.15696692931317</v>
      </c>
    </row>
    <row r="128" spans="1:36" x14ac:dyDescent="0.25">
      <c r="A128" s="58" t="s">
        <v>17</v>
      </c>
      <c r="B128" s="59" t="s">
        <v>18</v>
      </c>
      <c r="C128" s="60" t="s">
        <v>115</v>
      </c>
      <c r="D128" s="61" t="s">
        <v>30</v>
      </c>
      <c r="E128" s="50" t="s">
        <v>490</v>
      </c>
      <c r="F128" s="50">
        <v>8.3512003759995302E-6</v>
      </c>
      <c r="G128" s="50">
        <v>1.0885894058479023E-5</v>
      </c>
      <c r="H128" s="63" t="s">
        <v>489</v>
      </c>
      <c r="I128" s="62">
        <v>1.9428817138751606</v>
      </c>
      <c r="J128" s="62">
        <v>1.9982582569506433</v>
      </c>
      <c r="K128" s="62">
        <v>2.0461344190198343</v>
      </c>
      <c r="L128" s="62">
        <v>2.1022403169972352</v>
      </c>
      <c r="M128" s="62">
        <v>2.1591517711349635</v>
      </c>
      <c r="N128" s="62">
        <v>2.2170102980557793</v>
      </c>
      <c r="O128" s="62">
        <v>2.2758376695478</v>
      </c>
      <c r="P128" s="62">
        <v>2.3256297489712829</v>
      </c>
      <c r="Q128" s="62">
        <v>2.3860355751017832</v>
      </c>
      <c r="R128" s="62">
        <v>2.4475844201084236</v>
      </c>
      <c r="S128" s="62">
        <v>2.4791099693017786</v>
      </c>
      <c r="T128" s="62">
        <v>2.574851407546102</v>
      </c>
      <c r="U128" s="62">
        <v>2.6285515229365788</v>
      </c>
      <c r="V128" s="62">
        <v>2.6964577300733708</v>
      </c>
      <c r="W128" s="62">
        <v>2.7670418671485488</v>
      </c>
      <c r="X128" s="62">
        <v>2.8401079880690601</v>
      </c>
      <c r="Y128" s="62">
        <v>2.9163092464784133</v>
      </c>
      <c r="Z128" s="62">
        <v>2.9797413511571706</v>
      </c>
      <c r="AA128" s="62">
        <v>3.0365843577258049</v>
      </c>
      <c r="AB128" s="62">
        <v>3.0960224836291657</v>
      </c>
      <c r="AC128" s="62">
        <v>3.1573109753104154</v>
      </c>
      <c r="AD128" s="62">
        <v>3.2205771720097198</v>
      </c>
      <c r="AE128" s="62">
        <v>3.2859484129690788</v>
      </c>
      <c r="AF128" s="62">
        <v>3.3535520375293828</v>
      </c>
      <c r="AG128" s="62">
        <v>3.4235153848638871</v>
      </c>
      <c r="AH128" s="62">
        <v>3.495965794422208</v>
      </c>
      <c r="AI128" s="62">
        <v>3.571030605281853</v>
      </c>
      <c r="AJ128" s="62">
        <v>3.6488371569563367</v>
      </c>
    </row>
    <row r="129" spans="1:36" x14ac:dyDescent="0.25">
      <c r="A129" s="58" t="s">
        <v>17</v>
      </c>
      <c r="B129" s="59" t="s">
        <v>18</v>
      </c>
      <c r="C129" s="60" t="s">
        <v>115</v>
      </c>
      <c r="D129" s="61" t="s">
        <v>30</v>
      </c>
      <c r="E129" s="50" t="s">
        <v>117</v>
      </c>
      <c r="F129" s="50">
        <v>1.6284840733199081E-4</v>
      </c>
      <c r="G129" s="50">
        <v>2.1227493414034093E-4</v>
      </c>
      <c r="H129" s="63" t="s">
        <v>116</v>
      </c>
      <c r="I129" s="62">
        <v>37.886193420565625</v>
      </c>
      <c r="J129" s="62">
        <v>38.966036010537543</v>
      </c>
      <c r="K129" s="62">
        <v>39.899621170886761</v>
      </c>
      <c r="L129" s="62">
        <v>40.99368618144608</v>
      </c>
      <c r="M129" s="62">
        <v>42.103459537131783</v>
      </c>
      <c r="N129" s="62">
        <v>43.231700812087695</v>
      </c>
      <c r="O129" s="62">
        <v>44.378834556182099</v>
      </c>
      <c r="P129" s="62">
        <v>45.349780104940017</v>
      </c>
      <c r="Q129" s="62">
        <v>46.527693714484769</v>
      </c>
      <c r="R129" s="62">
        <v>47.727896192114258</v>
      </c>
      <c r="S129" s="62">
        <v>48.342644401384682</v>
      </c>
      <c r="T129" s="62">
        <v>50.209602447148981</v>
      </c>
      <c r="U129" s="62">
        <v>51.256754697263283</v>
      </c>
      <c r="V129" s="62">
        <v>52.580925736430729</v>
      </c>
      <c r="W129" s="62">
        <v>53.957316409396704</v>
      </c>
      <c r="X129" s="62">
        <v>55.382105767346673</v>
      </c>
      <c r="Y129" s="62">
        <v>56.868030306329054</v>
      </c>
      <c r="Z129" s="62">
        <v>58.104956347564823</v>
      </c>
      <c r="AA129" s="62">
        <v>59.213394975653188</v>
      </c>
      <c r="AB129" s="62">
        <v>60.372438430768732</v>
      </c>
      <c r="AC129" s="62">
        <v>61.567564018553092</v>
      </c>
      <c r="AD129" s="62">
        <v>62.801254854189537</v>
      </c>
      <c r="AE129" s="62">
        <v>64.07599405289703</v>
      </c>
      <c r="AF129" s="62">
        <v>65.394264731822958</v>
      </c>
      <c r="AG129" s="62">
        <v>66.758550004845802</v>
      </c>
      <c r="AH129" s="62">
        <v>68.171332991233058</v>
      </c>
      <c r="AI129" s="62">
        <v>69.635096802996131</v>
      </c>
      <c r="AJ129" s="62">
        <v>71.152324560648566</v>
      </c>
    </row>
    <row r="130" spans="1:36" x14ac:dyDescent="0.25">
      <c r="A130" s="58" t="s">
        <v>17</v>
      </c>
      <c r="B130" s="59" t="s">
        <v>18</v>
      </c>
      <c r="C130" s="60" t="s">
        <v>115</v>
      </c>
      <c r="D130" s="61" t="s">
        <v>30</v>
      </c>
      <c r="E130" s="50" t="s">
        <v>184</v>
      </c>
      <c r="F130" s="50">
        <v>3.131700140999824E-4</v>
      </c>
      <c r="G130" s="50">
        <v>4.0822102719296338E-4</v>
      </c>
      <c r="H130" s="63" t="s">
        <v>183</v>
      </c>
      <c r="I130" s="62">
        <v>72.858064270318522</v>
      </c>
      <c r="J130" s="62">
        <v>74.934684635649134</v>
      </c>
      <c r="K130" s="62">
        <v>76.730040713243781</v>
      </c>
      <c r="L130" s="62">
        <v>78.834011887396315</v>
      </c>
      <c r="M130" s="62">
        <v>80.96819141756113</v>
      </c>
      <c r="N130" s="62">
        <v>83.13788617709173</v>
      </c>
      <c r="O130" s="62">
        <v>85.343912608042501</v>
      </c>
      <c r="P130" s="62">
        <v>87.211115586423119</v>
      </c>
      <c r="Q130" s="62">
        <v>89.476334066316866</v>
      </c>
      <c r="R130" s="62">
        <v>91.78441575406589</v>
      </c>
      <c r="S130" s="62">
        <v>92.96662384881671</v>
      </c>
      <c r="T130" s="62">
        <v>96.556927782978818</v>
      </c>
      <c r="U130" s="62">
        <v>98.570682110121709</v>
      </c>
      <c r="V130" s="62">
        <v>101.11716487775142</v>
      </c>
      <c r="W130" s="62">
        <v>103.76407001807058</v>
      </c>
      <c r="X130" s="62">
        <v>106.50404955258976</v>
      </c>
      <c r="Y130" s="62">
        <v>109.36159674294051</v>
      </c>
      <c r="Z130" s="62">
        <v>111.7403006683939</v>
      </c>
      <c r="AA130" s="62">
        <v>113.87191341471768</v>
      </c>
      <c r="AB130" s="62">
        <v>116.10084313609373</v>
      </c>
      <c r="AC130" s="62">
        <v>118.39916157414058</v>
      </c>
      <c r="AD130" s="62">
        <v>120.77164395036451</v>
      </c>
      <c r="AE130" s="62">
        <v>123.22306548634047</v>
      </c>
      <c r="AF130" s="62">
        <v>125.75820140735186</v>
      </c>
      <c r="AG130" s="62">
        <v>128.38182693239577</v>
      </c>
      <c r="AH130" s="62">
        <v>131.09871729083281</v>
      </c>
      <c r="AI130" s="62">
        <v>133.9136476980695</v>
      </c>
      <c r="AJ130" s="62">
        <v>136.83139338586264</v>
      </c>
    </row>
    <row r="131" spans="1:36" x14ac:dyDescent="0.25">
      <c r="A131" s="58" t="s">
        <v>17</v>
      </c>
      <c r="B131" s="59" t="s">
        <v>18</v>
      </c>
      <c r="C131" s="60" t="s">
        <v>115</v>
      </c>
      <c r="D131" s="61" t="s">
        <v>30</v>
      </c>
      <c r="E131" s="50" t="s">
        <v>314</v>
      </c>
      <c r="F131" s="50">
        <v>8.7687603947995065E-5</v>
      </c>
      <c r="G131" s="50">
        <v>1.1430188761402974E-4</v>
      </c>
      <c r="H131" s="63" t="s">
        <v>313</v>
      </c>
      <c r="I131" s="62">
        <v>20.400257995689184</v>
      </c>
      <c r="J131" s="62">
        <v>20.981711697981755</v>
      </c>
      <c r="K131" s="62">
        <v>21.484411399708257</v>
      </c>
      <c r="L131" s="62">
        <v>22.073523328470966</v>
      </c>
      <c r="M131" s="62">
        <v>22.671093596917114</v>
      </c>
      <c r="N131" s="62">
        <v>23.278608129585681</v>
      </c>
      <c r="O131" s="62">
        <v>23.896295530251898</v>
      </c>
      <c r="P131" s="62">
        <v>24.419112364198472</v>
      </c>
      <c r="Q131" s="62">
        <v>25.053373538568721</v>
      </c>
      <c r="R131" s="62">
        <v>25.699636411138446</v>
      </c>
      <c r="S131" s="62">
        <v>26.030654677668675</v>
      </c>
      <c r="T131" s="62">
        <v>27.035939779234067</v>
      </c>
      <c r="U131" s="62">
        <v>27.599790990834077</v>
      </c>
      <c r="V131" s="62">
        <v>28.312806165770393</v>
      </c>
      <c r="W131" s="62">
        <v>29.053939605059764</v>
      </c>
      <c r="X131" s="62">
        <v>29.821133874725131</v>
      </c>
      <c r="Y131" s="62">
        <v>30.621247088023338</v>
      </c>
      <c r="Z131" s="62">
        <v>31.287284187150291</v>
      </c>
      <c r="AA131" s="62">
        <v>31.884135756120948</v>
      </c>
      <c r="AB131" s="62">
        <v>32.508236078106236</v>
      </c>
      <c r="AC131" s="62">
        <v>33.15176524075936</v>
      </c>
      <c r="AD131" s="62">
        <v>33.816060306102059</v>
      </c>
      <c r="AE131" s="62">
        <v>34.50245833617533</v>
      </c>
      <c r="AF131" s="62">
        <v>35.212296394058519</v>
      </c>
      <c r="AG131" s="62">
        <v>35.946911541070811</v>
      </c>
      <c r="AH131" s="62">
        <v>36.707640841433182</v>
      </c>
      <c r="AI131" s="62">
        <v>37.495821355459455</v>
      </c>
      <c r="AJ131" s="62">
        <v>38.312790148041536</v>
      </c>
    </row>
    <row r="132" spans="1:36" x14ac:dyDescent="0.25">
      <c r="A132" s="58" t="s">
        <v>17</v>
      </c>
      <c r="B132" s="59" t="s">
        <v>18</v>
      </c>
      <c r="C132" s="60" t="s">
        <v>115</v>
      </c>
      <c r="D132" s="61" t="s">
        <v>30</v>
      </c>
      <c r="E132" s="50" t="s">
        <v>179</v>
      </c>
      <c r="F132" s="50">
        <v>1.670240075199906E-5</v>
      </c>
      <c r="G132" s="50">
        <v>2.1771788116958046E-5</v>
      </c>
      <c r="H132" s="63" t="s">
        <v>178</v>
      </c>
      <c r="I132" s="62">
        <v>3.8857634277503212</v>
      </c>
      <c r="J132" s="62">
        <v>3.9965165139012866</v>
      </c>
      <c r="K132" s="62">
        <v>4.0922688380396686</v>
      </c>
      <c r="L132" s="62">
        <v>4.2044806339944705</v>
      </c>
      <c r="M132" s="62">
        <v>4.318303542269927</v>
      </c>
      <c r="N132" s="62">
        <v>4.4340205961115586</v>
      </c>
      <c r="O132" s="62">
        <v>4.5516753390956</v>
      </c>
      <c r="P132" s="62">
        <v>4.6512594979425659</v>
      </c>
      <c r="Q132" s="62">
        <v>4.7720711502035664</v>
      </c>
      <c r="R132" s="62">
        <v>4.8951688402168472</v>
      </c>
      <c r="S132" s="62">
        <v>4.9582199386035573</v>
      </c>
      <c r="T132" s="62">
        <v>5.149702815092204</v>
      </c>
      <c r="U132" s="62">
        <v>5.2571030458731576</v>
      </c>
      <c r="V132" s="62">
        <v>5.3929154601467415</v>
      </c>
      <c r="W132" s="62">
        <v>5.5340837342970977</v>
      </c>
      <c r="X132" s="62">
        <v>5.6802159761381201</v>
      </c>
      <c r="Y132" s="62">
        <v>5.8326184929568266</v>
      </c>
      <c r="Z132" s="62">
        <v>5.9594827023143413</v>
      </c>
      <c r="AA132" s="62">
        <v>6.0731687154516099</v>
      </c>
      <c r="AB132" s="62">
        <v>6.1920449672583313</v>
      </c>
      <c r="AC132" s="62">
        <v>6.3146219506208308</v>
      </c>
      <c r="AD132" s="62">
        <v>6.4411543440194396</v>
      </c>
      <c r="AE132" s="62">
        <v>6.5718968259381576</v>
      </c>
      <c r="AF132" s="62">
        <v>6.7071040750587656</v>
      </c>
      <c r="AG132" s="62">
        <v>6.8470307697277741</v>
      </c>
      <c r="AH132" s="62">
        <v>6.991931588844416</v>
      </c>
      <c r="AI132" s="62">
        <v>7.142061210563706</v>
      </c>
      <c r="AJ132" s="62">
        <v>7.2976743139126734</v>
      </c>
    </row>
    <row r="133" spans="1:36" x14ac:dyDescent="0.25">
      <c r="A133" s="58" t="s">
        <v>17</v>
      </c>
      <c r="B133" s="59" t="s">
        <v>18</v>
      </c>
      <c r="C133" s="60" t="s">
        <v>115</v>
      </c>
      <c r="D133" s="61" t="s">
        <v>30</v>
      </c>
      <c r="E133" s="50" t="s">
        <v>499</v>
      </c>
      <c r="F133" s="50">
        <v>2.5053601127998587E-5</v>
      </c>
      <c r="G133" s="50">
        <v>3.2657682175437066E-5</v>
      </c>
      <c r="H133" s="63" t="s">
        <v>498</v>
      </c>
      <c r="I133" s="62">
        <v>5.828645141625481</v>
      </c>
      <c r="J133" s="62">
        <v>5.9947747708519294</v>
      </c>
      <c r="K133" s="62">
        <v>6.138403257059502</v>
      </c>
      <c r="L133" s="62">
        <v>6.3067209509917044</v>
      </c>
      <c r="M133" s="62">
        <v>6.4774553134048896</v>
      </c>
      <c r="N133" s="62">
        <v>6.6510308941673371</v>
      </c>
      <c r="O133" s="62">
        <v>6.8275130086433995</v>
      </c>
      <c r="P133" s="62">
        <v>6.9768892469138484</v>
      </c>
      <c r="Q133" s="62">
        <v>7.1581067253053483</v>
      </c>
      <c r="R133" s="62">
        <v>7.3427532603252699</v>
      </c>
      <c r="S133" s="62">
        <v>7.4373299079053359</v>
      </c>
      <c r="T133" s="62">
        <v>7.7245542226383046</v>
      </c>
      <c r="U133" s="62">
        <v>7.8856545688097359</v>
      </c>
      <c r="V133" s="62">
        <v>8.0893731902201118</v>
      </c>
      <c r="W133" s="62">
        <v>8.301125601445646</v>
      </c>
      <c r="X133" s="62">
        <v>8.5203239642071793</v>
      </c>
      <c r="Y133" s="62">
        <v>8.7489277394352385</v>
      </c>
      <c r="Z133" s="62">
        <v>8.9392240534715111</v>
      </c>
      <c r="AA133" s="62">
        <v>9.1097530731774139</v>
      </c>
      <c r="AB133" s="62">
        <v>9.2880674508874961</v>
      </c>
      <c r="AC133" s="62">
        <v>9.4719329259312453</v>
      </c>
      <c r="AD133" s="62">
        <v>9.6617315160291586</v>
      </c>
      <c r="AE133" s="62">
        <v>9.8578452389072364</v>
      </c>
      <c r="AF133" s="62">
        <v>10.060656112588147</v>
      </c>
      <c r="AG133" s="62">
        <v>10.27054615459166</v>
      </c>
      <c r="AH133" s="62">
        <v>10.487897383266624</v>
      </c>
      <c r="AI133" s="62">
        <v>10.713091815845559</v>
      </c>
      <c r="AJ133" s="62">
        <v>10.946511470869009</v>
      </c>
    </row>
    <row r="134" spans="1:36" x14ac:dyDescent="0.25">
      <c r="A134" s="58" t="s">
        <v>17</v>
      </c>
      <c r="B134" s="59" t="s">
        <v>18</v>
      </c>
      <c r="C134" s="60" t="s">
        <v>115</v>
      </c>
      <c r="D134" s="61" t="s">
        <v>30</v>
      </c>
      <c r="E134" s="50" t="s">
        <v>277</v>
      </c>
      <c r="F134" s="50">
        <v>4.0920881842397696E-4</v>
      </c>
      <c r="G134" s="50">
        <v>5.3340880886547208E-4</v>
      </c>
      <c r="H134" s="63" t="s">
        <v>92</v>
      </c>
      <c r="I134" s="62">
        <v>95.201203979882862</v>
      </c>
      <c r="J134" s="62">
        <v>97.91465459058152</v>
      </c>
      <c r="K134" s="62">
        <v>100.26058653197187</v>
      </c>
      <c r="L134" s="62">
        <v>103.00977553286451</v>
      </c>
      <c r="M134" s="62">
        <v>105.79843678561319</v>
      </c>
      <c r="N134" s="62">
        <v>108.63350460473318</v>
      </c>
      <c r="O134" s="62">
        <v>111.51604580784219</v>
      </c>
      <c r="P134" s="62">
        <v>113.95585769959285</v>
      </c>
      <c r="Q134" s="62">
        <v>116.91574317998736</v>
      </c>
      <c r="R134" s="62">
        <v>119.93163658531275</v>
      </c>
      <c r="S134" s="62">
        <v>121.47638849578715</v>
      </c>
      <c r="T134" s="62">
        <v>126.16771896975898</v>
      </c>
      <c r="U134" s="62">
        <v>128.79902462389234</v>
      </c>
      <c r="V134" s="62">
        <v>132.12642877359517</v>
      </c>
      <c r="W134" s="62">
        <v>135.58505149027889</v>
      </c>
      <c r="X134" s="62">
        <v>139.16529141538393</v>
      </c>
      <c r="Y134" s="62">
        <v>142.89915307744224</v>
      </c>
      <c r="Z134" s="62">
        <v>146.00732620670135</v>
      </c>
      <c r="AA134" s="62">
        <v>148.79263352856441</v>
      </c>
      <c r="AB134" s="62">
        <v>151.70510169782912</v>
      </c>
      <c r="AC134" s="62">
        <v>154.70823779021032</v>
      </c>
      <c r="AD134" s="62">
        <v>157.80828142847628</v>
      </c>
      <c r="AE134" s="62">
        <v>161.01147223548486</v>
      </c>
      <c r="AF134" s="62">
        <v>164.32404983893974</v>
      </c>
      <c r="AG134" s="62">
        <v>167.75225385833045</v>
      </c>
      <c r="AH134" s="62">
        <v>171.30232392668819</v>
      </c>
      <c r="AI134" s="62">
        <v>174.98049965881077</v>
      </c>
      <c r="AJ134" s="62">
        <v>178.79302069086049</v>
      </c>
    </row>
    <row r="135" spans="1:36" x14ac:dyDescent="0.25">
      <c r="A135" s="58" t="s">
        <v>17</v>
      </c>
      <c r="B135" s="59" t="s">
        <v>18</v>
      </c>
      <c r="C135" s="60" t="s">
        <v>115</v>
      </c>
      <c r="D135" s="61" t="s">
        <v>30</v>
      </c>
      <c r="E135" s="50" t="s">
        <v>365</v>
      </c>
      <c r="F135" s="50">
        <v>1.6702400751999059E-4</v>
      </c>
      <c r="G135" s="50">
        <v>2.1771788116958045E-4</v>
      </c>
      <c r="H135" s="63" t="s">
        <v>364</v>
      </c>
      <c r="I135" s="62">
        <v>38.857634277503209</v>
      </c>
      <c r="J135" s="62">
        <v>39.965165139012868</v>
      </c>
      <c r="K135" s="62">
        <v>40.922688380396679</v>
      </c>
      <c r="L135" s="62">
        <v>42.044806339944699</v>
      </c>
      <c r="M135" s="62">
        <v>43.183035422699263</v>
      </c>
      <c r="N135" s="62">
        <v>44.340205961115586</v>
      </c>
      <c r="O135" s="62">
        <v>45.516753390955998</v>
      </c>
      <c r="P135" s="62">
        <v>46.512594979425657</v>
      </c>
      <c r="Q135" s="62">
        <v>47.720711502035662</v>
      </c>
      <c r="R135" s="62">
        <v>48.951688402168465</v>
      </c>
      <c r="S135" s="62">
        <v>49.582199386035576</v>
      </c>
      <c r="T135" s="62">
        <v>51.497028150922034</v>
      </c>
      <c r="U135" s="62">
        <v>52.57103045873157</v>
      </c>
      <c r="V135" s="62">
        <v>53.929154601467417</v>
      </c>
      <c r="W135" s="62">
        <v>55.340837342970978</v>
      </c>
      <c r="X135" s="62">
        <v>56.802159761381198</v>
      </c>
      <c r="Y135" s="62">
        <v>58.326184929568264</v>
      </c>
      <c r="Z135" s="62">
        <v>59.594827023143409</v>
      </c>
      <c r="AA135" s="62">
        <v>60.731687154516088</v>
      </c>
      <c r="AB135" s="62">
        <v>61.92044967258331</v>
      </c>
      <c r="AC135" s="62">
        <v>63.146219506208304</v>
      </c>
      <c r="AD135" s="62">
        <v>64.411543440194393</v>
      </c>
      <c r="AE135" s="62">
        <v>65.718968259381569</v>
      </c>
      <c r="AF135" s="62">
        <v>67.071040750587656</v>
      </c>
      <c r="AG135" s="62">
        <v>68.470307697277732</v>
      </c>
      <c r="AH135" s="62">
        <v>69.91931588844416</v>
      </c>
      <c r="AI135" s="62">
        <v>71.420612105637062</v>
      </c>
      <c r="AJ135" s="62">
        <v>72.976743139126739</v>
      </c>
    </row>
    <row r="136" spans="1:36" x14ac:dyDescent="0.25">
      <c r="A136" s="58" t="s">
        <v>17</v>
      </c>
      <c r="B136" s="59" t="s">
        <v>18</v>
      </c>
      <c r="C136" s="60" t="s">
        <v>115</v>
      </c>
      <c r="D136" s="61" t="s">
        <v>30</v>
      </c>
      <c r="E136" s="50" t="s">
        <v>153</v>
      </c>
      <c r="F136" s="50">
        <v>8.3512003759995302E-6</v>
      </c>
      <c r="G136" s="50">
        <v>1.0885894058479023E-5</v>
      </c>
      <c r="H136" s="63" t="s">
        <v>152</v>
      </c>
      <c r="I136" s="62">
        <v>1.9428817138751606</v>
      </c>
      <c r="J136" s="62">
        <v>1.9982582569506433</v>
      </c>
      <c r="K136" s="62">
        <v>2.0461344190198343</v>
      </c>
      <c r="L136" s="62">
        <v>2.1022403169972352</v>
      </c>
      <c r="M136" s="62">
        <v>2.1591517711349635</v>
      </c>
      <c r="N136" s="62">
        <v>2.2170102980557793</v>
      </c>
      <c r="O136" s="62">
        <v>2.2758376695478</v>
      </c>
      <c r="P136" s="62">
        <v>2.3256297489712829</v>
      </c>
      <c r="Q136" s="62">
        <v>2.3860355751017832</v>
      </c>
      <c r="R136" s="62">
        <v>2.4475844201084236</v>
      </c>
      <c r="S136" s="62">
        <v>2.4791099693017786</v>
      </c>
      <c r="T136" s="62">
        <v>2.574851407546102</v>
      </c>
      <c r="U136" s="62">
        <v>2.6285515229365788</v>
      </c>
      <c r="V136" s="62">
        <v>2.6964577300733708</v>
      </c>
      <c r="W136" s="62">
        <v>2.7670418671485488</v>
      </c>
      <c r="X136" s="62">
        <v>2.8401079880690601</v>
      </c>
      <c r="Y136" s="62">
        <v>2.9163092464784133</v>
      </c>
      <c r="Z136" s="62">
        <v>2.9797413511571706</v>
      </c>
      <c r="AA136" s="62">
        <v>3.0365843577258049</v>
      </c>
      <c r="AB136" s="62">
        <v>3.0960224836291657</v>
      </c>
      <c r="AC136" s="62">
        <v>3.1573109753104154</v>
      </c>
      <c r="AD136" s="62">
        <v>3.2205771720097198</v>
      </c>
      <c r="AE136" s="62">
        <v>3.2859484129690788</v>
      </c>
      <c r="AF136" s="62">
        <v>3.3535520375293828</v>
      </c>
      <c r="AG136" s="62">
        <v>3.4235153848638871</v>
      </c>
      <c r="AH136" s="62">
        <v>3.495965794422208</v>
      </c>
      <c r="AI136" s="62">
        <v>3.571030605281853</v>
      </c>
      <c r="AJ136" s="62">
        <v>3.6488371569563367</v>
      </c>
    </row>
    <row r="137" spans="1:36" x14ac:dyDescent="0.25">
      <c r="A137" s="58" t="s">
        <v>17</v>
      </c>
      <c r="B137" s="59" t="s">
        <v>18</v>
      </c>
      <c r="C137" s="60" t="s">
        <v>115</v>
      </c>
      <c r="D137" s="61" t="s">
        <v>30</v>
      </c>
      <c r="E137" s="50" t="s">
        <v>262</v>
      </c>
      <c r="F137" s="50">
        <v>4.5931602067997415E-4</v>
      </c>
      <c r="G137" s="50">
        <v>5.9872417321634624E-4</v>
      </c>
      <c r="H137" s="63" t="s">
        <v>261</v>
      </c>
      <c r="I137" s="62">
        <v>106.85849426313382</v>
      </c>
      <c r="J137" s="62">
        <v>109.90420413228539</v>
      </c>
      <c r="K137" s="62">
        <v>112.53739304609087</v>
      </c>
      <c r="L137" s="62">
        <v>115.62321743484792</v>
      </c>
      <c r="M137" s="62">
        <v>118.75334741242298</v>
      </c>
      <c r="N137" s="62">
        <v>121.93556639306786</v>
      </c>
      <c r="O137" s="62">
        <v>125.17107182512899</v>
      </c>
      <c r="P137" s="62">
        <v>127.90963619342057</v>
      </c>
      <c r="Q137" s="62">
        <v>131.23195663059806</v>
      </c>
      <c r="R137" s="62">
        <v>134.61714310596329</v>
      </c>
      <c r="S137" s="62">
        <v>136.35104831159782</v>
      </c>
      <c r="T137" s="62">
        <v>141.6168274150356</v>
      </c>
      <c r="U137" s="62">
        <v>144.57033376151182</v>
      </c>
      <c r="V137" s="62">
        <v>148.3051751540354</v>
      </c>
      <c r="W137" s="62">
        <v>152.18730269317018</v>
      </c>
      <c r="X137" s="62">
        <v>156.20593934379829</v>
      </c>
      <c r="Y137" s="62">
        <v>160.39700855631273</v>
      </c>
      <c r="Z137" s="62">
        <v>163.88577431364436</v>
      </c>
      <c r="AA137" s="62">
        <v>167.01213967491924</v>
      </c>
      <c r="AB137" s="62">
        <v>170.28123659960411</v>
      </c>
      <c r="AC137" s="62">
        <v>173.65210364207283</v>
      </c>
      <c r="AD137" s="62">
        <v>177.13174446053461</v>
      </c>
      <c r="AE137" s="62">
        <v>180.72716271329932</v>
      </c>
      <c r="AF137" s="62">
        <v>184.44536206411604</v>
      </c>
      <c r="AG137" s="62">
        <v>188.29334616751379</v>
      </c>
      <c r="AH137" s="62">
        <v>192.27811869322144</v>
      </c>
      <c r="AI137" s="62">
        <v>196.40668329050192</v>
      </c>
      <c r="AJ137" s="62">
        <v>200.68604363259851</v>
      </c>
    </row>
    <row r="138" spans="1:36" x14ac:dyDescent="0.25">
      <c r="A138" s="58" t="s">
        <v>17</v>
      </c>
      <c r="B138" s="59" t="s">
        <v>18</v>
      </c>
      <c r="C138" s="60" t="s">
        <v>115</v>
      </c>
      <c r="D138" s="61" t="s">
        <v>30</v>
      </c>
      <c r="E138" s="50" t="s">
        <v>288</v>
      </c>
      <c r="F138" s="50">
        <v>1.0940072492559385E-3</v>
      </c>
      <c r="G138" s="50">
        <v>1.4260521216607519E-3</v>
      </c>
      <c r="H138" s="63" t="s">
        <v>287</v>
      </c>
      <c r="I138" s="62">
        <v>254.51750451764602</v>
      </c>
      <c r="J138" s="62">
        <v>261.77183166053425</v>
      </c>
      <c r="K138" s="62">
        <v>268.04360889159824</v>
      </c>
      <c r="L138" s="62">
        <v>275.39348152663774</v>
      </c>
      <c r="M138" s="62">
        <v>282.84888201868017</v>
      </c>
      <c r="N138" s="62">
        <v>290.42834904530707</v>
      </c>
      <c r="O138" s="62">
        <v>298.13473471076179</v>
      </c>
      <c r="P138" s="62">
        <v>304.65749711523807</v>
      </c>
      <c r="Q138" s="62">
        <v>312.5706603383336</v>
      </c>
      <c r="R138" s="62">
        <v>320.63355903420347</v>
      </c>
      <c r="S138" s="62">
        <v>324.763405978533</v>
      </c>
      <c r="T138" s="62">
        <v>337.30553438853929</v>
      </c>
      <c r="U138" s="62">
        <v>344.34024950469183</v>
      </c>
      <c r="V138" s="62">
        <v>353.23596263961156</v>
      </c>
      <c r="W138" s="62">
        <v>362.48248459645987</v>
      </c>
      <c r="X138" s="62">
        <v>372.05414643704688</v>
      </c>
      <c r="Y138" s="62">
        <v>382.0365112886721</v>
      </c>
      <c r="Z138" s="62">
        <v>390.34611700158933</v>
      </c>
      <c r="AA138" s="62">
        <v>397.79255086208042</v>
      </c>
      <c r="AB138" s="62">
        <v>405.57894535542067</v>
      </c>
      <c r="AC138" s="62">
        <v>413.60773776566435</v>
      </c>
      <c r="AD138" s="62">
        <v>421.89560953327327</v>
      </c>
      <c r="AE138" s="62">
        <v>430.45924209894929</v>
      </c>
      <c r="AF138" s="62">
        <v>439.3153169163491</v>
      </c>
      <c r="AG138" s="62">
        <v>448.48051541716922</v>
      </c>
      <c r="AH138" s="62">
        <v>457.97151906930924</v>
      </c>
      <c r="AI138" s="62">
        <v>467.80500929192272</v>
      </c>
      <c r="AJ138" s="62">
        <v>477.99766756128008</v>
      </c>
    </row>
    <row r="139" spans="1:36" x14ac:dyDescent="0.25">
      <c r="A139" s="58" t="s">
        <v>17</v>
      </c>
      <c r="B139" s="59" t="s">
        <v>18</v>
      </c>
      <c r="C139" s="60" t="s">
        <v>115</v>
      </c>
      <c r="D139" s="61" t="s">
        <v>30</v>
      </c>
      <c r="E139" s="50" t="s">
        <v>476</v>
      </c>
      <c r="F139" s="50">
        <v>2.3800921071598662E-4</v>
      </c>
      <c r="G139" s="50">
        <v>3.1024798066665214E-4</v>
      </c>
      <c r="H139" s="63" t="s">
        <v>475</v>
      </c>
      <c r="I139" s="62">
        <v>55.372128845442077</v>
      </c>
      <c r="J139" s="62">
        <v>56.950360323093335</v>
      </c>
      <c r="K139" s="62">
        <v>58.314830942065271</v>
      </c>
      <c r="L139" s="62">
        <v>59.913849034421197</v>
      </c>
      <c r="M139" s="62">
        <v>61.535825477346457</v>
      </c>
      <c r="N139" s="62">
        <v>63.184793494589712</v>
      </c>
      <c r="O139" s="62">
        <v>64.861373582112293</v>
      </c>
      <c r="P139" s="62">
        <v>66.280447845681564</v>
      </c>
      <c r="Q139" s="62">
        <v>68.002013890400818</v>
      </c>
      <c r="R139" s="62">
        <v>69.756155973090074</v>
      </c>
      <c r="S139" s="62">
        <v>70.654634125100699</v>
      </c>
      <c r="T139" s="62">
        <v>73.383265115063892</v>
      </c>
      <c r="U139" s="62">
        <v>74.913718403692499</v>
      </c>
      <c r="V139" s="62">
        <v>76.849045307091075</v>
      </c>
      <c r="W139" s="62">
        <v>78.86069321373364</v>
      </c>
      <c r="X139" s="62">
        <v>80.94307765996821</v>
      </c>
      <c r="Y139" s="62">
        <v>83.114813524634769</v>
      </c>
      <c r="Z139" s="62">
        <v>84.922628507979354</v>
      </c>
      <c r="AA139" s="62">
        <v>86.542654195185435</v>
      </c>
      <c r="AB139" s="62">
        <v>88.236640783431227</v>
      </c>
      <c r="AC139" s="62">
        <v>89.983362796346825</v>
      </c>
      <c r="AD139" s="62">
        <v>91.786449402277015</v>
      </c>
      <c r="AE139" s="62">
        <v>93.649529769618752</v>
      </c>
      <c r="AF139" s="62">
        <v>95.576233069587403</v>
      </c>
      <c r="AG139" s="62">
        <v>97.570188468620785</v>
      </c>
      <c r="AH139" s="62">
        <v>99.635025141032926</v>
      </c>
      <c r="AI139" s="62">
        <v>101.77437225053281</v>
      </c>
      <c r="AJ139" s="62">
        <v>103.9918589732556</v>
      </c>
    </row>
    <row r="140" spans="1:36" x14ac:dyDescent="0.25">
      <c r="A140" s="58" t="s">
        <v>17</v>
      </c>
      <c r="B140" s="59" t="s">
        <v>18</v>
      </c>
      <c r="C140" s="60" t="s">
        <v>115</v>
      </c>
      <c r="D140" s="61" t="s">
        <v>30</v>
      </c>
      <c r="E140" s="50" t="s">
        <v>188</v>
      </c>
      <c r="F140" s="50">
        <v>1.0856560488799389E-4</v>
      </c>
      <c r="G140" s="50">
        <v>1.4151662276022729E-4</v>
      </c>
      <c r="H140" s="63" t="s">
        <v>187</v>
      </c>
      <c r="I140" s="62">
        <v>25.257462280377087</v>
      </c>
      <c r="J140" s="62">
        <v>25.977357340358363</v>
      </c>
      <c r="K140" s="62">
        <v>26.59974744725784</v>
      </c>
      <c r="L140" s="62">
        <v>27.329124120964053</v>
      </c>
      <c r="M140" s="62">
        <v>28.06897302475452</v>
      </c>
      <c r="N140" s="62">
        <v>28.821133874725131</v>
      </c>
      <c r="O140" s="62">
        <v>29.585889704121399</v>
      </c>
      <c r="P140" s="62">
        <v>30.233186736626678</v>
      </c>
      <c r="Q140" s="62">
        <v>31.01846247632318</v>
      </c>
      <c r="R140" s="62">
        <v>31.818597461409503</v>
      </c>
      <c r="S140" s="62">
        <v>32.228429600923121</v>
      </c>
      <c r="T140" s="62">
        <v>33.473068298099321</v>
      </c>
      <c r="U140" s="62">
        <v>34.171169798175519</v>
      </c>
      <c r="V140" s="62">
        <v>35.053950490953817</v>
      </c>
      <c r="W140" s="62">
        <v>35.971544272931133</v>
      </c>
      <c r="X140" s="62">
        <v>36.921403844897782</v>
      </c>
      <c r="Y140" s="62">
        <v>37.912020204219374</v>
      </c>
      <c r="Z140" s="62">
        <v>38.736637565043218</v>
      </c>
      <c r="AA140" s="62">
        <v>39.475596650435456</v>
      </c>
      <c r="AB140" s="62">
        <v>40.248292287179154</v>
      </c>
      <c r="AC140" s="62">
        <v>41.045042679035397</v>
      </c>
      <c r="AD140" s="62">
        <v>41.86750323612636</v>
      </c>
      <c r="AE140" s="62">
        <v>42.717329368598023</v>
      </c>
      <c r="AF140" s="62">
        <v>43.596176487881976</v>
      </c>
      <c r="AG140" s="62">
        <v>44.50570000323053</v>
      </c>
      <c r="AH140" s="62">
        <v>45.447555327488701</v>
      </c>
      <c r="AI140" s="62">
        <v>46.423397868664082</v>
      </c>
      <c r="AJ140" s="62">
        <v>47.434883040432375</v>
      </c>
    </row>
    <row r="141" spans="1:36" x14ac:dyDescent="0.25">
      <c r="A141" s="58" t="s">
        <v>17</v>
      </c>
      <c r="B141" s="59" t="s">
        <v>18</v>
      </c>
      <c r="C141" s="60" t="s">
        <v>115</v>
      </c>
      <c r="D141" s="61" t="s">
        <v>30</v>
      </c>
      <c r="E141" s="50" t="s">
        <v>447</v>
      </c>
      <c r="F141" s="50">
        <v>1.7119960770799037E-4</v>
      </c>
      <c r="G141" s="50">
        <v>2.2316082819881996E-4</v>
      </c>
      <c r="H141" s="63" t="s">
        <v>446</v>
      </c>
      <c r="I141" s="62">
        <v>39.829075134440792</v>
      </c>
      <c r="J141" s="62">
        <v>40.964294267488185</v>
      </c>
      <c r="K141" s="62">
        <v>41.945755589906597</v>
      </c>
      <c r="L141" s="62">
        <v>43.095926498443319</v>
      </c>
      <c r="M141" s="62">
        <v>44.262611308266749</v>
      </c>
      <c r="N141" s="62">
        <v>45.448711110143478</v>
      </c>
      <c r="O141" s="62">
        <v>46.654672225729897</v>
      </c>
      <c r="P141" s="62">
        <v>47.675409853911297</v>
      </c>
      <c r="Q141" s="62">
        <v>48.913729289586549</v>
      </c>
      <c r="R141" s="62">
        <v>50.175480612222678</v>
      </c>
      <c r="S141" s="62">
        <v>50.821754370686463</v>
      </c>
      <c r="T141" s="62">
        <v>52.784453854695087</v>
      </c>
      <c r="U141" s="62">
        <v>53.885306220199865</v>
      </c>
      <c r="V141" s="62">
        <v>55.277383466504105</v>
      </c>
      <c r="W141" s="62">
        <v>56.724358276545253</v>
      </c>
      <c r="X141" s="62">
        <v>58.22221375541573</v>
      </c>
      <c r="Y141" s="62">
        <v>59.784339552807467</v>
      </c>
      <c r="Z141" s="62">
        <v>61.084697698721996</v>
      </c>
      <c r="AA141" s="62">
        <v>62.249979333378995</v>
      </c>
      <c r="AB141" s="62">
        <v>63.468460914397895</v>
      </c>
      <c r="AC141" s="62">
        <v>64.724874993863509</v>
      </c>
      <c r="AD141" s="62">
        <v>66.021832026199263</v>
      </c>
      <c r="AE141" s="62">
        <v>67.361942465866122</v>
      </c>
      <c r="AF141" s="62">
        <v>68.74781676935234</v>
      </c>
      <c r="AG141" s="62">
        <v>70.182065389709678</v>
      </c>
      <c r="AH141" s="62">
        <v>71.667298785655262</v>
      </c>
      <c r="AI141" s="62">
        <v>73.206127408277979</v>
      </c>
      <c r="AJ141" s="62">
        <v>74.801161717604899</v>
      </c>
    </row>
    <row r="142" spans="1:36" x14ac:dyDescent="0.25">
      <c r="A142" s="58" t="s">
        <v>17</v>
      </c>
      <c r="B142" s="59" t="s">
        <v>18</v>
      </c>
      <c r="C142" s="60" t="s">
        <v>115</v>
      </c>
      <c r="D142" s="61" t="s">
        <v>30</v>
      </c>
      <c r="E142" s="50" t="s">
        <v>254</v>
      </c>
      <c r="F142" s="50">
        <v>2.4218481090398637E-4</v>
      </c>
      <c r="G142" s="50">
        <v>3.1569092769589166E-4</v>
      </c>
      <c r="H142" s="63" t="s">
        <v>253</v>
      </c>
      <c r="I142" s="62">
        <v>56.343569702379654</v>
      </c>
      <c r="J142" s="62">
        <v>57.94948945156866</v>
      </c>
      <c r="K142" s="62">
        <v>59.337898151575189</v>
      </c>
      <c r="L142" s="62">
        <v>60.964969192919817</v>
      </c>
      <c r="M142" s="62">
        <v>62.615401362913936</v>
      </c>
      <c r="N142" s="62">
        <v>64.293298643617604</v>
      </c>
      <c r="O142" s="62">
        <v>65.999292416886192</v>
      </c>
      <c r="P142" s="62">
        <v>67.443262720167212</v>
      </c>
      <c r="Q142" s="62">
        <v>69.195031677951704</v>
      </c>
      <c r="R142" s="62">
        <v>70.979948183144273</v>
      </c>
      <c r="S142" s="62">
        <v>71.894189109751579</v>
      </c>
      <c r="T142" s="62">
        <v>74.670690818836945</v>
      </c>
      <c r="U142" s="62">
        <v>76.22799416516078</v>
      </c>
      <c r="V142" s="62">
        <v>78.197274172127749</v>
      </c>
      <c r="W142" s="62">
        <v>80.244214147307915</v>
      </c>
      <c r="X142" s="62">
        <v>82.363131654002743</v>
      </c>
      <c r="Y142" s="62">
        <v>84.572968147873979</v>
      </c>
      <c r="Z142" s="62">
        <v>86.412499183557941</v>
      </c>
      <c r="AA142" s="62">
        <v>88.060946374048328</v>
      </c>
      <c r="AB142" s="62">
        <v>89.784652025245805</v>
      </c>
      <c r="AC142" s="62">
        <v>91.562018284002036</v>
      </c>
      <c r="AD142" s="62">
        <v>93.396737988281885</v>
      </c>
      <c r="AE142" s="62">
        <v>95.292503976103291</v>
      </c>
      <c r="AF142" s="62">
        <v>97.253009088352101</v>
      </c>
      <c r="AG142" s="62">
        <v>99.28194616105273</v>
      </c>
      <c r="AH142" s="62">
        <v>101.38300803824403</v>
      </c>
      <c r="AI142" s="62">
        <v>103.55988755317374</v>
      </c>
      <c r="AJ142" s="62">
        <v>105.81627755173376</v>
      </c>
    </row>
    <row r="143" spans="1:36" x14ac:dyDescent="0.25">
      <c r="A143" s="58" t="s">
        <v>17</v>
      </c>
      <c r="B143" s="59" t="s">
        <v>18</v>
      </c>
      <c r="C143" s="60" t="s">
        <v>115</v>
      </c>
      <c r="D143" s="61" t="s">
        <v>30</v>
      </c>
      <c r="E143" s="50" t="s">
        <v>380</v>
      </c>
      <c r="F143" s="50">
        <v>2.8018277261478426E-3</v>
      </c>
      <c r="G143" s="50">
        <v>3.6522174566197122E-3</v>
      </c>
      <c r="H143" s="63" t="s">
        <v>379</v>
      </c>
      <c r="I143" s="62">
        <v>651.83681500511636</v>
      </c>
      <c r="J143" s="62">
        <v>670.41564520694089</v>
      </c>
      <c r="K143" s="62">
        <v>686.47809758115432</v>
      </c>
      <c r="L143" s="62">
        <v>705.30162635257238</v>
      </c>
      <c r="M143" s="62">
        <v>724.39541921578018</v>
      </c>
      <c r="N143" s="62">
        <v>743.806954997714</v>
      </c>
      <c r="O143" s="62">
        <v>763.54353813328692</v>
      </c>
      <c r="P143" s="62">
        <v>780.24878077986546</v>
      </c>
      <c r="Q143" s="62">
        <v>800.51493544664822</v>
      </c>
      <c r="R143" s="62">
        <v>821.1645729463761</v>
      </c>
      <c r="S143" s="62">
        <v>831.74139470074681</v>
      </c>
      <c r="T143" s="62">
        <v>863.86264723171712</v>
      </c>
      <c r="U143" s="62">
        <v>881.8790359452222</v>
      </c>
      <c r="V143" s="62">
        <v>904.66156843961596</v>
      </c>
      <c r="W143" s="62">
        <v>928.34254642833821</v>
      </c>
      <c r="X143" s="62">
        <v>952.85622999716963</v>
      </c>
      <c r="Y143" s="62">
        <v>978.4217521935077</v>
      </c>
      <c r="Z143" s="62">
        <v>999.70322331323075</v>
      </c>
      <c r="AA143" s="62">
        <v>1018.7740520170075</v>
      </c>
      <c r="AB143" s="62">
        <v>1038.7155432575851</v>
      </c>
      <c r="AC143" s="62">
        <v>1059.2778322166444</v>
      </c>
      <c r="AD143" s="62">
        <v>1080.5036412092611</v>
      </c>
      <c r="AE143" s="62">
        <v>1102.4356925511261</v>
      </c>
      <c r="AF143" s="62">
        <v>1125.1167085911079</v>
      </c>
      <c r="AG143" s="62">
        <v>1148.5894116218342</v>
      </c>
      <c r="AH143" s="62">
        <v>1172.8965240286509</v>
      </c>
      <c r="AI143" s="62">
        <v>1198.0807680720618</v>
      </c>
      <c r="AJ143" s="62">
        <v>1224.184866158851</v>
      </c>
    </row>
    <row r="144" spans="1:36" x14ac:dyDescent="0.25">
      <c r="A144" s="58" t="s">
        <v>17</v>
      </c>
      <c r="B144" s="59" t="s">
        <v>18</v>
      </c>
      <c r="C144" s="60" t="s">
        <v>115</v>
      </c>
      <c r="D144" s="61" t="s">
        <v>30</v>
      </c>
      <c r="E144" s="50" t="s">
        <v>382</v>
      </c>
      <c r="F144" s="50">
        <v>2.9229201315998354E-5</v>
      </c>
      <c r="G144" s="50">
        <v>3.8100629204676579E-5</v>
      </c>
      <c r="H144" s="63" t="s">
        <v>381</v>
      </c>
      <c r="I144" s="62">
        <v>6.8000859985630617</v>
      </c>
      <c r="J144" s="62">
        <v>6.9939038993272513</v>
      </c>
      <c r="K144" s="62">
        <v>7.1614704665694191</v>
      </c>
      <c r="L144" s="62">
        <v>7.3578411094903222</v>
      </c>
      <c r="M144" s="62">
        <v>7.5570311989723713</v>
      </c>
      <c r="N144" s="62">
        <v>7.7595360431952276</v>
      </c>
      <c r="O144" s="62">
        <v>7.9654318434172993</v>
      </c>
      <c r="P144" s="62">
        <v>8.1397041213994896</v>
      </c>
      <c r="Q144" s="62">
        <v>8.3511245128562415</v>
      </c>
      <c r="R144" s="62">
        <v>8.5665454703794826</v>
      </c>
      <c r="S144" s="62">
        <v>8.6768848925562256</v>
      </c>
      <c r="T144" s="62">
        <v>9.0119799264113567</v>
      </c>
      <c r="U144" s="62">
        <v>9.1999303302780255</v>
      </c>
      <c r="V144" s="62">
        <v>9.4376020552567983</v>
      </c>
      <c r="W144" s="62">
        <v>9.6846465350199207</v>
      </c>
      <c r="X144" s="62">
        <v>9.9403779582417098</v>
      </c>
      <c r="Y144" s="62">
        <v>10.207082362674447</v>
      </c>
      <c r="Z144" s="62">
        <v>10.429094729050096</v>
      </c>
      <c r="AA144" s="62">
        <v>10.628045252040316</v>
      </c>
      <c r="AB144" s="62">
        <v>10.836078692702079</v>
      </c>
      <c r="AC144" s="62">
        <v>11.050588413586453</v>
      </c>
      <c r="AD144" s="62">
        <v>11.27202010203402</v>
      </c>
      <c r="AE144" s="62">
        <v>11.500819445391777</v>
      </c>
      <c r="AF144" s="62">
        <v>11.73743213135284</v>
      </c>
      <c r="AG144" s="62">
        <v>11.982303847023605</v>
      </c>
      <c r="AH144" s="62">
        <v>12.235880280477728</v>
      </c>
      <c r="AI144" s="62">
        <v>12.498607118486484</v>
      </c>
      <c r="AJ144" s="62">
        <v>12.770930049347179</v>
      </c>
    </row>
    <row r="145" spans="1:36" x14ac:dyDescent="0.25">
      <c r="A145" s="58" t="s">
        <v>17</v>
      </c>
      <c r="B145" s="59" t="s">
        <v>18</v>
      </c>
      <c r="C145" s="60" t="s">
        <v>115</v>
      </c>
      <c r="D145" s="61" t="s">
        <v>30</v>
      </c>
      <c r="E145" s="50" t="s">
        <v>427</v>
      </c>
      <c r="F145" s="50">
        <v>1.2109240545199319E-4</v>
      </c>
      <c r="G145" s="50">
        <v>1.5784546384794583E-4</v>
      </c>
      <c r="H145" s="63" t="s">
        <v>426</v>
      </c>
      <c r="I145" s="62">
        <v>28.171784851189827</v>
      </c>
      <c r="J145" s="62">
        <v>28.97474472578433</v>
      </c>
      <c r="K145" s="62">
        <v>29.668949075787594</v>
      </c>
      <c r="L145" s="62">
        <v>30.482484596459908</v>
      </c>
      <c r="M145" s="62">
        <v>31.307700681456968</v>
      </c>
      <c r="N145" s="62">
        <v>32.146649321808802</v>
      </c>
      <c r="O145" s="62">
        <v>32.999646208443096</v>
      </c>
      <c r="P145" s="62">
        <v>33.721631360083606</v>
      </c>
      <c r="Q145" s="62">
        <v>34.597515838975852</v>
      </c>
      <c r="R145" s="62">
        <v>35.489974091572137</v>
      </c>
      <c r="S145" s="62">
        <v>35.94709455487579</v>
      </c>
      <c r="T145" s="62">
        <v>37.335345409418473</v>
      </c>
      <c r="U145" s="62">
        <v>38.11399708258039</v>
      </c>
      <c r="V145" s="62">
        <v>39.098637086063874</v>
      </c>
      <c r="W145" s="62">
        <v>40.122107073653957</v>
      </c>
      <c r="X145" s="62">
        <v>41.181565827001371</v>
      </c>
      <c r="Y145" s="62">
        <v>42.28648407393699</v>
      </c>
      <c r="Z145" s="62">
        <v>43.20624959177897</v>
      </c>
      <c r="AA145" s="62">
        <v>44.030473187024164</v>
      </c>
      <c r="AB145" s="62">
        <v>44.892326012622902</v>
      </c>
      <c r="AC145" s="62">
        <v>45.781009142001018</v>
      </c>
      <c r="AD145" s="62">
        <v>46.698368994140942</v>
      </c>
      <c r="AE145" s="62">
        <v>47.646251988051645</v>
      </c>
      <c r="AF145" s="62">
        <v>48.626504544176051</v>
      </c>
      <c r="AG145" s="62">
        <v>49.640973080526365</v>
      </c>
      <c r="AH145" s="62">
        <v>50.691504019122014</v>
      </c>
      <c r="AI145" s="62">
        <v>51.779943776586869</v>
      </c>
      <c r="AJ145" s="62">
        <v>52.908138775866881</v>
      </c>
    </row>
    <row r="146" spans="1:36" x14ac:dyDescent="0.25">
      <c r="A146" s="58" t="s">
        <v>17</v>
      </c>
      <c r="B146" s="59" t="s">
        <v>18</v>
      </c>
      <c r="C146" s="60" t="s">
        <v>115</v>
      </c>
      <c r="D146" s="61" t="s">
        <v>30</v>
      </c>
      <c r="E146" s="50" t="s">
        <v>310</v>
      </c>
      <c r="F146" s="50">
        <v>5.3865242425196974E-4</v>
      </c>
      <c r="G146" s="50">
        <v>7.0214016677189693E-4</v>
      </c>
      <c r="H146" s="63" t="s">
        <v>309</v>
      </c>
      <c r="I146" s="62">
        <v>125.31587054494786</v>
      </c>
      <c r="J146" s="62">
        <v>128.88765757331649</v>
      </c>
      <c r="K146" s="62">
        <v>131.97567002677928</v>
      </c>
      <c r="L146" s="62">
        <v>135.59450044632166</v>
      </c>
      <c r="M146" s="62">
        <v>139.26528923820513</v>
      </c>
      <c r="N146" s="62">
        <v>142.99716422459775</v>
      </c>
      <c r="O146" s="62">
        <v>146.7915296858331</v>
      </c>
      <c r="P146" s="62">
        <v>150.00311880864774</v>
      </c>
      <c r="Q146" s="62">
        <v>153.899294594065</v>
      </c>
      <c r="R146" s="62">
        <v>157.86919509699331</v>
      </c>
      <c r="S146" s="62">
        <v>159.90259301996471</v>
      </c>
      <c r="T146" s="62">
        <v>166.07791578672357</v>
      </c>
      <c r="U146" s="62">
        <v>169.54157322940932</v>
      </c>
      <c r="V146" s="62">
        <v>173.9215235897324</v>
      </c>
      <c r="W146" s="62">
        <v>178.47420043108139</v>
      </c>
      <c r="X146" s="62">
        <v>183.18696523045438</v>
      </c>
      <c r="Y146" s="62">
        <v>188.10194639785763</v>
      </c>
      <c r="Z146" s="62">
        <v>192.19331714963749</v>
      </c>
      <c r="AA146" s="62">
        <v>195.85969107331439</v>
      </c>
      <c r="AB146" s="62">
        <v>199.69345019408118</v>
      </c>
      <c r="AC146" s="62">
        <v>203.64655790752175</v>
      </c>
      <c r="AD146" s="62">
        <v>207.72722759462692</v>
      </c>
      <c r="AE146" s="62">
        <v>211.94367263650557</v>
      </c>
      <c r="AF146" s="62">
        <v>216.30410642064518</v>
      </c>
      <c r="AG146" s="62">
        <v>220.81674232372072</v>
      </c>
      <c r="AH146" s="62">
        <v>225.48979374023241</v>
      </c>
      <c r="AI146" s="62">
        <v>230.3314740406795</v>
      </c>
      <c r="AJ146" s="62">
        <v>235.34999662368372</v>
      </c>
    </row>
    <row r="147" spans="1:36" x14ac:dyDescent="0.25">
      <c r="A147" s="58" t="s">
        <v>17</v>
      </c>
      <c r="B147" s="59" t="s">
        <v>18</v>
      </c>
      <c r="C147" s="60" t="s">
        <v>115</v>
      </c>
      <c r="D147" s="61" t="s">
        <v>30</v>
      </c>
      <c r="E147" s="50" t="s">
        <v>449</v>
      </c>
      <c r="F147" s="50">
        <v>4.1756001879997648E-5</v>
      </c>
      <c r="G147" s="50">
        <v>5.4429470292395112E-5</v>
      </c>
      <c r="H147" s="63" t="s">
        <v>448</v>
      </c>
      <c r="I147" s="62">
        <v>9.7144085693758022</v>
      </c>
      <c r="J147" s="62">
        <v>9.9912912847532169</v>
      </c>
      <c r="K147" s="62">
        <v>10.23067209509917</v>
      </c>
      <c r="L147" s="62">
        <v>10.511201584986175</v>
      </c>
      <c r="M147" s="62">
        <v>10.795758855674816</v>
      </c>
      <c r="N147" s="62">
        <v>11.085051490278897</v>
      </c>
      <c r="O147" s="62">
        <v>11.379188347738999</v>
      </c>
      <c r="P147" s="62">
        <v>11.628148744856414</v>
      </c>
      <c r="Q147" s="62">
        <v>11.930177875508916</v>
      </c>
      <c r="R147" s="62">
        <v>12.237922100542116</v>
      </c>
      <c r="S147" s="62">
        <v>12.395549846508894</v>
      </c>
      <c r="T147" s="62">
        <v>12.874257037730509</v>
      </c>
      <c r="U147" s="62">
        <v>13.142757614682893</v>
      </c>
      <c r="V147" s="62">
        <v>13.482288650366854</v>
      </c>
      <c r="W147" s="62">
        <v>13.835209335742745</v>
      </c>
      <c r="X147" s="62">
        <v>14.200539940345299</v>
      </c>
      <c r="Y147" s="62">
        <v>14.581546232392066</v>
      </c>
      <c r="Z147" s="62">
        <v>14.898706755785852</v>
      </c>
      <c r="AA147" s="62">
        <v>15.182921788629022</v>
      </c>
      <c r="AB147" s="62">
        <v>15.480112418145827</v>
      </c>
      <c r="AC147" s="62">
        <v>15.786554876552076</v>
      </c>
      <c r="AD147" s="62">
        <v>16.102885860048598</v>
      </c>
      <c r="AE147" s="62">
        <v>16.429742064845392</v>
      </c>
      <c r="AF147" s="62">
        <v>16.767760187646914</v>
      </c>
      <c r="AG147" s="62">
        <v>17.117576924319433</v>
      </c>
      <c r="AH147" s="62">
        <v>17.47982897211104</v>
      </c>
      <c r="AI147" s="62">
        <v>17.855153026409265</v>
      </c>
      <c r="AJ147" s="62">
        <v>18.244185784781685</v>
      </c>
    </row>
    <row r="148" spans="1:36" x14ac:dyDescent="0.25">
      <c r="A148" s="58" t="s">
        <v>17</v>
      </c>
      <c r="B148" s="59" t="s">
        <v>18</v>
      </c>
      <c r="C148" s="60" t="s">
        <v>115</v>
      </c>
      <c r="D148" s="61" t="s">
        <v>30</v>
      </c>
      <c r="E148" s="50" t="s">
        <v>298</v>
      </c>
      <c r="F148" s="50">
        <v>2.0001124900518876E-3</v>
      </c>
      <c r="G148" s="50">
        <v>2.6071716270057261E-3</v>
      </c>
      <c r="H148" s="63" t="s">
        <v>297</v>
      </c>
      <c r="I148" s="62">
        <v>465.32017047310097</v>
      </c>
      <c r="J148" s="62">
        <v>478.5828525396791</v>
      </c>
      <c r="K148" s="62">
        <v>490.04919335525028</v>
      </c>
      <c r="L148" s="62">
        <v>503.48655592083782</v>
      </c>
      <c r="M148" s="62">
        <v>517.11684918682374</v>
      </c>
      <c r="N148" s="62">
        <v>530.97396638435919</v>
      </c>
      <c r="O148" s="62">
        <v>545.0631218566981</v>
      </c>
      <c r="P148" s="62">
        <v>556.98832487862228</v>
      </c>
      <c r="Q148" s="62">
        <v>571.45552023687708</v>
      </c>
      <c r="R148" s="62">
        <v>586.19646861596743</v>
      </c>
      <c r="S148" s="62">
        <v>593.74683764777603</v>
      </c>
      <c r="T148" s="62">
        <v>616.6769121072914</v>
      </c>
      <c r="U148" s="62">
        <v>629.53808974331071</v>
      </c>
      <c r="V148" s="62">
        <v>645.80162635257238</v>
      </c>
      <c r="W148" s="62">
        <v>662.70652718207748</v>
      </c>
      <c r="X148" s="62">
        <v>680.2058631425399</v>
      </c>
      <c r="Y148" s="62">
        <v>698.45606453158007</v>
      </c>
      <c r="Z148" s="62">
        <v>713.64805360214234</v>
      </c>
      <c r="AA148" s="62">
        <v>727.26195367533023</v>
      </c>
      <c r="AB148" s="62">
        <v>741.49738482918519</v>
      </c>
      <c r="AC148" s="62">
        <v>756.17597858684451</v>
      </c>
      <c r="AD148" s="62">
        <v>771.32823269632797</v>
      </c>
      <c r="AE148" s="62">
        <v>786.98464490609445</v>
      </c>
      <c r="AF148" s="62">
        <v>803.17571298828727</v>
      </c>
      <c r="AG148" s="62">
        <v>819.93193467490096</v>
      </c>
      <c r="AH148" s="62">
        <v>837.28380776411893</v>
      </c>
      <c r="AI148" s="62">
        <v>855.26182996500381</v>
      </c>
      <c r="AJ148" s="62">
        <v>873.89649909104276</v>
      </c>
    </row>
    <row r="149" spans="1:36" x14ac:dyDescent="0.25">
      <c r="A149" s="58" t="s">
        <v>17</v>
      </c>
      <c r="B149" s="59" t="s">
        <v>18</v>
      </c>
      <c r="C149" s="60" t="s">
        <v>115</v>
      </c>
      <c r="D149" s="61" t="s">
        <v>30</v>
      </c>
      <c r="E149" s="50" t="s">
        <v>398</v>
      </c>
      <c r="F149" s="50">
        <v>1.6284840733199081E-4</v>
      </c>
      <c r="G149" s="50">
        <v>2.1227493414034093E-4</v>
      </c>
      <c r="H149" s="63" t="s">
        <v>397</v>
      </c>
      <c r="I149" s="62">
        <v>37.886193420565625</v>
      </c>
      <c r="J149" s="62">
        <v>38.966036010537543</v>
      </c>
      <c r="K149" s="62">
        <v>39.899621170886761</v>
      </c>
      <c r="L149" s="62">
        <v>40.99368618144608</v>
      </c>
      <c r="M149" s="62">
        <v>42.103459537131783</v>
      </c>
      <c r="N149" s="62">
        <v>43.231700812087695</v>
      </c>
      <c r="O149" s="62">
        <v>44.378834556182099</v>
      </c>
      <c r="P149" s="62">
        <v>45.349780104940017</v>
      </c>
      <c r="Q149" s="62">
        <v>46.527693714484769</v>
      </c>
      <c r="R149" s="62">
        <v>47.727896192114258</v>
      </c>
      <c r="S149" s="62">
        <v>48.342644401384682</v>
      </c>
      <c r="T149" s="62">
        <v>50.209602447148981</v>
      </c>
      <c r="U149" s="62">
        <v>51.256754697263283</v>
      </c>
      <c r="V149" s="62">
        <v>52.580925736430729</v>
      </c>
      <c r="W149" s="62">
        <v>53.957316409396704</v>
      </c>
      <c r="X149" s="62">
        <v>55.382105767346673</v>
      </c>
      <c r="Y149" s="62">
        <v>56.868030306329054</v>
      </c>
      <c r="Z149" s="62">
        <v>58.104956347564823</v>
      </c>
      <c r="AA149" s="62">
        <v>59.213394975653188</v>
      </c>
      <c r="AB149" s="62">
        <v>60.372438430768732</v>
      </c>
      <c r="AC149" s="62">
        <v>61.567564018553092</v>
      </c>
      <c r="AD149" s="62">
        <v>62.801254854189537</v>
      </c>
      <c r="AE149" s="62">
        <v>64.07599405289703</v>
      </c>
      <c r="AF149" s="62">
        <v>65.394264731822958</v>
      </c>
      <c r="AG149" s="62">
        <v>66.758550004845802</v>
      </c>
      <c r="AH149" s="62">
        <v>68.171332991233058</v>
      </c>
      <c r="AI149" s="62">
        <v>69.635096802996131</v>
      </c>
      <c r="AJ149" s="62">
        <v>71.152324560648566</v>
      </c>
    </row>
    <row r="150" spans="1:36" x14ac:dyDescent="0.25">
      <c r="A150" s="58" t="s">
        <v>17</v>
      </c>
      <c r="B150" s="59" t="s">
        <v>18</v>
      </c>
      <c r="C150" s="60" t="s">
        <v>115</v>
      </c>
      <c r="D150" s="61" t="s">
        <v>30</v>
      </c>
      <c r="E150" s="50" t="s">
        <v>226</v>
      </c>
      <c r="F150" s="50">
        <v>4.3175705943917569E-3</v>
      </c>
      <c r="G150" s="50">
        <v>5.628007228233655E-3</v>
      </c>
      <c r="H150" s="63" t="s">
        <v>49</v>
      </c>
      <c r="I150" s="62">
        <v>1004.469846073458</v>
      </c>
      <c r="J150" s="62">
        <v>1033.0995188434827</v>
      </c>
      <c r="K150" s="62">
        <v>1057.8514946332543</v>
      </c>
      <c r="L150" s="62">
        <v>1086.8582438875706</v>
      </c>
      <c r="M150" s="62">
        <v>1116.2814656767762</v>
      </c>
      <c r="N150" s="62">
        <v>1146.1943240948378</v>
      </c>
      <c r="O150" s="62">
        <v>1176.6080751562126</v>
      </c>
      <c r="P150" s="62">
        <v>1202.3505802181533</v>
      </c>
      <c r="Q150" s="62">
        <v>1233.5803923276219</v>
      </c>
      <c r="R150" s="62">
        <v>1265.401145196055</v>
      </c>
      <c r="S150" s="62">
        <v>1281.6998541290197</v>
      </c>
      <c r="T150" s="62">
        <v>1331.1981777013348</v>
      </c>
      <c r="U150" s="62">
        <v>1358.9611373582113</v>
      </c>
      <c r="V150" s="62">
        <v>1394.0686464479329</v>
      </c>
      <c r="W150" s="62">
        <v>1430.5606453157998</v>
      </c>
      <c r="X150" s="62">
        <v>1468.3358298317041</v>
      </c>
      <c r="Y150" s="62">
        <v>1507.7318804293398</v>
      </c>
      <c r="Z150" s="62">
        <v>1540.5262785482573</v>
      </c>
      <c r="AA150" s="62">
        <v>1569.9141129442412</v>
      </c>
      <c r="AB150" s="62">
        <v>1600.6436240362787</v>
      </c>
      <c r="AC150" s="62">
        <v>1632.3297742354848</v>
      </c>
      <c r="AD150" s="62">
        <v>1665.0383979290252</v>
      </c>
      <c r="AE150" s="62">
        <v>1698.8353295050138</v>
      </c>
      <c r="AF150" s="62">
        <v>1733.7864034026909</v>
      </c>
      <c r="AG150" s="62">
        <v>1769.9574539746297</v>
      </c>
      <c r="AH150" s="62">
        <v>1807.4143157162816</v>
      </c>
      <c r="AI150" s="62">
        <v>1846.2228229307182</v>
      </c>
      <c r="AJ150" s="62">
        <v>1886.4488101464262</v>
      </c>
    </row>
    <row r="151" spans="1:36" x14ac:dyDescent="0.25">
      <c r="A151" s="58" t="s">
        <v>17</v>
      </c>
      <c r="B151" s="59" t="s">
        <v>18</v>
      </c>
      <c r="C151" s="60" t="s">
        <v>115</v>
      </c>
      <c r="D151" s="61" t="s">
        <v>30</v>
      </c>
      <c r="E151" s="50" t="s">
        <v>420</v>
      </c>
      <c r="F151" s="50">
        <v>1.2075835743695321E-2</v>
      </c>
      <c r="G151" s="50">
        <v>1.5741002808560667E-2</v>
      </c>
      <c r="H151" s="63" t="s">
        <v>419</v>
      </c>
      <c r="I151" s="62">
        <v>2809.406958263482</v>
      </c>
      <c r="J151" s="62">
        <v>2889.4814395506301</v>
      </c>
      <c r="K151" s="62">
        <v>2958.7103699026802</v>
      </c>
      <c r="L151" s="62">
        <v>3039.8394983780017</v>
      </c>
      <c r="M151" s="62">
        <v>3122.133461061157</v>
      </c>
      <c r="N151" s="62">
        <v>3205.7968909886567</v>
      </c>
      <c r="O151" s="62">
        <v>3290.8612701661186</v>
      </c>
      <c r="P151" s="62">
        <v>3362.8606170124754</v>
      </c>
      <c r="Q151" s="62">
        <v>3450.2074415971783</v>
      </c>
      <c r="R151" s="62">
        <v>3539.2070714767801</v>
      </c>
      <c r="S151" s="62">
        <v>3584.7930156103721</v>
      </c>
      <c r="T151" s="62">
        <v>3723.2351353116633</v>
      </c>
      <c r="U151" s="62">
        <v>3800.885502166293</v>
      </c>
      <c r="V151" s="62">
        <v>3899.0778776860943</v>
      </c>
      <c r="W151" s="62">
        <v>4001.1425398968017</v>
      </c>
      <c r="X151" s="62">
        <v>4106.7961507478612</v>
      </c>
      <c r="Y151" s="62">
        <v>4216.9831704077851</v>
      </c>
      <c r="Z151" s="62">
        <v>4308.7059937732683</v>
      </c>
      <c r="AA151" s="62">
        <v>4390.900981271514</v>
      </c>
      <c r="AB151" s="62">
        <v>4476.8485113277738</v>
      </c>
      <c r="AC151" s="62">
        <v>4565.4716702988599</v>
      </c>
      <c r="AD151" s="62">
        <v>4656.9545907260554</v>
      </c>
      <c r="AE151" s="62">
        <v>4751.4814051532876</v>
      </c>
      <c r="AF151" s="62">
        <v>4849.2362462674873</v>
      </c>
      <c r="AG151" s="62">
        <v>4950.4032465131804</v>
      </c>
      <c r="AH151" s="62">
        <v>5055.1665387345129</v>
      </c>
      <c r="AI151" s="62">
        <v>5163.7102552375591</v>
      </c>
      <c r="AJ151" s="62">
        <v>5276.2185289588633</v>
      </c>
    </row>
    <row r="152" spans="1:36" x14ac:dyDescent="0.25">
      <c r="A152" s="58" t="s">
        <v>17</v>
      </c>
      <c r="B152" s="59" t="s">
        <v>18</v>
      </c>
      <c r="C152" s="60" t="s">
        <v>115</v>
      </c>
      <c r="D152" s="61" t="s">
        <v>30</v>
      </c>
      <c r="E152" s="50" t="s">
        <v>151</v>
      </c>
      <c r="F152" s="50">
        <v>0.28045001102681627</v>
      </c>
      <c r="G152" s="50">
        <v>0.36557009427184256</v>
      </c>
      <c r="H152" s="63" t="s">
        <v>18</v>
      </c>
      <c r="I152" s="62">
        <v>65245.853715355646</v>
      </c>
      <c r="J152" s="62">
        <v>67105.508784916514</v>
      </c>
      <c r="K152" s="62">
        <v>68713.286059524078</v>
      </c>
      <c r="L152" s="62">
        <v>70597.434325401147</v>
      </c>
      <c r="M152" s="62">
        <v>72508.634778254345</v>
      </c>
      <c r="N152" s="62">
        <v>74451.639829309177</v>
      </c>
      <c r="O152" s="62">
        <v>76427.180618754224</v>
      </c>
      <c r="P152" s="62">
        <v>78099.298229953623</v>
      </c>
      <c r="Q152" s="62">
        <v>80127.846683068085</v>
      </c>
      <c r="R152" s="62">
        <v>82194.779996081081</v>
      </c>
      <c r="S152" s="62">
        <v>83253.47098909234</v>
      </c>
      <c r="T152" s="62">
        <v>86468.659968213193</v>
      </c>
      <c r="U152" s="62">
        <v>88272.017243256196</v>
      </c>
      <c r="V152" s="62">
        <v>90552.443491323953</v>
      </c>
      <c r="W152" s="62">
        <v>92922.799982582568</v>
      </c>
      <c r="X152" s="62">
        <v>95376.506455335184</v>
      </c>
      <c r="Y152" s="62">
        <v>97935.497115238075</v>
      </c>
      <c r="Z152" s="62">
        <v>100065.67405456011</v>
      </c>
      <c r="AA152" s="62">
        <v>101974.57590114798</v>
      </c>
      <c r="AB152" s="62">
        <v>103970.62704523465</v>
      </c>
      <c r="AC152" s="62">
        <v>106028.81717287436</v>
      </c>
      <c r="AD152" s="62">
        <v>108153.42259043042</v>
      </c>
      <c r="AE152" s="62">
        <v>110348.71960432761</v>
      </c>
      <c r="AF152" s="62">
        <v>112618.98452431173</v>
      </c>
      <c r="AG152" s="62">
        <v>114968.49365449906</v>
      </c>
      <c r="AH152" s="62">
        <v>117401.5233082866</v>
      </c>
      <c r="AI152" s="62">
        <v>119922.34978657519</v>
      </c>
      <c r="AJ152" s="62">
        <v>122535.24940490771</v>
      </c>
    </row>
    <row r="153" spans="1:36" x14ac:dyDescent="0.25">
      <c r="A153" s="58" t="s">
        <v>17</v>
      </c>
      <c r="B153" s="59" t="s">
        <v>18</v>
      </c>
      <c r="C153" s="60" t="s">
        <v>115</v>
      </c>
      <c r="D153" s="61" t="s">
        <v>30</v>
      </c>
      <c r="E153" s="50" t="s">
        <v>205</v>
      </c>
      <c r="F153" s="50">
        <v>6.6809603007996241E-5</v>
      </c>
      <c r="G153" s="50">
        <v>8.7087152467832184E-5</v>
      </c>
      <c r="H153" s="63" t="s">
        <v>204</v>
      </c>
      <c r="I153" s="62">
        <v>15.543053711001285</v>
      </c>
      <c r="J153" s="62">
        <v>15.986066055605146</v>
      </c>
      <c r="K153" s="62">
        <v>16.369075352158674</v>
      </c>
      <c r="L153" s="62">
        <v>16.817922535977882</v>
      </c>
      <c r="M153" s="62">
        <v>17.273214169079708</v>
      </c>
      <c r="N153" s="62">
        <v>17.736082384446235</v>
      </c>
      <c r="O153" s="62">
        <v>18.2067013563824</v>
      </c>
      <c r="P153" s="62">
        <v>18.605037991770264</v>
      </c>
      <c r="Q153" s="62">
        <v>19.088284600814266</v>
      </c>
      <c r="R153" s="62">
        <v>19.580675360867389</v>
      </c>
      <c r="S153" s="62">
        <v>19.832879754414229</v>
      </c>
      <c r="T153" s="62">
        <v>20.598811260368816</v>
      </c>
      <c r="U153" s="62">
        <v>21.02841218349263</v>
      </c>
      <c r="V153" s="62">
        <v>21.571661840586966</v>
      </c>
      <c r="W153" s="62">
        <v>22.136334937188391</v>
      </c>
      <c r="X153" s="62">
        <v>22.720863904552481</v>
      </c>
      <c r="Y153" s="62">
        <v>23.330473971827306</v>
      </c>
      <c r="Z153" s="62">
        <v>23.837930809257365</v>
      </c>
      <c r="AA153" s="62">
        <v>24.292674861806439</v>
      </c>
      <c r="AB153" s="62">
        <v>24.768179869033325</v>
      </c>
      <c r="AC153" s="62">
        <v>25.258487802483323</v>
      </c>
      <c r="AD153" s="62">
        <v>25.764617376077759</v>
      </c>
      <c r="AE153" s="62">
        <v>26.28758730375263</v>
      </c>
      <c r="AF153" s="62">
        <v>26.828416300235062</v>
      </c>
      <c r="AG153" s="62">
        <v>27.388123078911097</v>
      </c>
      <c r="AH153" s="62">
        <v>27.967726355377664</v>
      </c>
      <c r="AI153" s="62">
        <v>28.568244842254824</v>
      </c>
      <c r="AJ153" s="62">
        <v>29.190697255650694</v>
      </c>
    </row>
    <row r="154" spans="1:36" x14ac:dyDescent="0.25">
      <c r="A154" s="58" t="s">
        <v>17</v>
      </c>
      <c r="B154" s="59" t="s">
        <v>18</v>
      </c>
      <c r="C154" s="60" t="s">
        <v>115</v>
      </c>
      <c r="D154" s="61" t="s">
        <v>30</v>
      </c>
      <c r="E154" s="50" t="s">
        <v>209</v>
      </c>
      <c r="F154" s="50">
        <v>3.7580401691997891E-4</v>
      </c>
      <c r="G154" s="50">
        <v>4.8986523263155608E-4</v>
      </c>
      <c r="H154" s="63" t="s">
        <v>208</v>
      </c>
      <c r="I154" s="62">
        <v>87.429677124382238</v>
      </c>
      <c r="J154" s="62">
        <v>89.921621562778967</v>
      </c>
      <c r="K154" s="62">
        <v>92.076048855892537</v>
      </c>
      <c r="L154" s="62">
        <v>94.600814264875581</v>
      </c>
      <c r="M154" s="62">
        <v>97.161829701073358</v>
      </c>
      <c r="N154" s="62">
        <v>99.765463412510087</v>
      </c>
      <c r="O154" s="62">
        <v>102.41269512965101</v>
      </c>
      <c r="P154" s="62">
        <v>104.65333870370775</v>
      </c>
      <c r="Q154" s="62">
        <v>107.37160087958026</v>
      </c>
      <c r="R154" s="62">
        <v>110.14129890487906</v>
      </c>
      <c r="S154" s="62">
        <v>111.55994861858005</v>
      </c>
      <c r="T154" s="62">
        <v>115.8683133395746</v>
      </c>
      <c r="U154" s="62">
        <v>118.28481853214606</v>
      </c>
      <c r="V154" s="62">
        <v>121.3405978533017</v>
      </c>
      <c r="W154" s="62">
        <v>124.51688402168472</v>
      </c>
      <c r="X154" s="62">
        <v>127.80485946310772</v>
      </c>
      <c r="Y154" s="62">
        <v>131.23391609152861</v>
      </c>
      <c r="Z154" s="62">
        <v>134.08836080207269</v>
      </c>
      <c r="AA154" s="62">
        <v>136.64629609766124</v>
      </c>
      <c r="AB154" s="62">
        <v>139.32101176331247</v>
      </c>
      <c r="AC154" s="62">
        <v>142.07899388896871</v>
      </c>
      <c r="AD154" s="62">
        <v>144.9259727404374</v>
      </c>
      <c r="AE154" s="62">
        <v>147.86767858360858</v>
      </c>
      <c r="AF154" s="62">
        <v>150.90984168882224</v>
      </c>
      <c r="AG154" s="62">
        <v>154.05819231887494</v>
      </c>
      <c r="AH154" s="62">
        <v>157.31846074899937</v>
      </c>
      <c r="AI154" s="62">
        <v>160.69637723768341</v>
      </c>
      <c r="AJ154" s="62">
        <v>164.19767206303518</v>
      </c>
    </row>
    <row r="155" spans="1:36" x14ac:dyDescent="0.25">
      <c r="A155" s="58" t="s">
        <v>17</v>
      </c>
      <c r="B155" s="59" t="s">
        <v>18</v>
      </c>
      <c r="C155" s="60" t="s">
        <v>115</v>
      </c>
      <c r="D155" s="61" t="s">
        <v>30</v>
      </c>
      <c r="E155" s="50" t="s">
        <v>337</v>
      </c>
      <c r="F155" s="50">
        <v>1.0192640058907427E-2</v>
      </c>
      <c r="G155" s="50">
        <v>1.3286233698373647E-2</v>
      </c>
      <c r="H155" s="63" t="s">
        <v>336</v>
      </c>
      <c r="I155" s="62">
        <v>2371.2871317846334</v>
      </c>
      <c r="J155" s="62">
        <v>2438.87420260826</v>
      </c>
      <c r="K155" s="62">
        <v>2497.3070584137072</v>
      </c>
      <c r="L155" s="62">
        <v>2565.7843068951252</v>
      </c>
      <c r="M155" s="62">
        <v>2635.2447366702227</v>
      </c>
      <c r="N155" s="62">
        <v>2705.8610687770783</v>
      </c>
      <c r="O155" s="62">
        <v>2777.6598756830899</v>
      </c>
      <c r="P155" s="62">
        <v>2838.4311086194507</v>
      </c>
      <c r="Q155" s="62">
        <v>2912.1564194117263</v>
      </c>
      <c r="R155" s="62">
        <v>2987.2767847423306</v>
      </c>
      <c r="S155" s="62">
        <v>3025.7537175328207</v>
      </c>
      <c r="T155" s="62">
        <v>3142.6061429100168</v>
      </c>
      <c r="U155" s="62">
        <v>3208.1471337440944</v>
      </c>
      <c r="V155" s="62">
        <v>3291.026659554549</v>
      </c>
      <c r="W155" s="62">
        <v>3377.1745988548037</v>
      </c>
      <c r="X155" s="62">
        <v>3466.3517994382878</v>
      </c>
      <c r="Y155" s="62">
        <v>3559.3554353269033</v>
      </c>
      <c r="Z155" s="62">
        <v>3636.7743190873266</v>
      </c>
      <c r="AA155" s="62">
        <v>3706.1512086043444</v>
      </c>
      <c r="AB155" s="62">
        <v>3778.6954412693967</v>
      </c>
      <c r="AC155" s="62">
        <v>3853.4980453663616</v>
      </c>
      <c r="AD155" s="62">
        <v>3930.714438437863</v>
      </c>
      <c r="AE155" s="62">
        <v>4010.5000380287606</v>
      </c>
      <c r="AF155" s="62">
        <v>4093.0102618046117</v>
      </c>
      <c r="AG155" s="62">
        <v>4178.4005272263739</v>
      </c>
      <c r="AH155" s="62">
        <v>4266.8262520923045</v>
      </c>
      <c r="AI155" s="62">
        <v>4358.442853746501</v>
      </c>
      <c r="AJ155" s="62">
        <v>4453.4057500652088</v>
      </c>
    </row>
    <row r="156" spans="1:36" x14ac:dyDescent="0.25">
      <c r="A156" s="58" t="s">
        <v>17</v>
      </c>
      <c r="B156" s="59" t="s">
        <v>18</v>
      </c>
      <c r="C156" s="60" t="s">
        <v>115</v>
      </c>
      <c r="D156" s="61" t="s">
        <v>30</v>
      </c>
      <c r="E156" s="50" t="s">
        <v>308</v>
      </c>
      <c r="F156" s="50">
        <v>4.5848090064237422E-3</v>
      </c>
      <c r="G156" s="50">
        <v>5.9763558381049839E-3</v>
      </c>
      <c r="H156" s="63" t="s">
        <v>307</v>
      </c>
      <c r="I156" s="62">
        <v>1066.6420609174631</v>
      </c>
      <c r="J156" s="62">
        <v>1097.0437830659032</v>
      </c>
      <c r="K156" s="62">
        <v>1123.3277960418891</v>
      </c>
      <c r="L156" s="62">
        <v>1154.129934031482</v>
      </c>
      <c r="M156" s="62">
        <v>1185.3743223530948</v>
      </c>
      <c r="N156" s="62">
        <v>1217.1386536326229</v>
      </c>
      <c r="O156" s="62">
        <v>1249.4348805817422</v>
      </c>
      <c r="P156" s="62">
        <v>1276.7707321852345</v>
      </c>
      <c r="Q156" s="62">
        <v>1309.9335307308791</v>
      </c>
      <c r="R156" s="62">
        <v>1343.7238466395245</v>
      </c>
      <c r="S156" s="62">
        <v>1361.0313731466765</v>
      </c>
      <c r="T156" s="62">
        <v>1413.5934227428099</v>
      </c>
      <c r="U156" s="62">
        <v>1443.0747860921817</v>
      </c>
      <c r="V156" s="62">
        <v>1480.3552938102807</v>
      </c>
      <c r="W156" s="62">
        <v>1519.1059850645534</v>
      </c>
      <c r="X156" s="62">
        <v>1559.2192854499142</v>
      </c>
      <c r="Y156" s="62">
        <v>1601.053776316649</v>
      </c>
      <c r="Z156" s="62">
        <v>1635.8780017852866</v>
      </c>
      <c r="AA156" s="62">
        <v>1667.0848123914668</v>
      </c>
      <c r="AB156" s="62">
        <v>1699.7163435124121</v>
      </c>
      <c r="AC156" s="62">
        <v>1733.3637254454181</v>
      </c>
      <c r="AD156" s="62">
        <v>1768.0968674333365</v>
      </c>
      <c r="AE156" s="62">
        <v>1803.9856787200245</v>
      </c>
      <c r="AF156" s="62">
        <v>1841.1000686036311</v>
      </c>
      <c r="AG156" s="62">
        <v>1879.5099462902742</v>
      </c>
      <c r="AH156" s="62">
        <v>1919.2852211377924</v>
      </c>
      <c r="AI156" s="62">
        <v>1960.4958022997373</v>
      </c>
      <c r="AJ156" s="62">
        <v>2003.2115991690291</v>
      </c>
    </row>
    <row r="157" spans="1:36" x14ac:dyDescent="0.25">
      <c r="A157" s="58" t="s">
        <v>17</v>
      </c>
      <c r="B157" s="59" t="s">
        <v>18</v>
      </c>
      <c r="C157" s="60" t="s">
        <v>115</v>
      </c>
      <c r="D157" s="61" t="s">
        <v>30</v>
      </c>
      <c r="E157" s="50" t="s">
        <v>418</v>
      </c>
      <c r="F157" s="50">
        <v>2.9688517336678333E-3</v>
      </c>
      <c r="G157" s="50">
        <v>3.8699353377892928E-3</v>
      </c>
      <c r="H157" s="63" t="s">
        <v>417</v>
      </c>
      <c r="I157" s="62">
        <v>690.69444928261964</v>
      </c>
      <c r="J157" s="62">
        <v>710.38081034595371</v>
      </c>
      <c r="K157" s="62">
        <v>727.40078596155104</v>
      </c>
      <c r="L157" s="62">
        <v>747.34643269251706</v>
      </c>
      <c r="M157" s="62">
        <v>767.57845463847946</v>
      </c>
      <c r="N157" s="62">
        <v>788.14716095882955</v>
      </c>
      <c r="O157" s="62">
        <v>809.06029152424287</v>
      </c>
      <c r="P157" s="62">
        <v>826.76137575929113</v>
      </c>
      <c r="Q157" s="62">
        <v>848.23564694868389</v>
      </c>
      <c r="R157" s="62">
        <v>870.11626134854464</v>
      </c>
      <c r="S157" s="62">
        <v>881.32359408678235</v>
      </c>
      <c r="T157" s="62">
        <v>915.35967538263924</v>
      </c>
      <c r="U157" s="62">
        <v>934.45006640395377</v>
      </c>
      <c r="V157" s="62">
        <v>958.59072304108338</v>
      </c>
      <c r="W157" s="62">
        <v>983.6833837713092</v>
      </c>
      <c r="X157" s="62">
        <v>1009.6583897585509</v>
      </c>
      <c r="Y157" s="62">
        <v>1036.7479371230759</v>
      </c>
      <c r="Z157" s="62">
        <v>1059.2980503363742</v>
      </c>
      <c r="AA157" s="62">
        <v>1079.5057391715236</v>
      </c>
      <c r="AB157" s="62">
        <v>1100.6359929301684</v>
      </c>
      <c r="AC157" s="62">
        <v>1122.4240517228527</v>
      </c>
      <c r="AD157" s="62">
        <v>1144.9151846494556</v>
      </c>
      <c r="AE157" s="62">
        <v>1168.1546608105075</v>
      </c>
      <c r="AF157" s="62">
        <v>1192.1877493416955</v>
      </c>
      <c r="AG157" s="62">
        <v>1217.059719319112</v>
      </c>
      <c r="AH157" s="62">
        <v>1242.815839917095</v>
      </c>
      <c r="AI157" s="62">
        <v>1269.5013801776988</v>
      </c>
      <c r="AJ157" s="62">
        <v>1297.1616092979777</v>
      </c>
    </row>
    <row r="158" spans="1:36" x14ac:dyDescent="0.25">
      <c r="A158" s="58" t="s">
        <v>17</v>
      </c>
      <c r="B158" s="59" t="s">
        <v>18</v>
      </c>
      <c r="C158" s="60" t="s">
        <v>115</v>
      </c>
      <c r="D158" s="61" t="s">
        <v>30</v>
      </c>
      <c r="E158" s="50" t="s">
        <v>191</v>
      </c>
      <c r="F158" s="50">
        <v>1.0439000469999412E-4</v>
      </c>
      <c r="G158" s="50">
        <v>1.3607367573098778E-4</v>
      </c>
      <c r="H158" s="63" t="s">
        <v>106</v>
      </c>
      <c r="I158" s="62">
        <v>24.286021423439504</v>
      </c>
      <c r="J158" s="62">
        <v>24.978228211883039</v>
      </c>
      <c r="K158" s="62">
        <v>25.576680237747926</v>
      </c>
      <c r="L158" s="62">
        <v>26.278003962465437</v>
      </c>
      <c r="M158" s="62">
        <v>26.989397139187041</v>
      </c>
      <c r="N158" s="62">
        <v>27.71262872569724</v>
      </c>
      <c r="O158" s="62">
        <v>28.447970869347497</v>
      </c>
      <c r="P158" s="62">
        <v>29.070371862141034</v>
      </c>
      <c r="Q158" s="62">
        <v>29.825444688772286</v>
      </c>
      <c r="R158" s="62">
        <v>30.594805251355293</v>
      </c>
      <c r="S158" s="62">
        <v>30.988874616272231</v>
      </c>
      <c r="T158" s="62">
        <v>32.185642594326268</v>
      </c>
      <c r="U158" s="62">
        <v>32.856894036707232</v>
      </c>
      <c r="V158" s="62">
        <v>33.705721625917135</v>
      </c>
      <c r="W158" s="62">
        <v>34.588023339356859</v>
      </c>
      <c r="X158" s="62">
        <v>35.501349850863249</v>
      </c>
      <c r="Y158" s="62">
        <v>36.453865580980164</v>
      </c>
      <c r="Z158" s="62">
        <v>37.246766889464631</v>
      </c>
      <c r="AA158" s="62">
        <v>37.957304471572556</v>
      </c>
      <c r="AB158" s="62">
        <v>38.700281045364569</v>
      </c>
      <c r="AC158" s="62">
        <v>39.466387191380186</v>
      </c>
      <c r="AD158" s="62">
        <v>40.257214650121497</v>
      </c>
      <c r="AE158" s="62">
        <v>41.074355162113484</v>
      </c>
      <c r="AF158" s="62">
        <v>41.919400469117285</v>
      </c>
      <c r="AG158" s="62">
        <v>42.793942310798585</v>
      </c>
      <c r="AH158" s="62">
        <v>43.699572430277598</v>
      </c>
      <c r="AI158" s="62">
        <v>44.637882566023158</v>
      </c>
      <c r="AJ158" s="62">
        <v>45.610464461954209</v>
      </c>
    </row>
    <row r="159" spans="1:36" x14ac:dyDescent="0.25">
      <c r="A159" s="58" t="s">
        <v>17</v>
      </c>
      <c r="B159" s="59" t="s">
        <v>18</v>
      </c>
      <c r="C159" s="60" t="s">
        <v>115</v>
      </c>
      <c r="D159" s="61" t="s">
        <v>30</v>
      </c>
      <c r="E159" s="50" t="s">
        <v>402</v>
      </c>
      <c r="F159" s="50">
        <v>1.1274120507599366E-4</v>
      </c>
      <c r="G159" s="50">
        <v>1.469595697894668E-4</v>
      </c>
      <c r="H159" s="63" t="s">
        <v>401</v>
      </c>
      <c r="I159" s="62">
        <v>26.228903137314667</v>
      </c>
      <c r="J159" s="62">
        <v>26.976486468833684</v>
      </c>
      <c r="K159" s="62">
        <v>27.622814656767758</v>
      </c>
      <c r="L159" s="62">
        <v>28.380244279462673</v>
      </c>
      <c r="M159" s="62">
        <v>29.148548910322003</v>
      </c>
      <c r="N159" s="62">
        <v>29.929639023753019</v>
      </c>
      <c r="O159" s="62">
        <v>30.723808538895298</v>
      </c>
      <c r="P159" s="62">
        <v>31.396001611112318</v>
      </c>
      <c r="Q159" s="62">
        <v>32.211480263874073</v>
      </c>
      <c r="R159" s="62">
        <v>33.042389671463717</v>
      </c>
      <c r="S159" s="62">
        <v>33.467984585574008</v>
      </c>
      <c r="T159" s="62">
        <v>34.760494001872374</v>
      </c>
      <c r="U159" s="62">
        <v>35.485445559643814</v>
      </c>
      <c r="V159" s="62">
        <v>36.402179355990505</v>
      </c>
      <c r="W159" s="62">
        <v>37.355065206505408</v>
      </c>
      <c r="X159" s="62">
        <v>38.341457838932307</v>
      </c>
      <c r="Y159" s="62">
        <v>39.370174827458577</v>
      </c>
      <c r="Z159" s="62">
        <v>40.226508240621797</v>
      </c>
      <c r="AA159" s="62">
        <v>40.993888829298363</v>
      </c>
      <c r="AB159" s="62">
        <v>41.796303528993732</v>
      </c>
      <c r="AC159" s="62">
        <v>42.623698166690602</v>
      </c>
      <c r="AD159" s="62">
        <v>43.477791822131216</v>
      </c>
      <c r="AE159" s="62">
        <v>44.360303575082561</v>
      </c>
      <c r="AF159" s="62">
        <v>45.272952506646668</v>
      </c>
      <c r="AG159" s="62">
        <v>46.217457695662475</v>
      </c>
      <c r="AH159" s="62">
        <v>47.19553822469981</v>
      </c>
      <c r="AI159" s="62">
        <v>48.208913171305014</v>
      </c>
      <c r="AJ159" s="62">
        <v>49.259301618910548</v>
      </c>
    </row>
    <row r="160" spans="1:36" x14ac:dyDescent="0.25">
      <c r="A160" s="58" t="s">
        <v>17</v>
      </c>
      <c r="B160" s="59" t="s">
        <v>18</v>
      </c>
      <c r="C160" s="60" t="s">
        <v>115</v>
      </c>
      <c r="D160" s="61" t="s">
        <v>30</v>
      </c>
      <c r="E160" s="50" t="s">
        <v>529</v>
      </c>
      <c r="F160" s="50">
        <v>9.5621244305194627E-4</v>
      </c>
      <c r="G160" s="50">
        <v>1.2464348696958481E-3</v>
      </c>
      <c r="H160" s="63" t="s">
        <v>528</v>
      </c>
      <c r="I160" s="62">
        <v>222.4599562387059</v>
      </c>
      <c r="J160" s="62">
        <v>228.80057042084866</v>
      </c>
      <c r="K160" s="62">
        <v>234.282390977771</v>
      </c>
      <c r="L160" s="62">
        <v>240.70651629618342</v>
      </c>
      <c r="M160" s="62">
        <v>247.22287779495329</v>
      </c>
      <c r="N160" s="62">
        <v>253.84767912738673</v>
      </c>
      <c r="O160" s="62">
        <v>260.5834131632231</v>
      </c>
      <c r="P160" s="62">
        <v>266.28460625721192</v>
      </c>
      <c r="Q160" s="62">
        <v>273.20107334915417</v>
      </c>
      <c r="R160" s="62">
        <v>280.24841610241452</v>
      </c>
      <c r="S160" s="62">
        <v>283.85809148505365</v>
      </c>
      <c r="T160" s="62">
        <v>294.82048616402864</v>
      </c>
      <c r="U160" s="62">
        <v>300.96914937623825</v>
      </c>
      <c r="V160" s="62">
        <v>308.74441009340097</v>
      </c>
      <c r="W160" s="62">
        <v>316.82629378850885</v>
      </c>
      <c r="X160" s="62">
        <v>325.1923646339074</v>
      </c>
      <c r="Y160" s="62">
        <v>333.91740872177832</v>
      </c>
      <c r="Z160" s="62">
        <v>341.18038470749605</v>
      </c>
      <c r="AA160" s="62">
        <v>347.68890895960465</v>
      </c>
      <c r="AB160" s="62">
        <v>354.49457437553946</v>
      </c>
      <c r="AC160" s="62">
        <v>361.51210667304252</v>
      </c>
      <c r="AD160" s="62">
        <v>368.75608619511297</v>
      </c>
      <c r="AE160" s="62">
        <v>376.24109328495956</v>
      </c>
      <c r="AF160" s="62">
        <v>383.98170829711432</v>
      </c>
      <c r="AG160" s="62">
        <v>391.99251156691508</v>
      </c>
      <c r="AH160" s="62">
        <v>400.28808346134286</v>
      </c>
      <c r="AI160" s="62">
        <v>408.88300430477216</v>
      </c>
      <c r="AJ160" s="62">
        <v>417.79185447150059</v>
      </c>
    </row>
    <row r="161" spans="1:36" x14ac:dyDescent="0.25">
      <c r="A161" s="58" t="s">
        <v>17</v>
      </c>
      <c r="B161" s="59" t="s">
        <v>18</v>
      </c>
      <c r="C161" s="60" t="s">
        <v>115</v>
      </c>
      <c r="D161" s="61" t="s">
        <v>30</v>
      </c>
      <c r="E161" s="50" t="s">
        <v>474</v>
      </c>
      <c r="F161" s="50">
        <v>9.1028084098394889E-4</v>
      </c>
      <c r="G161" s="50">
        <v>1.1865624523742136E-3</v>
      </c>
      <c r="H161" s="63" t="s">
        <v>473</v>
      </c>
      <c r="I161" s="62">
        <v>211.77410681239252</v>
      </c>
      <c r="J161" s="62">
        <v>217.81015000762014</v>
      </c>
      <c r="K161" s="62">
        <v>223.02865167316193</v>
      </c>
      <c r="L161" s="62">
        <v>229.14419455269862</v>
      </c>
      <c r="M161" s="62">
        <v>235.34754305371101</v>
      </c>
      <c r="N161" s="62">
        <v>241.65412248807996</v>
      </c>
      <c r="O161" s="62">
        <v>248.06630598071021</v>
      </c>
      <c r="P161" s="62">
        <v>253.49364263786987</v>
      </c>
      <c r="Q161" s="62">
        <v>260.07787768609438</v>
      </c>
      <c r="R161" s="62">
        <v>266.78670179181819</v>
      </c>
      <c r="S161" s="62">
        <v>270.22298665389388</v>
      </c>
      <c r="T161" s="62">
        <v>280.65880342252512</v>
      </c>
      <c r="U161" s="62">
        <v>286.51211600008708</v>
      </c>
      <c r="V161" s="62">
        <v>293.91389257799744</v>
      </c>
      <c r="W161" s="62">
        <v>301.60756351919184</v>
      </c>
      <c r="X161" s="62">
        <v>309.57177069952758</v>
      </c>
      <c r="Y161" s="62">
        <v>317.87770786614709</v>
      </c>
      <c r="Z161" s="62">
        <v>324.79180727613158</v>
      </c>
      <c r="AA161" s="62">
        <v>330.98769499211272</v>
      </c>
      <c r="AB161" s="62">
        <v>337.46645071557907</v>
      </c>
      <c r="AC161" s="62">
        <v>344.14689630883527</v>
      </c>
      <c r="AD161" s="62">
        <v>351.0429117490595</v>
      </c>
      <c r="AE161" s="62">
        <v>358.16837701362959</v>
      </c>
      <c r="AF161" s="62">
        <v>365.53717209070277</v>
      </c>
      <c r="AG161" s="62">
        <v>373.16317695016369</v>
      </c>
      <c r="AH161" s="62">
        <v>381.06027159202068</v>
      </c>
      <c r="AI161" s="62">
        <v>389.24233597572197</v>
      </c>
      <c r="AJ161" s="62">
        <v>397.72325010824073</v>
      </c>
    </row>
    <row r="162" spans="1:36" x14ac:dyDescent="0.25">
      <c r="A162" s="58" t="s">
        <v>17</v>
      </c>
      <c r="B162" s="59" t="s">
        <v>18</v>
      </c>
      <c r="C162" s="60" t="s">
        <v>115</v>
      </c>
      <c r="D162" s="61" t="s">
        <v>30</v>
      </c>
      <c r="E162" s="50" t="s">
        <v>523</v>
      </c>
      <c r="F162" s="50">
        <v>2.7851253253958434E-3</v>
      </c>
      <c r="G162" s="50">
        <v>3.630445668502754E-3</v>
      </c>
      <c r="H162" s="63" t="s">
        <v>110</v>
      </c>
      <c r="I162" s="62">
        <v>647.951051577366</v>
      </c>
      <c r="J162" s="62">
        <v>666.41912869303951</v>
      </c>
      <c r="K162" s="62">
        <v>682.38582874311464</v>
      </c>
      <c r="L162" s="62">
        <v>701.09714571857785</v>
      </c>
      <c r="M162" s="62">
        <v>720.07711567351021</v>
      </c>
      <c r="N162" s="62">
        <v>739.37293440160238</v>
      </c>
      <c r="O162" s="62">
        <v>758.99186279419121</v>
      </c>
      <c r="P162" s="62">
        <v>775.59752128192281</v>
      </c>
      <c r="Q162" s="62">
        <v>795.74286429644462</v>
      </c>
      <c r="R162" s="62">
        <v>816.26940410615919</v>
      </c>
      <c r="S162" s="62">
        <v>826.78317476214318</v>
      </c>
      <c r="T162" s="62">
        <v>858.71294441662485</v>
      </c>
      <c r="U162" s="62">
        <v>876.62193289934896</v>
      </c>
      <c r="V162" s="62">
        <v>899.26865297946915</v>
      </c>
      <c r="W162" s="62">
        <v>922.80846269404105</v>
      </c>
      <c r="X162" s="62">
        <v>947.17601402103151</v>
      </c>
      <c r="Y162" s="62">
        <v>972.58913370055075</v>
      </c>
      <c r="Z162" s="62">
        <v>993.74374061091635</v>
      </c>
      <c r="AA162" s="62">
        <v>1012.7008833015558</v>
      </c>
      <c r="AB162" s="62">
        <v>1032.5234982903266</v>
      </c>
      <c r="AC162" s="62">
        <v>1052.9632102660235</v>
      </c>
      <c r="AD162" s="62">
        <v>1074.0624868652415</v>
      </c>
      <c r="AE162" s="62">
        <v>1095.8637957251879</v>
      </c>
      <c r="AF162" s="62">
        <v>1118.4096045160491</v>
      </c>
      <c r="AG162" s="62">
        <v>1141.7423808521064</v>
      </c>
      <c r="AH162" s="62">
        <v>1165.9045924398063</v>
      </c>
      <c r="AI162" s="62">
        <v>1190.9387068614978</v>
      </c>
      <c r="AJ162" s="62">
        <v>1216.8871918449383</v>
      </c>
    </row>
    <row r="163" spans="1:36" x14ac:dyDescent="0.25">
      <c r="A163" s="58" t="s">
        <v>17</v>
      </c>
      <c r="B163" s="59" t="s">
        <v>18</v>
      </c>
      <c r="C163" s="60" t="s">
        <v>115</v>
      </c>
      <c r="D163" s="61" t="s">
        <v>30</v>
      </c>
      <c r="E163" s="50" t="s">
        <v>456</v>
      </c>
      <c r="F163" s="50">
        <v>8.8940284004394995E-4</v>
      </c>
      <c r="G163" s="50">
        <v>1.1593477172280159E-3</v>
      </c>
      <c r="H163" s="63" t="s">
        <v>455</v>
      </c>
      <c r="I163" s="62">
        <v>206.91690252770459</v>
      </c>
      <c r="J163" s="62">
        <v>212.81450436524352</v>
      </c>
      <c r="K163" s="62">
        <v>217.91331562561234</v>
      </c>
      <c r="L163" s="62">
        <v>223.88859376020554</v>
      </c>
      <c r="M163" s="62">
        <v>229.9496636258736</v>
      </c>
      <c r="N163" s="62">
        <v>236.11159674294049</v>
      </c>
      <c r="O163" s="62">
        <v>242.37671180684069</v>
      </c>
      <c r="P163" s="62">
        <v>247.67956826544165</v>
      </c>
      <c r="Q163" s="62">
        <v>254.11278874833991</v>
      </c>
      <c r="R163" s="62">
        <v>260.66774074154711</v>
      </c>
      <c r="S163" s="62">
        <v>264.02521173063946</v>
      </c>
      <c r="T163" s="62">
        <v>274.22167490365985</v>
      </c>
      <c r="U163" s="62">
        <v>279.94073719274564</v>
      </c>
      <c r="V163" s="62">
        <v>287.17274825281402</v>
      </c>
      <c r="W163" s="62">
        <v>294.68995885132045</v>
      </c>
      <c r="X163" s="62">
        <v>302.47150072935489</v>
      </c>
      <c r="Y163" s="62">
        <v>310.58693474995101</v>
      </c>
      <c r="Z163" s="62">
        <v>317.34245389823866</v>
      </c>
      <c r="AA163" s="62">
        <v>323.39623409779819</v>
      </c>
      <c r="AB163" s="62">
        <v>329.72639450650615</v>
      </c>
      <c r="AC163" s="62">
        <v>336.25361887055919</v>
      </c>
      <c r="AD163" s="62">
        <v>342.99146881903516</v>
      </c>
      <c r="AE163" s="62">
        <v>349.95350598120689</v>
      </c>
      <c r="AF163" s="62">
        <v>357.15329199687926</v>
      </c>
      <c r="AG163" s="62">
        <v>364.60438848800396</v>
      </c>
      <c r="AH163" s="62">
        <v>372.32035710596517</v>
      </c>
      <c r="AI163" s="62">
        <v>380.31475946251732</v>
      </c>
      <c r="AJ163" s="62">
        <v>388.60115721584987</v>
      </c>
    </row>
    <row r="164" spans="1:36" x14ac:dyDescent="0.25">
      <c r="A164" s="58" t="s">
        <v>17</v>
      </c>
      <c r="B164" s="59" t="s">
        <v>18</v>
      </c>
      <c r="C164" s="60" t="s">
        <v>115</v>
      </c>
      <c r="D164" s="61" t="s">
        <v>30</v>
      </c>
      <c r="E164" s="50" t="s">
        <v>335</v>
      </c>
      <c r="F164" s="50">
        <v>2.9229201315998354E-5</v>
      </c>
      <c r="G164" s="50">
        <v>3.8100629204676579E-5</v>
      </c>
      <c r="H164" s="63" t="s">
        <v>334</v>
      </c>
      <c r="I164" s="62">
        <v>6.8000859985630617</v>
      </c>
      <c r="J164" s="62">
        <v>6.9939038993272513</v>
      </c>
      <c r="K164" s="62">
        <v>7.1614704665694191</v>
      </c>
      <c r="L164" s="62">
        <v>7.3578411094903222</v>
      </c>
      <c r="M164" s="62">
        <v>7.5570311989723713</v>
      </c>
      <c r="N164" s="62">
        <v>7.7595360431952276</v>
      </c>
      <c r="O164" s="62">
        <v>7.9654318434172993</v>
      </c>
      <c r="P164" s="62">
        <v>8.1397041213994896</v>
      </c>
      <c r="Q164" s="62">
        <v>8.3511245128562415</v>
      </c>
      <c r="R164" s="62">
        <v>8.5665454703794826</v>
      </c>
      <c r="S164" s="62">
        <v>8.6768848925562256</v>
      </c>
      <c r="T164" s="62">
        <v>9.0119799264113567</v>
      </c>
      <c r="U164" s="62">
        <v>9.1999303302780255</v>
      </c>
      <c r="V164" s="62">
        <v>9.4376020552567983</v>
      </c>
      <c r="W164" s="62">
        <v>9.6846465350199207</v>
      </c>
      <c r="X164" s="62">
        <v>9.9403779582417098</v>
      </c>
      <c r="Y164" s="62">
        <v>10.207082362674447</v>
      </c>
      <c r="Z164" s="62">
        <v>10.429094729050096</v>
      </c>
      <c r="AA164" s="62">
        <v>10.628045252040316</v>
      </c>
      <c r="AB164" s="62">
        <v>10.836078692702079</v>
      </c>
      <c r="AC164" s="62">
        <v>11.050588413586453</v>
      </c>
      <c r="AD164" s="62">
        <v>11.27202010203402</v>
      </c>
      <c r="AE164" s="62">
        <v>11.500819445391777</v>
      </c>
      <c r="AF164" s="62">
        <v>11.73743213135284</v>
      </c>
      <c r="AG164" s="62">
        <v>11.982303847023605</v>
      </c>
      <c r="AH164" s="62">
        <v>12.235880280477728</v>
      </c>
      <c r="AI164" s="62">
        <v>12.498607118486484</v>
      </c>
      <c r="AJ164" s="62">
        <v>12.770930049347179</v>
      </c>
    </row>
    <row r="165" spans="1:36" x14ac:dyDescent="0.25">
      <c r="A165" s="58" t="s">
        <v>17</v>
      </c>
      <c r="B165" s="59" t="s">
        <v>18</v>
      </c>
      <c r="C165" s="60" t="s">
        <v>115</v>
      </c>
      <c r="D165" s="61" t="s">
        <v>30</v>
      </c>
      <c r="E165" s="50" t="s">
        <v>347</v>
      </c>
      <c r="F165" s="50">
        <v>3.6327721635597953E-4</v>
      </c>
      <c r="G165" s="50">
        <v>4.7353639154383749E-4</v>
      </c>
      <c r="H165" s="63" t="s">
        <v>346</v>
      </c>
      <c r="I165" s="62">
        <v>84.51535455356948</v>
      </c>
      <c r="J165" s="62">
        <v>86.924234177352986</v>
      </c>
      <c r="K165" s="62">
        <v>89.006847227362783</v>
      </c>
      <c r="L165" s="62">
        <v>91.447453789379722</v>
      </c>
      <c r="M165" s="62">
        <v>93.923102044370907</v>
      </c>
      <c r="N165" s="62">
        <v>96.439947965426398</v>
      </c>
      <c r="O165" s="62">
        <v>98.998938625329302</v>
      </c>
      <c r="P165" s="62">
        <v>101.1648940802508</v>
      </c>
      <c r="Q165" s="62">
        <v>103.79254751692757</v>
      </c>
      <c r="R165" s="62">
        <v>106.46992227471642</v>
      </c>
      <c r="S165" s="62">
        <v>107.84128366462737</v>
      </c>
      <c r="T165" s="62">
        <v>112.00603622825543</v>
      </c>
      <c r="U165" s="62">
        <v>114.34199124774118</v>
      </c>
      <c r="V165" s="62">
        <v>117.29591125819164</v>
      </c>
      <c r="W165" s="62">
        <v>120.36632122096188</v>
      </c>
      <c r="X165" s="62">
        <v>123.54469748100411</v>
      </c>
      <c r="Y165" s="62">
        <v>126.85945222181097</v>
      </c>
      <c r="Z165" s="62">
        <v>129.61874877533691</v>
      </c>
      <c r="AA165" s="62">
        <v>132.09141956107251</v>
      </c>
      <c r="AB165" s="62">
        <v>134.67697803786871</v>
      </c>
      <c r="AC165" s="62">
        <v>137.34302742600306</v>
      </c>
      <c r="AD165" s="62">
        <v>140.09510698242281</v>
      </c>
      <c r="AE165" s="62">
        <v>142.93875596415492</v>
      </c>
      <c r="AF165" s="62">
        <v>145.87951363252816</v>
      </c>
      <c r="AG165" s="62">
        <v>148.92291924157908</v>
      </c>
      <c r="AH165" s="62">
        <v>152.07451205736606</v>
      </c>
      <c r="AI165" s="62">
        <v>155.33983132976061</v>
      </c>
      <c r="AJ165" s="62">
        <v>158.72441632760064</v>
      </c>
    </row>
    <row r="166" spans="1:36" x14ac:dyDescent="0.25">
      <c r="A166" s="58" t="s">
        <v>17</v>
      </c>
      <c r="B166" s="59" t="s">
        <v>18</v>
      </c>
      <c r="C166" s="60" t="s">
        <v>115</v>
      </c>
      <c r="D166" s="61" t="s">
        <v>30</v>
      </c>
      <c r="E166" s="50" t="s">
        <v>146</v>
      </c>
      <c r="F166" s="50">
        <v>5.4282802443996944E-5</v>
      </c>
      <c r="G166" s="50">
        <v>7.0758311380113645E-5</v>
      </c>
      <c r="H166" s="63" t="s">
        <v>145</v>
      </c>
      <c r="I166" s="62">
        <v>12.628731140188544</v>
      </c>
      <c r="J166" s="62">
        <v>12.988678670179182</v>
      </c>
      <c r="K166" s="62">
        <v>13.29987372362892</v>
      </c>
      <c r="L166" s="62">
        <v>13.664562060482027</v>
      </c>
      <c r="M166" s="62">
        <v>14.03448651237726</v>
      </c>
      <c r="N166" s="62">
        <v>14.410566937362566</v>
      </c>
      <c r="O166" s="62">
        <v>14.7929448520607</v>
      </c>
      <c r="P166" s="62">
        <v>15.116593368313339</v>
      </c>
      <c r="Q166" s="62">
        <v>15.50923123816159</v>
      </c>
      <c r="R166" s="62">
        <v>15.909298730704752</v>
      </c>
      <c r="S166" s="62">
        <v>16.114214800461561</v>
      </c>
      <c r="T166" s="62">
        <v>16.73653414904966</v>
      </c>
      <c r="U166" s="62">
        <v>17.08558489908776</v>
      </c>
      <c r="V166" s="62">
        <v>17.526975245476908</v>
      </c>
      <c r="W166" s="62">
        <v>17.985772136465567</v>
      </c>
      <c r="X166" s="62">
        <v>18.460701922448891</v>
      </c>
      <c r="Y166" s="62">
        <v>18.956010102109687</v>
      </c>
      <c r="Z166" s="62">
        <v>19.368318782521609</v>
      </c>
      <c r="AA166" s="62">
        <v>19.737798325217728</v>
      </c>
      <c r="AB166" s="62">
        <v>20.124146143589577</v>
      </c>
      <c r="AC166" s="62">
        <v>20.522521339517699</v>
      </c>
      <c r="AD166" s="62">
        <v>20.93375161806318</v>
      </c>
      <c r="AE166" s="62">
        <v>21.358664684299011</v>
      </c>
      <c r="AF166" s="62">
        <v>21.798088243940988</v>
      </c>
      <c r="AG166" s="62">
        <v>22.252850001615265</v>
      </c>
      <c r="AH166" s="62">
        <v>22.72377766374435</v>
      </c>
      <c r="AI166" s="62">
        <v>23.211698934332041</v>
      </c>
      <c r="AJ166" s="62">
        <v>23.717441520216187</v>
      </c>
    </row>
    <row r="167" spans="1:36" x14ac:dyDescent="0.25">
      <c r="A167" s="58" t="s">
        <v>17</v>
      </c>
      <c r="B167" s="59" t="s">
        <v>18</v>
      </c>
      <c r="C167" s="60" t="s">
        <v>115</v>
      </c>
      <c r="D167" s="61" t="s">
        <v>30</v>
      </c>
      <c r="E167" s="50" t="s">
        <v>290</v>
      </c>
      <c r="F167" s="50">
        <v>2.9229201315998361E-4</v>
      </c>
      <c r="G167" s="50">
        <v>3.8100629204676582E-4</v>
      </c>
      <c r="H167" s="63" t="s">
        <v>289</v>
      </c>
      <c r="I167" s="62">
        <v>68.000859985630626</v>
      </c>
      <c r="J167" s="62">
        <v>69.939038993272518</v>
      </c>
      <c r="K167" s="62">
        <v>71.614704665694191</v>
      </c>
      <c r="L167" s="62">
        <v>73.578411094903231</v>
      </c>
      <c r="M167" s="62">
        <v>75.57031198972372</v>
      </c>
      <c r="N167" s="62">
        <v>77.595360431952273</v>
      </c>
      <c r="O167" s="62">
        <v>79.654318434173007</v>
      </c>
      <c r="P167" s="62">
        <v>81.39704121399491</v>
      </c>
      <c r="Q167" s="62">
        <v>83.511245128562408</v>
      </c>
      <c r="R167" s="62">
        <v>85.665454703794822</v>
      </c>
      <c r="S167" s="62">
        <v>86.768848925562267</v>
      </c>
      <c r="T167" s="62">
        <v>90.119799264113567</v>
      </c>
      <c r="U167" s="62">
        <v>91.999303302780262</v>
      </c>
      <c r="V167" s="62">
        <v>94.376020552567979</v>
      </c>
      <c r="W167" s="62">
        <v>96.84646535019921</v>
      </c>
      <c r="X167" s="62">
        <v>99.403779582417101</v>
      </c>
      <c r="Y167" s="62">
        <v>102.07082362674447</v>
      </c>
      <c r="Z167" s="62">
        <v>104.29094729050097</v>
      </c>
      <c r="AA167" s="62">
        <v>106.28045252040317</v>
      </c>
      <c r="AB167" s="62">
        <v>108.36078692702081</v>
      </c>
      <c r="AC167" s="62">
        <v>110.50588413586453</v>
      </c>
      <c r="AD167" s="62">
        <v>112.7202010203402</v>
      </c>
      <c r="AE167" s="62">
        <v>115.00819445391777</v>
      </c>
      <c r="AF167" s="62">
        <v>117.3743213135284</v>
      </c>
      <c r="AG167" s="62">
        <v>119.82303847023606</v>
      </c>
      <c r="AH167" s="62">
        <v>122.35880280477728</v>
      </c>
      <c r="AI167" s="62">
        <v>124.98607118486485</v>
      </c>
      <c r="AJ167" s="62">
        <v>127.7093004934718</v>
      </c>
    </row>
    <row r="168" spans="1:36" x14ac:dyDescent="0.25">
      <c r="A168" s="58" t="s">
        <v>17</v>
      </c>
      <c r="B168" s="59" t="s">
        <v>18</v>
      </c>
      <c r="C168" s="60" t="s">
        <v>115</v>
      </c>
      <c r="D168" s="61" t="s">
        <v>30</v>
      </c>
      <c r="E168" s="50" t="s">
        <v>424</v>
      </c>
      <c r="F168" s="50">
        <v>1.6827668757639052E-3</v>
      </c>
      <c r="G168" s="50">
        <v>2.1935076527835229E-3</v>
      </c>
      <c r="H168" s="63" t="s">
        <v>423</v>
      </c>
      <c r="I168" s="62">
        <v>391.49066534584483</v>
      </c>
      <c r="J168" s="62">
        <v>402.64903877555457</v>
      </c>
      <c r="K168" s="62">
        <v>412.29608543249651</v>
      </c>
      <c r="L168" s="62">
        <v>423.60142387494278</v>
      </c>
      <c r="M168" s="62">
        <v>435.06908188369505</v>
      </c>
      <c r="N168" s="62">
        <v>446.72757505823949</v>
      </c>
      <c r="O168" s="62">
        <v>458.58129041388167</v>
      </c>
      <c r="P168" s="62">
        <v>468.61439441771347</v>
      </c>
      <c r="Q168" s="62">
        <v>480.78616838300923</v>
      </c>
      <c r="R168" s="62">
        <v>493.18826065184732</v>
      </c>
      <c r="S168" s="62">
        <v>499.54065881430836</v>
      </c>
      <c r="T168" s="62">
        <v>518.83255862053943</v>
      </c>
      <c r="U168" s="62">
        <v>529.65313187172057</v>
      </c>
      <c r="V168" s="62">
        <v>543.33623260978425</v>
      </c>
      <c r="W168" s="62">
        <v>557.55893623043255</v>
      </c>
      <c r="X168" s="62">
        <v>572.28175959591556</v>
      </c>
      <c r="Y168" s="62">
        <v>587.63631316540022</v>
      </c>
      <c r="Z168" s="62">
        <v>600.41788225816981</v>
      </c>
      <c r="AA168" s="62">
        <v>611.87174808174962</v>
      </c>
      <c r="AB168" s="62">
        <v>623.84853045127682</v>
      </c>
      <c r="AC168" s="62">
        <v>636.19816152504859</v>
      </c>
      <c r="AD168" s="62">
        <v>648.94630015995847</v>
      </c>
      <c r="AE168" s="62">
        <v>662.11860521326935</v>
      </c>
      <c r="AF168" s="62">
        <v>675.74073556217058</v>
      </c>
      <c r="AG168" s="62">
        <v>689.83835005007325</v>
      </c>
      <c r="AH168" s="62">
        <v>704.43710757607482</v>
      </c>
      <c r="AI168" s="62">
        <v>719.56266696429327</v>
      </c>
      <c r="AJ168" s="62">
        <v>735.2406871267018</v>
      </c>
    </row>
    <row r="169" spans="1:36" x14ac:dyDescent="0.25">
      <c r="A169" s="58" t="s">
        <v>17</v>
      </c>
      <c r="B169" s="59" t="s">
        <v>18</v>
      </c>
      <c r="C169" s="60" t="s">
        <v>115</v>
      </c>
      <c r="D169" s="61" t="s">
        <v>30</v>
      </c>
      <c r="E169" s="50" t="s">
        <v>345</v>
      </c>
      <c r="F169" s="50">
        <v>6.6809603007996241E-5</v>
      </c>
      <c r="G169" s="50">
        <v>8.7087152467832184E-5</v>
      </c>
      <c r="H169" s="63" t="s">
        <v>344</v>
      </c>
      <c r="I169" s="62">
        <v>15.543053711001285</v>
      </c>
      <c r="J169" s="62">
        <v>15.986066055605146</v>
      </c>
      <c r="K169" s="62">
        <v>16.369075352158674</v>
      </c>
      <c r="L169" s="62">
        <v>16.817922535977882</v>
      </c>
      <c r="M169" s="62">
        <v>17.273214169079708</v>
      </c>
      <c r="N169" s="62">
        <v>17.736082384446235</v>
      </c>
      <c r="O169" s="62">
        <v>18.2067013563824</v>
      </c>
      <c r="P169" s="62">
        <v>18.605037991770264</v>
      </c>
      <c r="Q169" s="62">
        <v>19.088284600814266</v>
      </c>
      <c r="R169" s="62">
        <v>19.580675360867389</v>
      </c>
      <c r="S169" s="62">
        <v>19.832879754414229</v>
      </c>
      <c r="T169" s="62">
        <v>20.598811260368816</v>
      </c>
      <c r="U169" s="62">
        <v>21.02841218349263</v>
      </c>
      <c r="V169" s="62">
        <v>21.571661840586966</v>
      </c>
      <c r="W169" s="62">
        <v>22.136334937188391</v>
      </c>
      <c r="X169" s="62">
        <v>22.720863904552481</v>
      </c>
      <c r="Y169" s="62">
        <v>23.330473971827306</v>
      </c>
      <c r="Z169" s="62">
        <v>23.837930809257365</v>
      </c>
      <c r="AA169" s="62">
        <v>24.292674861806439</v>
      </c>
      <c r="AB169" s="62">
        <v>24.768179869033325</v>
      </c>
      <c r="AC169" s="62">
        <v>25.258487802483323</v>
      </c>
      <c r="AD169" s="62">
        <v>25.764617376077759</v>
      </c>
      <c r="AE169" s="62">
        <v>26.28758730375263</v>
      </c>
      <c r="AF169" s="62">
        <v>26.828416300235062</v>
      </c>
      <c r="AG169" s="62">
        <v>27.388123078911097</v>
      </c>
      <c r="AH169" s="62">
        <v>27.967726355377664</v>
      </c>
      <c r="AI169" s="62">
        <v>28.568244842254824</v>
      </c>
      <c r="AJ169" s="62">
        <v>29.190697255650694</v>
      </c>
    </row>
    <row r="170" spans="1:36" x14ac:dyDescent="0.25">
      <c r="A170" s="58" t="s">
        <v>17</v>
      </c>
      <c r="B170" s="59" t="s">
        <v>18</v>
      </c>
      <c r="C170" s="60" t="s">
        <v>115</v>
      </c>
      <c r="D170" s="61" t="s">
        <v>30</v>
      </c>
      <c r="E170" s="50" t="s">
        <v>286</v>
      </c>
      <c r="F170" s="50">
        <v>9.4786124267594665E-4</v>
      </c>
      <c r="G170" s="50">
        <v>1.235548975637369E-3</v>
      </c>
      <c r="H170" s="63" t="s">
        <v>8</v>
      </c>
      <c r="I170" s="62">
        <v>220.51707452483072</v>
      </c>
      <c r="J170" s="62">
        <v>226.80231216389799</v>
      </c>
      <c r="K170" s="62">
        <v>232.23625655875117</v>
      </c>
      <c r="L170" s="62">
        <v>238.60427597918616</v>
      </c>
      <c r="M170" s="62">
        <v>245.06372602381833</v>
      </c>
      <c r="N170" s="62">
        <v>251.63066882933094</v>
      </c>
      <c r="O170" s="62">
        <v>258.3075754936753</v>
      </c>
      <c r="P170" s="62">
        <v>263.9589765082406</v>
      </c>
      <c r="Q170" s="62">
        <v>270.81503777405237</v>
      </c>
      <c r="R170" s="62">
        <v>277.80083168230607</v>
      </c>
      <c r="S170" s="62">
        <v>281.37898151575189</v>
      </c>
      <c r="T170" s="62">
        <v>292.2456347564825</v>
      </c>
      <c r="U170" s="62">
        <v>298.34059785330169</v>
      </c>
      <c r="V170" s="62">
        <v>306.04795236332757</v>
      </c>
      <c r="W170" s="62">
        <v>314.05925192136027</v>
      </c>
      <c r="X170" s="62">
        <v>322.35225664583828</v>
      </c>
      <c r="Y170" s="62">
        <v>331.0010994752999</v>
      </c>
      <c r="Z170" s="62">
        <v>338.20064335633884</v>
      </c>
      <c r="AA170" s="62">
        <v>344.65232460187883</v>
      </c>
      <c r="AB170" s="62">
        <v>351.3985518919103</v>
      </c>
      <c r="AC170" s="62">
        <v>358.35479569773207</v>
      </c>
      <c r="AD170" s="62">
        <v>365.5355090231032</v>
      </c>
      <c r="AE170" s="62">
        <v>372.95514487199046</v>
      </c>
      <c r="AF170" s="62">
        <v>380.6281562595849</v>
      </c>
      <c r="AG170" s="62">
        <v>388.56899618205114</v>
      </c>
      <c r="AH170" s="62">
        <v>396.7921176669206</v>
      </c>
      <c r="AI170" s="62">
        <v>405.3119736994903</v>
      </c>
      <c r="AJ170" s="62">
        <v>414.14301731454418</v>
      </c>
    </row>
    <row r="171" spans="1:36" x14ac:dyDescent="0.25">
      <c r="A171" s="58" t="s">
        <v>17</v>
      </c>
      <c r="B171" s="59" t="s">
        <v>18</v>
      </c>
      <c r="C171" s="60" t="s">
        <v>115</v>
      </c>
      <c r="D171" s="61" t="s">
        <v>30</v>
      </c>
      <c r="E171" s="50" t="s">
        <v>525</v>
      </c>
      <c r="F171" s="50">
        <v>4.3467997957077559E-3</v>
      </c>
      <c r="G171" s="50">
        <v>5.6661078574383314E-3</v>
      </c>
      <c r="H171" s="63" t="s">
        <v>97</v>
      </c>
      <c r="I171" s="62">
        <v>1011.2699320720211</v>
      </c>
      <c r="J171" s="62">
        <v>1040.0934227428099</v>
      </c>
      <c r="K171" s="62">
        <v>1065.0129650998235</v>
      </c>
      <c r="L171" s="62">
        <v>1094.2160849970608</v>
      </c>
      <c r="M171" s="62">
        <v>1123.8384968757484</v>
      </c>
      <c r="N171" s="62">
        <v>1153.9538601380332</v>
      </c>
      <c r="O171" s="62">
        <v>1184.5735069996299</v>
      </c>
      <c r="P171" s="62">
        <v>1210.4902843395528</v>
      </c>
      <c r="Q171" s="62">
        <v>1241.931516840478</v>
      </c>
      <c r="R171" s="62">
        <v>1273.9676906664345</v>
      </c>
      <c r="S171" s="62">
        <v>1290.3767390215758</v>
      </c>
      <c r="T171" s="62">
        <v>1340.210157627746</v>
      </c>
      <c r="U171" s="62">
        <v>1368.1610676884893</v>
      </c>
      <c r="V171" s="62">
        <v>1403.5062485031895</v>
      </c>
      <c r="W171" s="62">
        <v>1440.2452918508197</v>
      </c>
      <c r="X171" s="62">
        <v>1478.2762077899458</v>
      </c>
      <c r="Y171" s="62">
        <v>1517.9389627920141</v>
      </c>
      <c r="Z171" s="62">
        <v>1550.9553732773072</v>
      </c>
      <c r="AA171" s="62">
        <v>1580.5421581962814</v>
      </c>
      <c r="AB171" s="62">
        <v>1611.4797027289808</v>
      </c>
      <c r="AC171" s="62">
        <v>1643.380362649071</v>
      </c>
      <c r="AD171" s="62">
        <v>1676.3104180310593</v>
      </c>
      <c r="AE171" s="62">
        <v>1710.3361489504055</v>
      </c>
      <c r="AF171" s="62">
        <v>1745.5238355340437</v>
      </c>
      <c r="AG171" s="62">
        <v>1781.9397578216533</v>
      </c>
      <c r="AH171" s="62">
        <v>1819.6501959967593</v>
      </c>
      <c r="AI171" s="62">
        <v>1858.7214300492044</v>
      </c>
      <c r="AJ171" s="62">
        <v>1899.2197401957733</v>
      </c>
    </row>
    <row r="172" spans="1:36" x14ac:dyDescent="0.25">
      <c r="A172" s="58" t="s">
        <v>17</v>
      </c>
      <c r="B172" s="59" t="s">
        <v>18</v>
      </c>
      <c r="C172" s="60" t="s">
        <v>115</v>
      </c>
      <c r="D172" s="61" t="s">
        <v>30</v>
      </c>
      <c r="E172" s="50" t="s">
        <v>315</v>
      </c>
      <c r="F172" s="50">
        <v>3.8415521729597837E-4</v>
      </c>
      <c r="G172" s="50">
        <v>5.00751126690035E-4</v>
      </c>
      <c r="H172" s="63" t="s">
        <v>79</v>
      </c>
      <c r="I172" s="62">
        <v>89.372558838257376</v>
      </c>
      <c r="J172" s="62">
        <v>91.919879819729587</v>
      </c>
      <c r="K172" s="62">
        <v>94.122183274912359</v>
      </c>
      <c r="L172" s="62">
        <v>96.703054581872806</v>
      </c>
      <c r="M172" s="62">
        <v>99.320981472208302</v>
      </c>
      <c r="N172" s="62">
        <v>101.98247371056584</v>
      </c>
      <c r="O172" s="62">
        <v>104.68853279919878</v>
      </c>
      <c r="P172" s="62">
        <v>106.97896845267901</v>
      </c>
      <c r="Q172" s="62">
        <v>109.75763645468201</v>
      </c>
      <c r="R172" s="62">
        <v>112.58888332498746</v>
      </c>
      <c r="S172" s="62">
        <v>114.03905858788181</v>
      </c>
      <c r="T172" s="62">
        <v>118.44316474712066</v>
      </c>
      <c r="U172" s="62">
        <v>120.91337005508261</v>
      </c>
      <c r="V172" s="62">
        <v>124.03705558337505</v>
      </c>
      <c r="W172" s="62">
        <v>127.28392588883324</v>
      </c>
      <c r="X172" s="62">
        <v>130.64496745117674</v>
      </c>
      <c r="Y172" s="62">
        <v>134.150225338007</v>
      </c>
      <c r="Z172" s="62">
        <v>137.06810215322983</v>
      </c>
      <c r="AA172" s="62">
        <v>139.68288045538699</v>
      </c>
      <c r="AB172" s="62">
        <v>142.4170342469416</v>
      </c>
      <c r="AC172" s="62">
        <v>145.23630486427908</v>
      </c>
      <c r="AD172" s="62">
        <v>148.14654991244711</v>
      </c>
      <c r="AE172" s="62">
        <v>151.1536269965776</v>
      </c>
      <c r="AF172" s="62">
        <v>154.26339372635158</v>
      </c>
      <c r="AG172" s="62">
        <v>157.48170770373878</v>
      </c>
      <c r="AH172" s="62">
        <v>160.81442654342155</v>
      </c>
      <c r="AI172" s="62">
        <v>164.26740784296521</v>
      </c>
      <c r="AJ172" s="62">
        <v>167.84650921999147</v>
      </c>
    </row>
    <row r="173" spans="1:36" x14ac:dyDescent="0.25">
      <c r="A173" s="58" t="s">
        <v>17</v>
      </c>
      <c r="B173" s="59" t="s">
        <v>18</v>
      </c>
      <c r="C173" s="60" t="s">
        <v>115</v>
      </c>
      <c r="D173" s="61" t="s">
        <v>30</v>
      </c>
      <c r="E173" s="50" t="s">
        <v>488</v>
      </c>
      <c r="F173" s="50">
        <v>2.4210129890022639E-2</v>
      </c>
      <c r="G173" s="50">
        <v>3.1558206875530688E-2</v>
      </c>
      <c r="H173" s="63" t="s">
        <v>487</v>
      </c>
      <c r="I173" s="62">
        <v>5632.4140885240904</v>
      </c>
      <c r="J173" s="62">
        <v>5792.9506868999151</v>
      </c>
      <c r="K173" s="62">
        <v>5931.7436807384993</v>
      </c>
      <c r="L173" s="62">
        <v>6094.3946789749843</v>
      </c>
      <c r="M173" s="62">
        <v>6259.3809845202586</v>
      </c>
      <c r="N173" s="62">
        <v>6427.1128540637046</v>
      </c>
      <c r="O173" s="62">
        <v>6597.6534040190718</v>
      </c>
      <c r="P173" s="62">
        <v>6742.0006422677498</v>
      </c>
      <c r="Q173" s="62">
        <v>6917.1171322200689</v>
      </c>
      <c r="R173" s="62">
        <v>7095.54723389432</v>
      </c>
      <c r="S173" s="62">
        <v>7186.9398010058567</v>
      </c>
      <c r="T173" s="62">
        <v>7464.4942304761489</v>
      </c>
      <c r="U173" s="62">
        <v>7620.1708649931425</v>
      </c>
      <c r="V173" s="62">
        <v>7817.0309594827022</v>
      </c>
      <c r="W173" s="62">
        <v>8021.6543728636434</v>
      </c>
      <c r="X173" s="62">
        <v>8233.4730574122059</v>
      </c>
      <c r="Y173" s="62">
        <v>8454.3805055409211</v>
      </c>
      <c r="Z173" s="62">
        <v>8638.2701770046369</v>
      </c>
      <c r="AA173" s="62">
        <v>8803.0580530471088</v>
      </c>
      <c r="AB173" s="62">
        <v>8975.3691800409524</v>
      </c>
      <c r="AC173" s="62">
        <v>9153.0445174248944</v>
      </c>
      <c r="AD173" s="62">
        <v>9336.4532216561784</v>
      </c>
      <c r="AE173" s="62">
        <v>9525.9644491973595</v>
      </c>
      <c r="AF173" s="62">
        <v>9721.9473567976802</v>
      </c>
      <c r="AG173" s="62">
        <v>9924.7711007204089</v>
      </c>
      <c r="AH173" s="62">
        <v>10134.804838029982</v>
      </c>
      <c r="AI173" s="62">
        <v>10352.417724712092</v>
      </c>
      <c r="AJ173" s="62">
        <v>10577.978918016421</v>
      </c>
    </row>
    <row r="174" spans="1:36" x14ac:dyDescent="0.25">
      <c r="A174" s="58" t="s">
        <v>17</v>
      </c>
      <c r="B174" s="59" t="s">
        <v>18</v>
      </c>
      <c r="C174" s="60" t="s">
        <v>115</v>
      </c>
      <c r="D174" s="61" t="s">
        <v>30</v>
      </c>
      <c r="E174" s="50" t="s">
        <v>453</v>
      </c>
      <c r="F174" s="50">
        <v>2.7141401221998472E-4</v>
      </c>
      <c r="G174" s="50">
        <v>3.5379155690056825E-4</v>
      </c>
      <c r="H174" s="63" t="s">
        <v>452</v>
      </c>
      <c r="I174" s="62">
        <v>63.143655700942716</v>
      </c>
      <c r="J174" s="62">
        <v>64.943393350895917</v>
      </c>
      <c r="K174" s="62">
        <v>66.499368618144615</v>
      </c>
      <c r="L174" s="62">
        <v>68.322810302410133</v>
      </c>
      <c r="M174" s="62">
        <v>70.172432561886311</v>
      </c>
      <c r="N174" s="62">
        <v>72.05283468681283</v>
      </c>
      <c r="O174" s="62">
        <v>73.964724260303498</v>
      </c>
      <c r="P174" s="62">
        <v>75.582966841566702</v>
      </c>
      <c r="Q174" s="62">
        <v>77.546156190807949</v>
      </c>
      <c r="R174" s="62">
        <v>79.546493653523768</v>
      </c>
      <c r="S174" s="62">
        <v>80.57107400230781</v>
      </c>
      <c r="T174" s="62">
        <v>83.682670745248302</v>
      </c>
      <c r="U174" s="62">
        <v>85.427924495438816</v>
      </c>
      <c r="V174" s="62">
        <v>87.634876227384552</v>
      </c>
      <c r="W174" s="62">
        <v>89.928860682327837</v>
      </c>
      <c r="X174" s="62">
        <v>92.303509612244454</v>
      </c>
      <c r="Y174" s="62">
        <v>94.780050510548435</v>
      </c>
      <c r="Z174" s="62">
        <v>96.841593912608047</v>
      </c>
      <c r="AA174" s="62">
        <v>98.688991626088651</v>
      </c>
      <c r="AB174" s="62">
        <v>100.62073071794789</v>
      </c>
      <c r="AC174" s="62">
        <v>102.61260669758849</v>
      </c>
      <c r="AD174" s="62">
        <v>104.6687580903159</v>
      </c>
      <c r="AE174" s="62">
        <v>106.79332342149506</v>
      </c>
      <c r="AF174" s="62">
        <v>108.99044121970495</v>
      </c>
      <c r="AG174" s="62">
        <v>111.26425000807633</v>
      </c>
      <c r="AH174" s="62">
        <v>113.61888831872177</v>
      </c>
      <c r="AI174" s="62">
        <v>116.05849467166023</v>
      </c>
      <c r="AJ174" s="62">
        <v>118.58720760108095</v>
      </c>
    </row>
    <row r="175" spans="1:36" x14ac:dyDescent="0.25">
      <c r="A175" s="58" t="s">
        <v>17</v>
      </c>
      <c r="B175" s="59" t="s">
        <v>18</v>
      </c>
      <c r="C175" s="60" t="s">
        <v>115</v>
      </c>
      <c r="D175" s="61" t="s">
        <v>30</v>
      </c>
      <c r="E175" s="50" t="s">
        <v>330</v>
      </c>
      <c r="F175" s="50">
        <v>2.0878000939998824E-5</v>
      </c>
      <c r="G175" s="50">
        <v>2.7214735146197556E-5</v>
      </c>
      <c r="H175" s="63" t="s">
        <v>329</v>
      </c>
      <c r="I175" s="62">
        <v>4.8572042846879011</v>
      </c>
      <c r="J175" s="62">
        <v>4.9956456423766085</v>
      </c>
      <c r="K175" s="62">
        <v>5.1153360475495848</v>
      </c>
      <c r="L175" s="62">
        <v>5.2556007924930874</v>
      </c>
      <c r="M175" s="62">
        <v>5.3978794278374078</v>
      </c>
      <c r="N175" s="62">
        <v>5.5425257451394483</v>
      </c>
      <c r="O175" s="62">
        <v>5.6895941738694997</v>
      </c>
      <c r="P175" s="62">
        <v>5.8140743724282071</v>
      </c>
      <c r="Q175" s="62">
        <v>5.9650889377544578</v>
      </c>
      <c r="R175" s="62">
        <v>6.1189610502710581</v>
      </c>
      <c r="S175" s="62">
        <v>6.197774923254447</v>
      </c>
      <c r="T175" s="62">
        <v>6.4371285188652543</v>
      </c>
      <c r="U175" s="62">
        <v>6.5713788073414463</v>
      </c>
      <c r="V175" s="62">
        <v>6.7411443251834271</v>
      </c>
      <c r="W175" s="62">
        <v>6.9176046678713723</v>
      </c>
      <c r="X175" s="62">
        <v>7.1002699701726497</v>
      </c>
      <c r="Y175" s="62">
        <v>7.290773116196033</v>
      </c>
      <c r="Z175" s="62">
        <v>7.4493533778929262</v>
      </c>
      <c r="AA175" s="62">
        <v>7.591460894314511</v>
      </c>
      <c r="AB175" s="62">
        <v>7.7400562090729137</v>
      </c>
      <c r="AC175" s="62">
        <v>7.893277438276038</v>
      </c>
      <c r="AD175" s="62">
        <v>8.0514429300242991</v>
      </c>
      <c r="AE175" s="62">
        <v>8.2148710324226961</v>
      </c>
      <c r="AF175" s="62">
        <v>8.383880093823457</v>
      </c>
      <c r="AG175" s="62">
        <v>8.5587884621597166</v>
      </c>
      <c r="AH175" s="62">
        <v>8.73991448605552</v>
      </c>
      <c r="AI175" s="62">
        <v>8.9275765132046327</v>
      </c>
      <c r="AJ175" s="62">
        <v>9.1220928923908424</v>
      </c>
    </row>
    <row r="176" spans="1:36" x14ac:dyDescent="0.25">
      <c r="A176" s="58" t="s">
        <v>17</v>
      </c>
      <c r="B176" s="59" t="s">
        <v>18</v>
      </c>
      <c r="C176" s="60" t="s">
        <v>115</v>
      </c>
      <c r="D176" s="61" t="s">
        <v>30</v>
      </c>
      <c r="E176" s="50" t="s">
        <v>319</v>
      </c>
      <c r="F176" s="50">
        <v>1.4197040639199202E-4</v>
      </c>
      <c r="G176" s="50">
        <v>1.850601989941434E-4</v>
      </c>
      <c r="H176" s="63" t="s">
        <v>318</v>
      </c>
      <c r="I176" s="62">
        <v>33.02898913587773</v>
      </c>
      <c r="J176" s="62">
        <v>33.970390368160935</v>
      </c>
      <c r="K176" s="62">
        <v>34.784285123337177</v>
      </c>
      <c r="L176" s="62">
        <v>35.738085388952996</v>
      </c>
      <c r="M176" s="62">
        <v>36.705580109294381</v>
      </c>
      <c r="N176" s="62">
        <v>37.689175066948252</v>
      </c>
      <c r="O176" s="62">
        <v>38.689240382312597</v>
      </c>
      <c r="P176" s="62">
        <v>39.535705732511815</v>
      </c>
      <c r="Q176" s="62">
        <v>40.562604776730318</v>
      </c>
      <c r="R176" s="62">
        <v>41.608935141843205</v>
      </c>
      <c r="S176" s="62">
        <v>42.144869478130239</v>
      </c>
      <c r="T176" s="62">
        <v>43.772473928283731</v>
      </c>
      <c r="U176" s="62">
        <v>44.685375889921843</v>
      </c>
      <c r="V176" s="62">
        <v>45.839781411247309</v>
      </c>
      <c r="W176" s="62">
        <v>47.039711741525331</v>
      </c>
      <c r="X176" s="62">
        <v>48.281835797174026</v>
      </c>
      <c r="Y176" s="62">
        <v>49.577257190133025</v>
      </c>
      <c r="Z176" s="62">
        <v>50.655602969671904</v>
      </c>
      <c r="AA176" s="62">
        <v>51.621934081338679</v>
      </c>
      <c r="AB176" s="62">
        <v>52.632382221695821</v>
      </c>
      <c r="AC176" s="62">
        <v>53.674286580277062</v>
      </c>
      <c r="AD176" s="62">
        <v>54.749811924165243</v>
      </c>
      <c r="AE176" s="62">
        <v>55.861123020474345</v>
      </c>
      <c r="AF176" s="62">
        <v>57.010384637999508</v>
      </c>
      <c r="AG176" s="62">
        <v>58.199761542686083</v>
      </c>
      <c r="AH176" s="62">
        <v>59.43141850517754</v>
      </c>
      <c r="AI176" s="62">
        <v>60.707520289791503</v>
      </c>
      <c r="AJ176" s="62">
        <v>62.030231668257727</v>
      </c>
    </row>
    <row r="177" spans="1:36" x14ac:dyDescent="0.25">
      <c r="A177" s="58" t="s">
        <v>17</v>
      </c>
      <c r="B177" s="59" t="s">
        <v>18</v>
      </c>
      <c r="C177" s="60" t="s">
        <v>115</v>
      </c>
      <c r="D177" s="61" t="s">
        <v>30</v>
      </c>
      <c r="E177" s="50" t="s">
        <v>477</v>
      </c>
      <c r="F177" s="50">
        <v>1.4197040639199202E-4</v>
      </c>
      <c r="G177" s="50">
        <v>1.850601989941434E-4</v>
      </c>
      <c r="H177" s="63" t="s">
        <v>58</v>
      </c>
      <c r="I177" s="62">
        <v>33.02898913587773</v>
      </c>
      <c r="J177" s="62">
        <v>33.970390368160935</v>
      </c>
      <c r="K177" s="62">
        <v>34.784285123337177</v>
      </c>
      <c r="L177" s="62">
        <v>35.738085388952996</v>
      </c>
      <c r="M177" s="62">
        <v>36.705580109294381</v>
      </c>
      <c r="N177" s="62">
        <v>37.689175066948252</v>
      </c>
      <c r="O177" s="62">
        <v>38.689240382312597</v>
      </c>
      <c r="P177" s="62">
        <v>39.535705732511815</v>
      </c>
      <c r="Q177" s="62">
        <v>40.562604776730318</v>
      </c>
      <c r="R177" s="62">
        <v>41.608935141843205</v>
      </c>
      <c r="S177" s="62">
        <v>42.144869478130239</v>
      </c>
      <c r="T177" s="62">
        <v>43.772473928283731</v>
      </c>
      <c r="U177" s="62">
        <v>44.685375889921843</v>
      </c>
      <c r="V177" s="62">
        <v>45.839781411247309</v>
      </c>
      <c r="W177" s="62">
        <v>47.039711741525331</v>
      </c>
      <c r="X177" s="62">
        <v>48.281835797174026</v>
      </c>
      <c r="Y177" s="62">
        <v>49.577257190133025</v>
      </c>
      <c r="Z177" s="62">
        <v>50.655602969671904</v>
      </c>
      <c r="AA177" s="62">
        <v>51.621934081338679</v>
      </c>
      <c r="AB177" s="62">
        <v>52.632382221695821</v>
      </c>
      <c r="AC177" s="62">
        <v>53.674286580277062</v>
      </c>
      <c r="AD177" s="62">
        <v>54.749811924165243</v>
      </c>
      <c r="AE177" s="62">
        <v>55.861123020474345</v>
      </c>
      <c r="AF177" s="62">
        <v>57.010384637999508</v>
      </c>
      <c r="AG177" s="62">
        <v>58.199761542686083</v>
      </c>
      <c r="AH177" s="62">
        <v>59.43141850517754</v>
      </c>
      <c r="AI177" s="62">
        <v>60.707520289791503</v>
      </c>
      <c r="AJ177" s="62">
        <v>62.030231668257727</v>
      </c>
    </row>
    <row r="178" spans="1:36" x14ac:dyDescent="0.25">
      <c r="A178" s="58" t="s">
        <v>17</v>
      </c>
      <c r="B178" s="59" t="s">
        <v>18</v>
      </c>
      <c r="C178" s="60" t="s">
        <v>115</v>
      </c>
      <c r="D178" s="61" t="s">
        <v>30</v>
      </c>
      <c r="E178" s="50" t="s">
        <v>479</v>
      </c>
      <c r="F178" s="50">
        <v>7.7248603477995655E-4</v>
      </c>
      <c r="G178" s="50">
        <v>1.0069452004093096E-3</v>
      </c>
      <c r="H178" s="63" t="s">
        <v>478</v>
      </c>
      <c r="I178" s="62">
        <v>179.71655853345234</v>
      </c>
      <c r="J178" s="62">
        <v>184.83888876793449</v>
      </c>
      <c r="K178" s="62">
        <v>189.26743375933464</v>
      </c>
      <c r="L178" s="62">
        <v>194.45722932224422</v>
      </c>
      <c r="M178" s="62">
        <v>199.7215388299841</v>
      </c>
      <c r="N178" s="62">
        <v>205.07345257015959</v>
      </c>
      <c r="O178" s="62">
        <v>210.51498443317149</v>
      </c>
      <c r="P178" s="62">
        <v>215.12075177984366</v>
      </c>
      <c r="Q178" s="62">
        <v>220.70829069691493</v>
      </c>
      <c r="R178" s="62">
        <v>226.40155886002916</v>
      </c>
      <c r="S178" s="62">
        <v>229.31767216041453</v>
      </c>
      <c r="T178" s="62">
        <v>238.17375519801439</v>
      </c>
      <c r="U178" s="62">
        <v>243.14101587163353</v>
      </c>
      <c r="V178" s="62">
        <v>249.4223400317868</v>
      </c>
      <c r="W178" s="62">
        <v>255.95137271124077</v>
      </c>
      <c r="X178" s="62">
        <v>262.70998889638804</v>
      </c>
      <c r="Y178" s="62">
        <v>269.75860529925319</v>
      </c>
      <c r="Z178" s="62">
        <v>275.62607498203823</v>
      </c>
      <c r="AA178" s="62">
        <v>280.88405308963689</v>
      </c>
      <c r="AB178" s="62">
        <v>286.3820797356978</v>
      </c>
      <c r="AC178" s="62">
        <v>292.05126521621338</v>
      </c>
      <c r="AD178" s="62">
        <v>297.90338841089908</v>
      </c>
      <c r="AE178" s="62">
        <v>303.95022819963981</v>
      </c>
      <c r="AF178" s="62">
        <v>310.20356347146787</v>
      </c>
      <c r="AG178" s="62">
        <v>316.67517309990956</v>
      </c>
      <c r="AH178" s="62">
        <v>323.37683598405425</v>
      </c>
      <c r="AI178" s="62">
        <v>330.32033098857136</v>
      </c>
      <c r="AJ178" s="62">
        <v>337.51743701846112</v>
      </c>
    </row>
    <row r="179" spans="1:36" x14ac:dyDescent="0.25">
      <c r="A179" s="58" t="s">
        <v>17</v>
      </c>
      <c r="B179" s="59" t="s">
        <v>18</v>
      </c>
      <c r="C179" s="60" t="s">
        <v>115</v>
      </c>
      <c r="D179" s="61" t="s">
        <v>30</v>
      </c>
      <c r="E179" s="50" t="s">
        <v>321</v>
      </c>
      <c r="F179" s="50">
        <v>1.9625320883598897E-4</v>
      </c>
      <c r="G179" s="50">
        <v>2.5581851037425701E-4</v>
      </c>
      <c r="H179" s="63" t="s">
        <v>320</v>
      </c>
      <c r="I179" s="62">
        <v>45.657720276066271</v>
      </c>
      <c r="J179" s="62">
        <v>46.959069038340111</v>
      </c>
      <c r="K179" s="62">
        <v>48.084158846966098</v>
      </c>
      <c r="L179" s="62">
        <v>49.402647449435015</v>
      </c>
      <c r="M179" s="62">
        <v>50.74006662167163</v>
      </c>
      <c r="N179" s="62">
        <v>52.099742004310812</v>
      </c>
      <c r="O179" s="62">
        <v>53.482185234373297</v>
      </c>
      <c r="P179" s="62">
        <v>54.652299100825147</v>
      </c>
      <c r="Q179" s="62">
        <v>56.0718360148919</v>
      </c>
      <c r="R179" s="62">
        <v>57.518233872547945</v>
      </c>
      <c r="S179" s="62">
        <v>58.259084278591793</v>
      </c>
      <c r="T179" s="62">
        <v>60.509008077333384</v>
      </c>
      <c r="U179" s="62">
        <v>61.770960789009592</v>
      </c>
      <c r="V179" s="62">
        <v>63.366756656724213</v>
      </c>
      <c r="W179" s="62">
        <v>65.025483877990894</v>
      </c>
      <c r="X179" s="62">
        <v>66.742537719622902</v>
      </c>
      <c r="Y179" s="62">
        <v>68.533267292242712</v>
      </c>
      <c r="Z179" s="62">
        <v>70.023921752193502</v>
      </c>
      <c r="AA179" s="62">
        <v>71.359732406556404</v>
      </c>
      <c r="AB179" s="62">
        <v>72.756528365285391</v>
      </c>
      <c r="AC179" s="62">
        <v>74.19680791979475</v>
      </c>
      <c r="AD179" s="62">
        <v>75.683563542228413</v>
      </c>
      <c r="AE179" s="62">
        <v>77.219787704773353</v>
      </c>
      <c r="AF179" s="62">
        <v>78.808472881940489</v>
      </c>
      <c r="AG179" s="62">
        <v>80.452611544301334</v>
      </c>
      <c r="AH179" s="62">
        <v>82.15519616892189</v>
      </c>
      <c r="AI179" s="62">
        <v>83.919219224123538</v>
      </c>
      <c r="AJ179" s="62">
        <v>85.747673188473911</v>
      </c>
    </row>
    <row r="180" spans="1:36" x14ac:dyDescent="0.25">
      <c r="A180" s="58" t="s">
        <v>17</v>
      </c>
      <c r="B180" s="59" t="s">
        <v>18</v>
      </c>
      <c r="C180" s="60" t="s">
        <v>115</v>
      </c>
      <c r="D180" s="61" t="s">
        <v>30</v>
      </c>
      <c r="E180" s="50" t="s">
        <v>501</v>
      </c>
      <c r="F180" s="50">
        <v>1.9625320883598897E-4</v>
      </c>
      <c r="G180" s="50">
        <v>2.5581851037425701E-4</v>
      </c>
      <c r="H180" s="63" t="s">
        <v>500</v>
      </c>
      <c r="I180" s="62">
        <v>45.657720276066271</v>
      </c>
      <c r="J180" s="62">
        <v>46.959069038340111</v>
      </c>
      <c r="K180" s="62">
        <v>48.084158846966098</v>
      </c>
      <c r="L180" s="62">
        <v>49.402647449435015</v>
      </c>
      <c r="M180" s="62">
        <v>50.74006662167163</v>
      </c>
      <c r="N180" s="62">
        <v>52.099742004310812</v>
      </c>
      <c r="O180" s="62">
        <v>53.482185234373297</v>
      </c>
      <c r="P180" s="62">
        <v>54.652299100825147</v>
      </c>
      <c r="Q180" s="62">
        <v>56.0718360148919</v>
      </c>
      <c r="R180" s="62">
        <v>57.518233872547945</v>
      </c>
      <c r="S180" s="62">
        <v>58.259084278591793</v>
      </c>
      <c r="T180" s="62">
        <v>60.509008077333384</v>
      </c>
      <c r="U180" s="62">
        <v>61.770960789009592</v>
      </c>
      <c r="V180" s="62">
        <v>63.366756656724213</v>
      </c>
      <c r="W180" s="62">
        <v>65.025483877990894</v>
      </c>
      <c r="X180" s="62">
        <v>66.742537719622902</v>
      </c>
      <c r="Y180" s="62">
        <v>68.533267292242712</v>
      </c>
      <c r="Z180" s="62">
        <v>70.023921752193502</v>
      </c>
      <c r="AA180" s="62">
        <v>71.359732406556404</v>
      </c>
      <c r="AB180" s="62">
        <v>72.756528365285391</v>
      </c>
      <c r="AC180" s="62">
        <v>74.19680791979475</v>
      </c>
      <c r="AD180" s="62">
        <v>75.683563542228413</v>
      </c>
      <c r="AE180" s="62">
        <v>77.219787704773353</v>
      </c>
      <c r="AF180" s="62">
        <v>78.808472881940489</v>
      </c>
      <c r="AG180" s="62">
        <v>80.452611544301334</v>
      </c>
      <c r="AH180" s="62">
        <v>82.15519616892189</v>
      </c>
      <c r="AI180" s="62">
        <v>83.919219224123538</v>
      </c>
      <c r="AJ180" s="62">
        <v>85.747673188473911</v>
      </c>
    </row>
    <row r="181" spans="1:36" x14ac:dyDescent="0.25">
      <c r="A181" s="58" t="s">
        <v>17</v>
      </c>
      <c r="B181" s="59" t="s">
        <v>18</v>
      </c>
      <c r="C181" s="60" t="s">
        <v>115</v>
      </c>
      <c r="D181" s="61" t="s">
        <v>30</v>
      </c>
      <c r="E181" s="50" t="s">
        <v>304</v>
      </c>
      <c r="F181" s="50">
        <v>8.7687603947995065E-5</v>
      </c>
      <c r="G181" s="50">
        <v>1.1430188761402974E-4</v>
      </c>
      <c r="H181" s="63" t="s">
        <v>303</v>
      </c>
      <c r="I181" s="62">
        <v>20.400257995689184</v>
      </c>
      <c r="J181" s="62">
        <v>20.981711697981755</v>
      </c>
      <c r="K181" s="62">
        <v>21.484411399708257</v>
      </c>
      <c r="L181" s="62">
        <v>22.073523328470966</v>
      </c>
      <c r="M181" s="62">
        <v>22.671093596917114</v>
      </c>
      <c r="N181" s="62">
        <v>23.278608129585681</v>
      </c>
      <c r="O181" s="62">
        <v>23.896295530251898</v>
      </c>
      <c r="P181" s="62">
        <v>24.419112364198472</v>
      </c>
      <c r="Q181" s="62">
        <v>25.053373538568721</v>
      </c>
      <c r="R181" s="62">
        <v>25.699636411138446</v>
      </c>
      <c r="S181" s="62">
        <v>26.030654677668675</v>
      </c>
      <c r="T181" s="62">
        <v>27.035939779234067</v>
      </c>
      <c r="U181" s="62">
        <v>27.599790990834077</v>
      </c>
      <c r="V181" s="62">
        <v>28.312806165770393</v>
      </c>
      <c r="W181" s="62">
        <v>29.053939605059764</v>
      </c>
      <c r="X181" s="62">
        <v>29.821133874725131</v>
      </c>
      <c r="Y181" s="62">
        <v>30.621247088023338</v>
      </c>
      <c r="Z181" s="62">
        <v>31.287284187150291</v>
      </c>
      <c r="AA181" s="62">
        <v>31.884135756120948</v>
      </c>
      <c r="AB181" s="62">
        <v>32.508236078106236</v>
      </c>
      <c r="AC181" s="62">
        <v>33.15176524075936</v>
      </c>
      <c r="AD181" s="62">
        <v>33.816060306102059</v>
      </c>
      <c r="AE181" s="62">
        <v>34.50245833617533</v>
      </c>
      <c r="AF181" s="62">
        <v>35.212296394058519</v>
      </c>
      <c r="AG181" s="62">
        <v>35.946911541070811</v>
      </c>
      <c r="AH181" s="62">
        <v>36.707640841433182</v>
      </c>
      <c r="AI181" s="62">
        <v>37.495821355459455</v>
      </c>
      <c r="AJ181" s="62">
        <v>38.312790148041536</v>
      </c>
    </row>
    <row r="182" spans="1:36" x14ac:dyDescent="0.25">
      <c r="A182" s="58" t="s">
        <v>17</v>
      </c>
      <c r="B182" s="59" t="s">
        <v>18</v>
      </c>
      <c r="C182" s="60" t="s">
        <v>115</v>
      </c>
      <c r="D182" s="61" t="s">
        <v>30</v>
      </c>
      <c r="E182" s="50" t="s">
        <v>343</v>
      </c>
      <c r="F182" s="50">
        <v>2.9229201315998354E-5</v>
      </c>
      <c r="G182" s="50">
        <v>3.8100629204676579E-5</v>
      </c>
      <c r="H182" s="63" t="s">
        <v>342</v>
      </c>
      <c r="I182" s="62">
        <v>6.8000859985630617</v>
      </c>
      <c r="J182" s="62">
        <v>6.9939038993272513</v>
      </c>
      <c r="K182" s="62">
        <v>7.1614704665694191</v>
      </c>
      <c r="L182" s="62">
        <v>7.3578411094903222</v>
      </c>
      <c r="M182" s="62">
        <v>7.5570311989723713</v>
      </c>
      <c r="N182" s="62">
        <v>7.7595360431952276</v>
      </c>
      <c r="O182" s="62">
        <v>7.9654318434172993</v>
      </c>
      <c r="P182" s="62">
        <v>8.1397041213994896</v>
      </c>
      <c r="Q182" s="62">
        <v>8.3511245128562415</v>
      </c>
      <c r="R182" s="62">
        <v>8.5665454703794826</v>
      </c>
      <c r="S182" s="62">
        <v>8.6768848925562256</v>
      </c>
      <c r="T182" s="62">
        <v>9.0119799264113567</v>
      </c>
      <c r="U182" s="62">
        <v>9.1999303302780255</v>
      </c>
      <c r="V182" s="62">
        <v>9.4376020552567983</v>
      </c>
      <c r="W182" s="62">
        <v>9.6846465350199207</v>
      </c>
      <c r="X182" s="62">
        <v>9.9403779582417098</v>
      </c>
      <c r="Y182" s="62">
        <v>10.207082362674447</v>
      </c>
      <c r="Z182" s="62">
        <v>10.429094729050096</v>
      </c>
      <c r="AA182" s="62">
        <v>10.628045252040316</v>
      </c>
      <c r="AB182" s="62">
        <v>10.836078692702079</v>
      </c>
      <c r="AC182" s="62">
        <v>11.050588413586453</v>
      </c>
      <c r="AD182" s="62">
        <v>11.27202010203402</v>
      </c>
      <c r="AE182" s="62">
        <v>11.500819445391777</v>
      </c>
      <c r="AF182" s="62">
        <v>11.73743213135284</v>
      </c>
      <c r="AG182" s="62">
        <v>11.982303847023605</v>
      </c>
      <c r="AH182" s="62">
        <v>12.235880280477728</v>
      </c>
      <c r="AI182" s="62">
        <v>12.498607118486484</v>
      </c>
      <c r="AJ182" s="62">
        <v>12.770930049347179</v>
      </c>
    </row>
    <row r="183" spans="1:36" x14ac:dyDescent="0.25">
      <c r="A183" s="58" t="s">
        <v>17</v>
      </c>
      <c r="B183" s="59" t="s">
        <v>18</v>
      </c>
      <c r="C183" s="60" t="s">
        <v>115</v>
      </c>
      <c r="D183" s="61" t="s">
        <v>30</v>
      </c>
      <c r="E183" s="50" t="s">
        <v>404</v>
      </c>
      <c r="F183" s="50">
        <v>3.9125373761557799E-3</v>
      </c>
      <c r="G183" s="50">
        <v>5.1000413663974224E-3</v>
      </c>
      <c r="H183" s="63" t="s">
        <v>403</v>
      </c>
      <c r="I183" s="62">
        <v>910.24008295051271</v>
      </c>
      <c r="J183" s="62">
        <v>936.18399338137647</v>
      </c>
      <c r="K183" s="62">
        <v>958.61397531079228</v>
      </c>
      <c r="L183" s="62">
        <v>984.89958851320466</v>
      </c>
      <c r="M183" s="62">
        <v>1011.5626047767304</v>
      </c>
      <c r="N183" s="62">
        <v>1038.6693246391326</v>
      </c>
      <c r="O183" s="62">
        <v>1066.2299481831444</v>
      </c>
      <c r="P183" s="62">
        <v>1089.5575373930462</v>
      </c>
      <c r="Q183" s="62">
        <v>1117.8576669351855</v>
      </c>
      <c r="R183" s="62">
        <v>1146.6933008207964</v>
      </c>
      <c r="S183" s="62">
        <v>1161.4630206178833</v>
      </c>
      <c r="T183" s="62">
        <v>1206.3178844353488</v>
      </c>
      <c r="U183" s="62">
        <v>1231.4763884957872</v>
      </c>
      <c r="V183" s="62">
        <v>1263.2904465393742</v>
      </c>
      <c r="W183" s="62">
        <v>1296.3591147590953</v>
      </c>
      <c r="X183" s="62">
        <v>1330.5905924103547</v>
      </c>
      <c r="Y183" s="62">
        <v>1366.2908819751367</v>
      </c>
      <c r="Z183" s="62">
        <v>1396.0088230171345</v>
      </c>
      <c r="AA183" s="62">
        <v>1422.6397715945395</v>
      </c>
      <c r="AB183" s="62">
        <v>1450.4865335802642</v>
      </c>
      <c r="AC183" s="62">
        <v>1479.2001919329296</v>
      </c>
      <c r="AD183" s="62">
        <v>1508.8404050865538</v>
      </c>
      <c r="AE183" s="62">
        <v>1539.4668314760136</v>
      </c>
      <c r="AF183" s="62">
        <v>1571.1391295825158</v>
      </c>
      <c r="AG183" s="62">
        <v>1603.9169578087312</v>
      </c>
      <c r="AH183" s="62">
        <v>1637.8599746868047</v>
      </c>
      <c r="AI183" s="62">
        <v>1673.0278385745482</v>
      </c>
      <c r="AJ183" s="62">
        <v>1709.4802080340439</v>
      </c>
    </row>
    <row r="184" spans="1:36" x14ac:dyDescent="0.25">
      <c r="A184" s="58" t="s">
        <v>17</v>
      </c>
      <c r="B184" s="59" t="s">
        <v>18</v>
      </c>
      <c r="C184" s="60" t="s">
        <v>115</v>
      </c>
      <c r="D184" s="61" t="s">
        <v>30</v>
      </c>
      <c r="E184" s="50" t="s">
        <v>190</v>
      </c>
      <c r="F184" s="50">
        <v>8.3512003759995302E-6</v>
      </c>
      <c r="G184" s="50">
        <v>1.0885894058479023E-5</v>
      </c>
      <c r="H184" s="63" t="s">
        <v>189</v>
      </c>
      <c r="I184" s="62">
        <v>1.9428817138751606</v>
      </c>
      <c r="J184" s="62">
        <v>1.9982582569506433</v>
      </c>
      <c r="K184" s="62">
        <v>2.0461344190198343</v>
      </c>
      <c r="L184" s="62">
        <v>2.1022403169972352</v>
      </c>
      <c r="M184" s="62">
        <v>2.1591517711349635</v>
      </c>
      <c r="N184" s="62">
        <v>2.2170102980557793</v>
      </c>
      <c r="O184" s="62">
        <v>2.2758376695478</v>
      </c>
      <c r="P184" s="62">
        <v>2.3256297489712829</v>
      </c>
      <c r="Q184" s="62">
        <v>2.3860355751017832</v>
      </c>
      <c r="R184" s="62">
        <v>2.4475844201084236</v>
      </c>
      <c r="S184" s="62">
        <v>2.4791099693017786</v>
      </c>
      <c r="T184" s="62">
        <v>2.574851407546102</v>
      </c>
      <c r="U184" s="62">
        <v>2.6285515229365788</v>
      </c>
      <c r="V184" s="62">
        <v>2.6964577300733708</v>
      </c>
      <c r="W184" s="62">
        <v>2.7670418671485488</v>
      </c>
      <c r="X184" s="62">
        <v>2.8401079880690601</v>
      </c>
      <c r="Y184" s="62">
        <v>2.9163092464784133</v>
      </c>
      <c r="Z184" s="62">
        <v>2.9797413511571706</v>
      </c>
      <c r="AA184" s="62">
        <v>3.0365843577258049</v>
      </c>
      <c r="AB184" s="62">
        <v>3.0960224836291657</v>
      </c>
      <c r="AC184" s="62">
        <v>3.1573109753104154</v>
      </c>
      <c r="AD184" s="62">
        <v>3.2205771720097198</v>
      </c>
      <c r="AE184" s="62">
        <v>3.2859484129690788</v>
      </c>
      <c r="AF184" s="62">
        <v>3.3535520375293828</v>
      </c>
      <c r="AG184" s="62">
        <v>3.4235153848638871</v>
      </c>
      <c r="AH184" s="62">
        <v>3.495965794422208</v>
      </c>
      <c r="AI184" s="62">
        <v>3.571030605281853</v>
      </c>
      <c r="AJ184" s="62">
        <v>3.6488371569563367</v>
      </c>
    </row>
    <row r="185" spans="1:36" x14ac:dyDescent="0.25">
      <c r="A185" s="58" t="s">
        <v>17</v>
      </c>
      <c r="B185" s="59" t="s">
        <v>18</v>
      </c>
      <c r="C185" s="60" t="s">
        <v>115</v>
      </c>
      <c r="D185" s="61" t="s">
        <v>30</v>
      </c>
      <c r="E185" s="50" t="s">
        <v>256</v>
      </c>
      <c r="F185" s="50">
        <v>9.1863204135994835E-5</v>
      </c>
      <c r="G185" s="50">
        <v>1.1974483464326925E-4</v>
      </c>
      <c r="H185" s="63" t="s">
        <v>255</v>
      </c>
      <c r="I185" s="62">
        <v>21.371698852626768</v>
      </c>
      <c r="J185" s="62">
        <v>21.980840826457076</v>
      </c>
      <c r="K185" s="62">
        <v>22.507478609218175</v>
      </c>
      <c r="L185" s="62">
        <v>23.124643486969585</v>
      </c>
      <c r="M185" s="62">
        <v>23.750669482484597</v>
      </c>
      <c r="N185" s="62">
        <v>24.387113278613572</v>
      </c>
      <c r="O185" s="62">
        <v>25.0342143650258</v>
      </c>
      <c r="P185" s="62">
        <v>25.581927238684113</v>
      </c>
      <c r="Q185" s="62">
        <v>26.246391326119614</v>
      </c>
      <c r="R185" s="62">
        <v>26.923428621192659</v>
      </c>
      <c r="S185" s="62">
        <v>27.270209662319566</v>
      </c>
      <c r="T185" s="62">
        <v>28.32336548300712</v>
      </c>
      <c r="U185" s="62">
        <v>28.914066752302364</v>
      </c>
      <c r="V185" s="62">
        <v>29.661035030807081</v>
      </c>
      <c r="W185" s="62">
        <v>30.437460538634038</v>
      </c>
      <c r="X185" s="62">
        <v>31.24118786875966</v>
      </c>
      <c r="Y185" s="62">
        <v>32.079401711262548</v>
      </c>
      <c r="Z185" s="62">
        <v>32.777154862728878</v>
      </c>
      <c r="AA185" s="62">
        <v>33.402427934983848</v>
      </c>
      <c r="AB185" s="62">
        <v>34.056247319920821</v>
      </c>
      <c r="AC185" s="62">
        <v>34.730420728414565</v>
      </c>
      <c r="AD185" s="62">
        <v>35.426348892106923</v>
      </c>
      <c r="AE185" s="62">
        <v>36.145432542659869</v>
      </c>
      <c r="AF185" s="62">
        <v>36.889072412823211</v>
      </c>
      <c r="AG185" s="62">
        <v>37.658669233502756</v>
      </c>
      <c r="AH185" s="62">
        <v>38.455623738644292</v>
      </c>
      <c r="AI185" s="62">
        <v>39.281336658100379</v>
      </c>
      <c r="AJ185" s="62">
        <v>40.137208726519702</v>
      </c>
    </row>
    <row r="186" spans="1:36" x14ac:dyDescent="0.25">
      <c r="A186" s="58" t="s">
        <v>17</v>
      </c>
      <c r="B186" s="59" t="s">
        <v>18</v>
      </c>
      <c r="C186" s="60" t="s">
        <v>115</v>
      </c>
      <c r="D186" s="61" t="s">
        <v>30</v>
      </c>
      <c r="E186" s="50" t="s">
        <v>506</v>
      </c>
      <c r="F186" s="50">
        <v>5.2278514353757055E-3</v>
      </c>
      <c r="G186" s="50">
        <v>6.8145696806078682E-3</v>
      </c>
      <c r="H186" s="63" t="s">
        <v>505</v>
      </c>
      <c r="I186" s="62">
        <v>1216.2439528858504</v>
      </c>
      <c r="J186" s="62">
        <v>1250.9096688511027</v>
      </c>
      <c r="K186" s="62">
        <v>1280.880146306416</v>
      </c>
      <c r="L186" s="62">
        <v>1316.0024384402691</v>
      </c>
      <c r="M186" s="62">
        <v>1351.6290087304869</v>
      </c>
      <c r="N186" s="62">
        <v>1387.8484465829179</v>
      </c>
      <c r="O186" s="62">
        <v>1424.6743811369226</v>
      </c>
      <c r="P186" s="62">
        <v>1455.8442228560232</v>
      </c>
      <c r="Q186" s="62">
        <v>1493.6582700137162</v>
      </c>
      <c r="R186" s="62">
        <v>1532.1878469878732</v>
      </c>
      <c r="S186" s="62">
        <v>1551.9228407829135</v>
      </c>
      <c r="T186" s="62">
        <v>1611.8569811238597</v>
      </c>
      <c r="U186" s="62">
        <v>1645.4732533582983</v>
      </c>
      <c r="V186" s="62">
        <v>1687.9825390259302</v>
      </c>
      <c r="W186" s="62">
        <v>1732.1682088349917</v>
      </c>
      <c r="X186" s="62">
        <v>1777.9076005312315</v>
      </c>
      <c r="Y186" s="62">
        <v>1825.6095882954867</v>
      </c>
      <c r="Z186" s="62">
        <v>1865.3180858243886</v>
      </c>
      <c r="AA186" s="62">
        <v>1900.9018079363536</v>
      </c>
      <c r="AB186" s="62">
        <v>1938.1100747518576</v>
      </c>
      <c r="AC186" s="62">
        <v>1976.4766705443199</v>
      </c>
      <c r="AD186" s="62">
        <v>2016.0813096780846</v>
      </c>
      <c r="AE186" s="62">
        <v>2057.0037065186434</v>
      </c>
      <c r="AF186" s="62">
        <v>2099.3235754933935</v>
      </c>
      <c r="AG186" s="62">
        <v>2143.1206309247932</v>
      </c>
      <c r="AH186" s="62">
        <v>2188.474587308302</v>
      </c>
      <c r="AI186" s="62">
        <v>2235.4651589064397</v>
      </c>
      <c r="AJ186" s="62">
        <v>2284.172060254667</v>
      </c>
    </row>
    <row r="187" spans="1:36" x14ac:dyDescent="0.25">
      <c r="A187" s="58" t="s">
        <v>17</v>
      </c>
      <c r="B187" s="59" t="s">
        <v>18</v>
      </c>
      <c r="C187" s="60" t="s">
        <v>115</v>
      </c>
      <c r="D187" s="61" t="s">
        <v>30</v>
      </c>
      <c r="E187" s="50" t="s">
        <v>497</v>
      </c>
      <c r="F187" s="50">
        <v>4.1756001879997648E-5</v>
      </c>
      <c r="G187" s="50">
        <v>5.4429470292395112E-5</v>
      </c>
      <c r="H187" s="63" t="s">
        <v>81</v>
      </c>
      <c r="I187" s="62">
        <v>9.7144085693758022</v>
      </c>
      <c r="J187" s="62">
        <v>9.9912912847532169</v>
      </c>
      <c r="K187" s="62">
        <v>10.23067209509917</v>
      </c>
      <c r="L187" s="62">
        <v>10.511201584986175</v>
      </c>
      <c r="M187" s="62">
        <v>10.795758855674816</v>
      </c>
      <c r="N187" s="62">
        <v>11.085051490278897</v>
      </c>
      <c r="O187" s="62">
        <v>11.379188347738999</v>
      </c>
      <c r="P187" s="62">
        <v>11.628148744856414</v>
      </c>
      <c r="Q187" s="62">
        <v>11.930177875508916</v>
      </c>
      <c r="R187" s="62">
        <v>12.237922100542116</v>
      </c>
      <c r="S187" s="62">
        <v>12.395549846508894</v>
      </c>
      <c r="T187" s="62">
        <v>12.874257037730509</v>
      </c>
      <c r="U187" s="62">
        <v>13.142757614682893</v>
      </c>
      <c r="V187" s="62">
        <v>13.482288650366854</v>
      </c>
      <c r="W187" s="62">
        <v>13.835209335742745</v>
      </c>
      <c r="X187" s="62">
        <v>14.200539940345299</v>
      </c>
      <c r="Y187" s="62">
        <v>14.581546232392066</v>
      </c>
      <c r="Z187" s="62">
        <v>14.898706755785852</v>
      </c>
      <c r="AA187" s="62">
        <v>15.182921788629022</v>
      </c>
      <c r="AB187" s="62">
        <v>15.480112418145827</v>
      </c>
      <c r="AC187" s="62">
        <v>15.786554876552076</v>
      </c>
      <c r="AD187" s="62">
        <v>16.102885860048598</v>
      </c>
      <c r="AE187" s="62">
        <v>16.429742064845392</v>
      </c>
      <c r="AF187" s="62">
        <v>16.767760187646914</v>
      </c>
      <c r="AG187" s="62">
        <v>17.117576924319433</v>
      </c>
      <c r="AH187" s="62">
        <v>17.47982897211104</v>
      </c>
      <c r="AI187" s="62">
        <v>17.855153026409265</v>
      </c>
      <c r="AJ187" s="62">
        <v>18.244185784781685</v>
      </c>
    </row>
    <row r="188" spans="1:36" x14ac:dyDescent="0.25">
      <c r="A188" s="58" t="s">
        <v>17</v>
      </c>
      <c r="B188" s="59" t="s">
        <v>18</v>
      </c>
      <c r="C188" s="60" t="s">
        <v>115</v>
      </c>
      <c r="D188" s="61" t="s">
        <v>30</v>
      </c>
      <c r="E188" s="50" t="s">
        <v>443</v>
      </c>
      <c r="F188" s="50">
        <v>3.0481881372398288E-4</v>
      </c>
      <c r="G188" s="50">
        <v>3.9733513313448436E-4</v>
      </c>
      <c r="H188" s="63" t="s">
        <v>442</v>
      </c>
      <c r="I188" s="62">
        <v>70.915182556443369</v>
      </c>
      <c r="J188" s="62">
        <v>72.936426378698485</v>
      </c>
      <c r="K188" s="62">
        <v>74.683906294223945</v>
      </c>
      <c r="L188" s="62">
        <v>76.731771570399076</v>
      </c>
      <c r="M188" s="62">
        <v>78.809039646426172</v>
      </c>
      <c r="N188" s="62">
        <v>80.920875879035947</v>
      </c>
      <c r="O188" s="62">
        <v>83.068074938494703</v>
      </c>
      <c r="P188" s="62">
        <v>84.885485837451839</v>
      </c>
      <c r="Q188" s="62">
        <v>87.090298491215094</v>
      </c>
      <c r="R188" s="62">
        <v>89.336831333957463</v>
      </c>
      <c r="S188" s="62">
        <v>90.487513879514935</v>
      </c>
      <c r="T188" s="62">
        <v>93.982076375432726</v>
      </c>
      <c r="U188" s="62">
        <v>95.942130587185133</v>
      </c>
      <c r="V188" s="62">
        <v>98.420707147678044</v>
      </c>
      <c r="W188" s="62">
        <v>100.99702815092203</v>
      </c>
      <c r="X188" s="62">
        <v>103.6639415645207</v>
      </c>
      <c r="Y188" s="62">
        <v>106.44528749646209</v>
      </c>
      <c r="Z188" s="62">
        <v>108.76055931723673</v>
      </c>
      <c r="AA188" s="62">
        <v>110.83532905699188</v>
      </c>
      <c r="AB188" s="62">
        <v>113.00482065246456</v>
      </c>
      <c r="AC188" s="62">
        <v>115.24185059883015</v>
      </c>
      <c r="AD188" s="62">
        <v>117.55106677835478</v>
      </c>
      <c r="AE188" s="62">
        <v>119.93711707337138</v>
      </c>
      <c r="AF188" s="62">
        <v>122.40464936982248</v>
      </c>
      <c r="AG188" s="62">
        <v>124.95831154753189</v>
      </c>
      <c r="AH188" s="62">
        <v>127.6027514964106</v>
      </c>
      <c r="AI188" s="62">
        <v>130.34261709278763</v>
      </c>
      <c r="AJ188" s="62">
        <v>133.18255622890629</v>
      </c>
    </row>
    <row r="189" spans="1:36" x14ac:dyDescent="0.25">
      <c r="A189" s="58" t="s">
        <v>17</v>
      </c>
      <c r="B189" s="59" t="s">
        <v>18</v>
      </c>
      <c r="C189" s="60" t="s">
        <v>115</v>
      </c>
      <c r="D189" s="61" t="s">
        <v>30</v>
      </c>
      <c r="E189" s="50" t="s">
        <v>388</v>
      </c>
      <c r="F189" s="50">
        <v>1.8372640827198967E-4</v>
      </c>
      <c r="G189" s="50">
        <v>2.394896692865385E-4</v>
      </c>
      <c r="H189" s="63" t="s">
        <v>387</v>
      </c>
      <c r="I189" s="62">
        <v>42.743397705253535</v>
      </c>
      <c r="J189" s="62">
        <v>43.961681652914152</v>
      </c>
      <c r="K189" s="62">
        <v>45.014957218436351</v>
      </c>
      <c r="L189" s="62">
        <v>46.249286973939171</v>
      </c>
      <c r="M189" s="62">
        <v>47.501338964969193</v>
      </c>
      <c r="N189" s="62">
        <v>48.774226557227145</v>
      </c>
      <c r="O189" s="62">
        <v>50.0684287300516</v>
      </c>
      <c r="P189" s="62">
        <v>51.163854477368226</v>
      </c>
      <c r="Q189" s="62">
        <v>52.492782652239228</v>
      </c>
      <c r="R189" s="62">
        <v>53.846857242385319</v>
      </c>
      <c r="S189" s="62">
        <v>54.540419324639132</v>
      </c>
      <c r="T189" s="62">
        <v>56.646730966014239</v>
      </c>
      <c r="U189" s="62">
        <v>57.828133504604729</v>
      </c>
      <c r="V189" s="62">
        <v>59.322070061614163</v>
      </c>
      <c r="W189" s="62">
        <v>60.874921077268077</v>
      </c>
      <c r="X189" s="62">
        <v>62.48237573751932</v>
      </c>
      <c r="Y189" s="62">
        <v>64.158803422525096</v>
      </c>
      <c r="Z189" s="62">
        <v>65.554309725457756</v>
      </c>
      <c r="AA189" s="62">
        <v>66.804855869967696</v>
      </c>
      <c r="AB189" s="62">
        <v>68.112494639841643</v>
      </c>
      <c r="AC189" s="62">
        <v>69.460841456829129</v>
      </c>
      <c r="AD189" s="62">
        <v>70.852697784213845</v>
      </c>
      <c r="AE189" s="62">
        <v>72.290865085319737</v>
      </c>
      <c r="AF189" s="62">
        <v>73.778144825646422</v>
      </c>
      <c r="AG189" s="62">
        <v>75.317338467005513</v>
      </c>
      <c r="AH189" s="62">
        <v>76.911247477288583</v>
      </c>
      <c r="AI189" s="62">
        <v>78.562673316200758</v>
      </c>
      <c r="AJ189" s="62">
        <v>80.274417453039405</v>
      </c>
    </row>
    <row r="190" spans="1:36" x14ac:dyDescent="0.25">
      <c r="A190" s="58" t="s">
        <v>17</v>
      </c>
      <c r="B190" s="59" t="s">
        <v>18</v>
      </c>
      <c r="C190" s="60" t="s">
        <v>115</v>
      </c>
      <c r="D190" s="61" t="s">
        <v>30</v>
      </c>
      <c r="E190" s="50" t="s">
        <v>408</v>
      </c>
      <c r="F190" s="50">
        <v>9.6038804323994608E-4</v>
      </c>
      <c r="G190" s="50">
        <v>1.2518778167250877E-3</v>
      </c>
      <c r="H190" s="63" t="s">
        <v>407</v>
      </c>
      <c r="I190" s="62">
        <v>223.43139709564349</v>
      </c>
      <c r="J190" s="62">
        <v>229.799699549324</v>
      </c>
      <c r="K190" s="62">
        <v>235.30545818728095</v>
      </c>
      <c r="L190" s="62">
        <v>241.75763645468203</v>
      </c>
      <c r="M190" s="62">
        <v>248.30245368052078</v>
      </c>
      <c r="N190" s="62">
        <v>254.95618427641463</v>
      </c>
      <c r="O190" s="62">
        <v>261.72133199799703</v>
      </c>
      <c r="P190" s="62">
        <v>267.44742113169758</v>
      </c>
      <c r="Q190" s="62">
        <v>274.39409113670507</v>
      </c>
      <c r="R190" s="62">
        <v>281.47220831246869</v>
      </c>
      <c r="S190" s="62">
        <v>285.09764646970456</v>
      </c>
      <c r="T190" s="62">
        <v>296.1079118678017</v>
      </c>
      <c r="U190" s="62">
        <v>302.28342513770656</v>
      </c>
      <c r="V190" s="62">
        <v>310.0926389584377</v>
      </c>
      <c r="W190" s="62">
        <v>318.20981472208314</v>
      </c>
      <c r="X190" s="62">
        <v>326.61241862794191</v>
      </c>
      <c r="Y190" s="62">
        <v>335.37556334501755</v>
      </c>
      <c r="Z190" s="62">
        <v>342.67025538307462</v>
      </c>
      <c r="AA190" s="62">
        <v>349.20720113846755</v>
      </c>
      <c r="AB190" s="62">
        <v>356.04258561735406</v>
      </c>
      <c r="AC190" s="62">
        <v>363.09076216069775</v>
      </c>
      <c r="AD190" s="62">
        <v>370.36637478111783</v>
      </c>
      <c r="AE190" s="62">
        <v>377.88406749144411</v>
      </c>
      <c r="AF190" s="62">
        <v>385.65848431587904</v>
      </c>
      <c r="AG190" s="62">
        <v>393.70426925934703</v>
      </c>
      <c r="AH190" s="62">
        <v>402.03606635855397</v>
      </c>
      <c r="AI190" s="62">
        <v>410.66851960741315</v>
      </c>
      <c r="AJ190" s="62">
        <v>419.61627304997876</v>
      </c>
    </row>
    <row r="191" spans="1:36" x14ac:dyDescent="0.25">
      <c r="A191" s="58" t="s">
        <v>17</v>
      </c>
      <c r="B191" s="59" t="s">
        <v>18</v>
      </c>
      <c r="C191" s="60" t="s">
        <v>115</v>
      </c>
      <c r="D191" s="61" t="s">
        <v>30</v>
      </c>
      <c r="E191" s="50" t="s">
        <v>123</v>
      </c>
      <c r="F191" s="50">
        <v>2.1379072962558797E-3</v>
      </c>
      <c r="G191" s="50">
        <v>2.7867888789706299E-3</v>
      </c>
      <c r="H191" s="63" t="s">
        <v>122</v>
      </c>
      <c r="I191" s="62">
        <v>497.37771875204112</v>
      </c>
      <c r="J191" s="62">
        <v>511.55411377936468</v>
      </c>
      <c r="K191" s="62">
        <v>523.81041126907758</v>
      </c>
      <c r="L191" s="62">
        <v>538.17352115129222</v>
      </c>
      <c r="M191" s="62">
        <v>552.74285341055065</v>
      </c>
      <c r="N191" s="62">
        <v>567.5546363022795</v>
      </c>
      <c r="O191" s="62">
        <v>582.61444340423679</v>
      </c>
      <c r="P191" s="62">
        <v>595.36121573664843</v>
      </c>
      <c r="Q191" s="62">
        <v>610.8251072260565</v>
      </c>
      <c r="R191" s="62">
        <v>626.58161154775644</v>
      </c>
      <c r="S191" s="62">
        <v>634.65215214125533</v>
      </c>
      <c r="T191" s="62">
        <v>659.16196033180211</v>
      </c>
      <c r="U191" s="62">
        <v>672.90918987176417</v>
      </c>
      <c r="V191" s="62">
        <v>690.29317889878291</v>
      </c>
      <c r="W191" s="62">
        <v>708.3627179900285</v>
      </c>
      <c r="X191" s="62">
        <v>727.06764494567938</v>
      </c>
      <c r="Y191" s="62">
        <v>746.5751670984738</v>
      </c>
      <c r="Z191" s="62">
        <v>762.81378589623569</v>
      </c>
      <c r="AA191" s="62">
        <v>777.36559557780606</v>
      </c>
      <c r="AB191" s="62">
        <v>792.58175580906641</v>
      </c>
      <c r="AC191" s="62">
        <v>808.27160967946634</v>
      </c>
      <c r="AD191" s="62">
        <v>824.46775603448827</v>
      </c>
      <c r="AE191" s="62">
        <v>841.20279372008417</v>
      </c>
      <c r="AF191" s="62">
        <v>858.509321607522</v>
      </c>
      <c r="AG191" s="62">
        <v>876.41993852515509</v>
      </c>
      <c r="AH191" s="62">
        <v>894.96724337208525</v>
      </c>
      <c r="AI191" s="62">
        <v>914.18383495215437</v>
      </c>
      <c r="AJ191" s="62">
        <v>934.1023121808222</v>
      </c>
    </row>
    <row r="192" spans="1:36" x14ac:dyDescent="0.25">
      <c r="A192" s="58" t="s">
        <v>17</v>
      </c>
      <c r="B192" s="59" t="s">
        <v>18</v>
      </c>
      <c r="C192" s="60" t="s">
        <v>115</v>
      </c>
      <c r="D192" s="61" t="s">
        <v>30</v>
      </c>
      <c r="E192" s="50" t="s">
        <v>250</v>
      </c>
      <c r="F192" s="50">
        <v>1.5700256706879117E-3</v>
      </c>
      <c r="G192" s="50">
        <v>2.0465480829940561E-3</v>
      </c>
      <c r="H192" s="63" t="s">
        <v>249</v>
      </c>
      <c r="I192" s="62">
        <v>365.26176220853017</v>
      </c>
      <c r="J192" s="62">
        <v>375.67255230672089</v>
      </c>
      <c r="K192" s="62">
        <v>384.67327077572878</v>
      </c>
      <c r="L192" s="62">
        <v>395.22117959548012</v>
      </c>
      <c r="M192" s="62">
        <v>405.92053297337304</v>
      </c>
      <c r="N192" s="62">
        <v>416.7979360344865</v>
      </c>
      <c r="O192" s="62">
        <v>427.85748187498638</v>
      </c>
      <c r="P192" s="62">
        <v>437.21839280660117</v>
      </c>
      <c r="Q192" s="62">
        <v>448.5746881191352</v>
      </c>
      <c r="R192" s="62">
        <v>460.14587098038356</v>
      </c>
      <c r="S192" s="62">
        <v>466.07267422873434</v>
      </c>
      <c r="T192" s="62">
        <v>484.07206461866707</v>
      </c>
      <c r="U192" s="62">
        <v>494.16768631207674</v>
      </c>
      <c r="V192" s="62">
        <v>506.93405325379371</v>
      </c>
      <c r="W192" s="62">
        <v>520.20387102392715</v>
      </c>
      <c r="X192" s="62">
        <v>533.94030175698322</v>
      </c>
      <c r="Y192" s="62">
        <v>548.2661383379417</v>
      </c>
      <c r="Z192" s="62">
        <v>560.19137401754801</v>
      </c>
      <c r="AA192" s="62">
        <v>570.87785925245123</v>
      </c>
      <c r="AB192" s="62">
        <v>582.05222692228313</v>
      </c>
      <c r="AC192" s="62">
        <v>593.574463358358</v>
      </c>
      <c r="AD192" s="62">
        <v>605.4685083378273</v>
      </c>
      <c r="AE192" s="62">
        <v>617.75830163818682</v>
      </c>
      <c r="AF192" s="62">
        <v>630.46778305552391</v>
      </c>
      <c r="AG192" s="62">
        <v>643.62089235441067</v>
      </c>
      <c r="AH192" s="62">
        <v>657.24156935137512</v>
      </c>
      <c r="AI192" s="62">
        <v>671.3537537929883</v>
      </c>
      <c r="AJ192" s="62">
        <v>685.98138550779129</v>
      </c>
    </row>
    <row r="193" spans="1:36" x14ac:dyDescent="0.25">
      <c r="A193" s="58" t="s">
        <v>17</v>
      </c>
      <c r="B193" s="59" t="s">
        <v>18</v>
      </c>
      <c r="C193" s="60" t="s">
        <v>115</v>
      </c>
      <c r="D193" s="61" t="s">
        <v>30</v>
      </c>
      <c r="E193" s="50" t="s">
        <v>199</v>
      </c>
      <c r="F193" s="50">
        <v>9.6038804323994592E-5</v>
      </c>
      <c r="G193" s="50">
        <v>1.2518778167250875E-4</v>
      </c>
      <c r="H193" s="63" t="s">
        <v>198</v>
      </c>
      <c r="I193" s="62">
        <v>22.343139709564344</v>
      </c>
      <c r="J193" s="62">
        <v>22.979969954932397</v>
      </c>
      <c r="K193" s="62">
        <v>23.53054581872809</v>
      </c>
      <c r="L193" s="62">
        <v>24.175763645468201</v>
      </c>
      <c r="M193" s="62">
        <v>24.830245368052076</v>
      </c>
      <c r="N193" s="62">
        <v>25.49561842764146</v>
      </c>
      <c r="O193" s="62">
        <v>26.172133199799696</v>
      </c>
      <c r="P193" s="62">
        <v>26.744742113169753</v>
      </c>
      <c r="Q193" s="62">
        <v>27.439409113670504</v>
      </c>
      <c r="R193" s="62">
        <v>28.147220831246866</v>
      </c>
      <c r="S193" s="62">
        <v>28.509764646970453</v>
      </c>
      <c r="T193" s="62">
        <v>29.610791186780165</v>
      </c>
      <c r="U193" s="62">
        <v>30.228342513770652</v>
      </c>
      <c r="V193" s="62">
        <v>31.009263895843763</v>
      </c>
      <c r="W193" s="62">
        <v>31.82098147220831</v>
      </c>
      <c r="X193" s="62">
        <v>32.661241862794185</v>
      </c>
      <c r="Y193" s="62">
        <v>33.537556334501751</v>
      </c>
      <c r="Z193" s="62">
        <v>34.267025538307458</v>
      </c>
      <c r="AA193" s="62">
        <v>34.920720113846748</v>
      </c>
      <c r="AB193" s="62">
        <v>35.604258561735399</v>
      </c>
      <c r="AC193" s="62">
        <v>36.309076216069769</v>
      </c>
      <c r="AD193" s="62">
        <v>37.036637478111778</v>
      </c>
      <c r="AE193" s="62">
        <v>37.7884067491444</v>
      </c>
      <c r="AF193" s="62">
        <v>38.565848431587895</v>
      </c>
      <c r="AG193" s="62">
        <v>39.370426925934694</v>
      </c>
      <c r="AH193" s="62">
        <v>40.203606635855387</v>
      </c>
      <c r="AI193" s="62">
        <v>41.066851960741303</v>
      </c>
      <c r="AJ193" s="62">
        <v>41.961627304997869</v>
      </c>
    </row>
    <row r="194" spans="1:36" x14ac:dyDescent="0.25">
      <c r="A194" s="58" t="s">
        <v>17</v>
      </c>
      <c r="B194" s="59" t="s">
        <v>18</v>
      </c>
      <c r="C194" s="60" t="s">
        <v>115</v>
      </c>
      <c r="D194" s="61" t="s">
        <v>30</v>
      </c>
      <c r="E194" s="50" t="s">
        <v>172</v>
      </c>
      <c r="F194" s="50">
        <v>1.4531088654239181E-3</v>
      </c>
      <c r="G194" s="50">
        <v>1.8941455661753499E-3</v>
      </c>
      <c r="H194" s="63" t="s">
        <v>171</v>
      </c>
      <c r="I194" s="62">
        <v>338.06141821427792</v>
      </c>
      <c r="J194" s="62">
        <v>347.69693670941194</v>
      </c>
      <c r="K194" s="62">
        <v>356.02738890945113</v>
      </c>
      <c r="L194" s="62">
        <v>365.78981515751889</v>
      </c>
      <c r="M194" s="62">
        <v>375.69240817748363</v>
      </c>
      <c r="N194" s="62">
        <v>385.75979186170559</v>
      </c>
      <c r="O194" s="62">
        <v>395.99575450131721</v>
      </c>
      <c r="P194" s="62">
        <v>404.65957632100321</v>
      </c>
      <c r="Q194" s="62">
        <v>415.17019006771028</v>
      </c>
      <c r="R194" s="62">
        <v>425.8796890988657</v>
      </c>
      <c r="S194" s="62">
        <v>431.36513465850948</v>
      </c>
      <c r="T194" s="62">
        <v>448.0241449130217</v>
      </c>
      <c r="U194" s="62">
        <v>457.36796499096471</v>
      </c>
      <c r="V194" s="62">
        <v>469.18364503276655</v>
      </c>
      <c r="W194" s="62">
        <v>481.46528488384752</v>
      </c>
      <c r="X194" s="62">
        <v>494.17878992401643</v>
      </c>
      <c r="Y194" s="62">
        <v>507.43780888724388</v>
      </c>
      <c r="Z194" s="62">
        <v>518.47499510134764</v>
      </c>
      <c r="AA194" s="62">
        <v>528.36567824429005</v>
      </c>
      <c r="AB194" s="62">
        <v>538.70791215147483</v>
      </c>
      <c r="AC194" s="62">
        <v>549.37210970401225</v>
      </c>
      <c r="AD194" s="62">
        <v>560.38042792969122</v>
      </c>
      <c r="AE194" s="62">
        <v>571.75502385661969</v>
      </c>
      <c r="AF194" s="62">
        <v>583.51805453011264</v>
      </c>
      <c r="AG194" s="62">
        <v>595.69167696631632</v>
      </c>
      <c r="AH194" s="62">
        <v>608.29804822946426</v>
      </c>
      <c r="AI194" s="62">
        <v>621.35932531904245</v>
      </c>
      <c r="AJ194" s="62">
        <v>634.89766531040254</v>
      </c>
    </row>
    <row r="195" spans="1:36" x14ac:dyDescent="0.25">
      <c r="A195" s="58" t="s">
        <v>17</v>
      </c>
      <c r="B195" s="59" t="s">
        <v>18</v>
      </c>
      <c r="C195" s="60" t="s">
        <v>115</v>
      </c>
      <c r="D195" s="61" t="s">
        <v>30</v>
      </c>
      <c r="E195" s="50" t="s">
        <v>264</v>
      </c>
      <c r="F195" s="50">
        <v>1.0981828494439382E-3</v>
      </c>
      <c r="G195" s="50">
        <v>1.4314950686899915E-3</v>
      </c>
      <c r="H195" s="63" t="s">
        <v>263</v>
      </c>
      <c r="I195" s="62">
        <v>255.48894537458361</v>
      </c>
      <c r="J195" s="62">
        <v>262.77096078900962</v>
      </c>
      <c r="K195" s="62">
        <v>269.06667610110816</v>
      </c>
      <c r="L195" s="62">
        <v>276.44460168513638</v>
      </c>
      <c r="M195" s="62">
        <v>283.92845790424769</v>
      </c>
      <c r="N195" s="62">
        <v>291.53685419433498</v>
      </c>
      <c r="O195" s="62">
        <v>299.27265354553572</v>
      </c>
      <c r="P195" s="62">
        <v>305.82031198972373</v>
      </c>
      <c r="Q195" s="62">
        <v>313.7636781258845</v>
      </c>
      <c r="R195" s="62">
        <v>321.8573512442577</v>
      </c>
      <c r="S195" s="62">
        <v>326.00296096318391</v>
      </c>
      <c r="T195" s="62">
        <v>338.59296009231235</v>
      </c>
      <c r="U195" s="62">
        <v>345.65452526616008</v>
      </c>
      <c r="V195" s="62">
        <v>354.58419150464829</v>
      </c>
      <c r="W195" s="62">
        <v>363.86600553003416</v>
      </c>
      <c r="X195" s="62">
        <v>373.47420043108139</v>
      </c>
      <c r="Y195" s="62">
        <v>383.49466591191134</v>
      </c>
      <c r="Z195" s="62">
        <v>391.83598767716791</v>
      </c>
      <c r="AA195" s="62">
        <v>399.31084304094333</v>
      </c>
      <c r="AB195" s="62">
        <v>407.12695659723528</v>
      </c>
      <c r="AC195" s="62">
        <v>415.18639325331958</v>
      </c>
      <c r="AD195" s="62">
        <v>423.50589811927819</v>
      </c>
      <c r="AE195" s="62">
        <v>432.1022163054339</v>
      </c>
      <c r="AF195" s="62">
        <v>440.99209293511382</v>
      </c>
      <c r="AG195" s="62">
        <v>450.19227310960116</v>
      </c>
      <c r="AH195" s="62">
        <v>459.71950196652034</v>
      </c>
      <c r="AI195" s="62">
        <v>469.59052459456365</v>
      </c>
      <c r="AJ195" s="62">
        <v>479.82208613975831</v>
      </c>
    </row>
    <row r="196" spans="1:36" x14ac:dyDescent="0.25">
      <c r="A196" s="58" t="s">
        <v>17</v>
      </c>
      <c r="B196" s="59" t="s">
        <v>18</v>
      </c>
      <c r="C196" s="60" t="s">
        <v>115</v>
      </c>
      <c r="D196" s="61" t="s">
        <v>30</v>
      </c>
      <c r="E196" s="50" t="s">
        <v>236</v>
      </c>
      <c r="F196" s="50">
        <v>3.9041861757797805E-3</v>
      </c>
      <c r="G196" s="50">
        <v>5.0891554723389429E-3</v>
      </c>
      <c r="H196" s="63" t="s">
        <v>235</v>
      </c>
      <c r="I196" s="62">
        <v>908.29720123663753</v>
      </c>
      <c r="J196" s="62">
        <v>934.18573512442572</v>
      </c>
      <c r="K196" s="62">
        <v>956.56784089177233</v>
      </c>
      <c r="L196" s="62">
        <v>982.79734819620728</v>
      </c>
      <c r="M196" s="62">
        <v>1009.4034530055952</v>
      </c>
      <c r="N196" s="62">
        <v>1036.4523143410768</v>
      </c>
      <c r="O196" s="62">
        <v>1063.9541105135963</v>
      </c>
      <c r="P196" s="62">
        <v>1087.2319076440747</v>
      </c>
      <c r="Q196" s="62">
        <v>1115.4716313600836</v>
      </c>
      <c r="R196" s="62">
        <v>1144.2457164006878</v>
      </c>
      <c r="S196" s="62">
        <v>1158.9839106485815</v>
      </c>
      <c r="T196" s="62">
        <v>1203.7430330278025</v>
      </c>
      <c r="U196" s="62">
        <v>1228.8478369728505</v>
      </c>
      <c r="V196" s="62">
        <v>1260.5939888093008</v>
      </c>
      <c r="W196" s="62">
        <v>1293.5920728919466</v>
      </c>
      <c r="X196" s="62">
        <v>1327.7504844222856</v>
      </c>
      <c r="Y196" s="62">
        <v>1363.3745727286582</v>
      </c>
      <c r="Z196" s="62">
        <v>1393.0290816659772</v>
      </c>
      <c r="AA196" s="62">
        <v>1419.6031872368137</v>
      </c>
      <c r="AB196" s="62">
        <v>1447.3905110966348</v>
      </c>
      <c r="AC196" s="62">
        <v>1476.042880957619</v>
      </c>
      <c r="AD196" s="62">
        <v>1505.619827914544</v>
      </c>
      <c r="AE196" s="62">
        <v>1536.1808830630443</v>
      </c>
      <c r="AF196" s="62">
        <v>1567.7855775449864</v>
      </c>
      <c r="AG196" s="62">
        <v>1600.493442423867</v>
      </c>
      <c r="AH196" s="62">
        <v>1634.3640088923821</v>
      </c>
      <c r="AI196" s="62">
        <v>1669.456807969266</v>
      </c>
      <c r="AJ196" s="62">
        <v>1705.8313708770875</v>
      </c>
    </row>
    <row r="197" spans="1:36" x14ac:dyDescent="0.25">
      <c r="A197" s="58" t="s">
        <v>17</v>
      </c>
      <c r="B197" s="59" t="s">
        <v>18</v>
      </c>
      <c r="C197" s="60" t="s">
        <v>115</v>
      </c>
      <c r="D197" s="61" t="s">
        <v>30</v>
      </c>
      <c r="E197" s="50" t="s">
        <v>144</v>
      </c>
      <c r="F197" s="50">
        <v>6.3886682876396412E-4</v>
      </c>
      <c r="G197" s="50">
        <v>8.3277089547364525E-4</v>
      </c>
      <c r="H197" s="63" t="s">
        <v>143</v>
      </c>
      <c r="I197" s="62">
        <v>148.63045111144979</v>
      </c>
      <c r="J197" s="62">
        <v>152.86675665672422</v>
      </c>
      <c r="K197" s="62">
        <v>156.52928305501732</v>
      </c>
      <c r="L197" s="62">
        <v>160.82138425028847</v>
      </c>
      <c r="M197" s="62">
        <v>165.17511049182468</v>
      </c>
      <c r="N197" s="62">
        <v>169.60128780126712</v>
      </c>
      <c r="O197" s="62">
        <v>174.1015817204067</v>
      </c>
      <c r="P197" s="62">
        <v>177.91067579630314</v>
      </c>
      <c r="Q197" s="62">
        <v>182.5317214952864</v>
      </c>
      <c r="R197" s="62">
        <v>187.24020813829441</v>
      </c>
      <c r="S197" s="62">
        <v>189.65191265158609</v>
      </c>
      <c r="T197" s="62">
        <v>196.97613267727678</v>
      </c>
      <c r="U197" s="62">
        <v>201.08419150464829</v>
      </c>
      <c r="V197" s="62">
        <v>206.27901635061286</v>
      </c>
      <c r="W197" s="62">
        <v>211.67870283686401</v>
      </c>
      <c r="X197" s="62">
        <v>217.26826108728309</v>
      </c>
      <c r="Y197" s="62">
        <v>223.09765735559861</v>
      </c>
      <c r="Z197" s="62">
        <v>227.95021336352355</v>
      </c>
      <c r="AA197" s="62">
        <v>232.29870336602406</v>
      </c>
      <c r="AB197" s="62">
        <v>236.84571999763119</v>
      </c>
      <c r="AC197" s="62">
        <v>241.53428961124675</v>
      </c>
      <c r="AD197" s="62">
        <v>246.37415365874358</v>
      </c>
      <c r="AE197" s="62">
        <v>251.37505359213455</v>
      </c>
      <c r="AF197" s="62">
        <v>256.54673087099781</v>
      </c>
      <c r="AG197" s="62">
        <v>261.89892694208737</v>
      </c>
      <c r="AH197" s="62">
        <v>267.44138327329892</v>
      </c>
      <c r="AI197" s="62">
        <v>273.18384130406173</v>
      </c>
      <c r="AJ197" s="62">
        <v>279.13604250715974</v>
      </c>
    </row>
    <row r="198" spans="1:36" x14ac:dyDescent="0.25">
      <c r="A198" s="58" t="s">
        <v>17</v>
      </c>
      <c r="B198" s="59" t="s">
        <v>18</v>
      </c>
      <c r="C198" s="60" t="s">
        <v>115</v>
      </c>
      <c r="D198" s="61" t="s">
        <v>30</v>
      </c>
      <c r="E198" s="50" t="s">
        <v>522</v>
      </c>
      <c r="F198" s="50">
        <v>2.9229201315998354E-5</v>
      </c>
      <c r="G198" s="50">
        <v>3.8100629204676579E-5</v>
      </c>
      <c r="H198" s="63" t="s">
        <v>521</v>
      </c>
      <c r="I198" s="62">
        <v>6.8000859985630617</v>
      </c>
      <c r="J198" s="62">
        <v>6.9939038993272513</v>
      </c>
      <c r="K198" s="62">
        <v>7.1614704665694191</v>
      </c>
      <c r="L198" s="62">
        <v>7.3578411094903222</v>
      </c>
      <c r="M198" s="62">
        <v>7.5570311989723713</v>
      </c>
      <c r="N198" s="62">
        <v>7.7595360431952276</v>
      </c>
      <c r="O198" s="62">
        <v>7.9654318434172993</v>
      </c>
      <c r="P198" s="62">
        <v>8.1397041213994896</v>
      </c>
      <c r="Q198" s="62">
        <v>8.3511245128562415</v>
      </c>
      <c r="R198" s="62">
        <v>8.5665454703794826</v>
      </c>
      <c r="S198" s="62">
        <v>8.6768848925562256</v>
      </c>
      <c r="T198" s="62">
        <v>9.0119799264113567</v>
      </c>
      <c r="U198" s="62">
        <v>9.1999303302780255</v>
      </c>
      <c r="V198" s="62">
        <v>9.4376020552567983</v>
      </c>
      <c r="W198" s="62">
        <v>9.6846465350199207</v>
      </c>
      <c r="X198" s="62">
        <v>9.9403779582417098</v>
      </c>
      <c r="Y198" s="62">
        <v>10.207082362674447</v>
      </c>
      <c r="Z198" s="62">
        <v>10.429094729050096</v>
      </c>
      <c r="AA198" s="62">
        <v>10.628045252040316</v>
      </c>
      <c r="AB198" s="62">
        <v>10.836078692702079</v>
      </c>
      <c r="AC198" s="62">
        <v>11.050588413586453</v>
      </c>
      <c r="AD198" s="62">
        <v>11.27202010203402</v>
      </c>
      <c r="AE198" s="62">
        <v>11.500819445391777</v>
      </c>
      <c r="AF198" s="62">
        <v>11.73743213135284</v>
      </c>
      <c r="AG198" s="62">
        <v>11.982303847023605</v>
      </c>
      <c r="AH198" s="62">
        <v>12.235880280477728</v>
      </c>
      <c r="AI198" s="62">
        <v>12.498607118486484</v>
      </c>
      <c r="AJ198" s="62">
        <v>12.770930049347179</v>
      </c>
    </row>
    <row r="199" spans="1:36" x14ac:dyDescent="0.25">
      <c r="A199" s="58" t="s">
        <v>17</v>
      </c>
      <c r="B199" s="59" t="s">
        <v>18</v>
      </c>
      <c r="C199" s="60" t="s">
        <v>115</v>
      </c>
      <c r="D199" s="61" t="s">
        <v>30</v>
      </c>
      <c r="E199" s="50" t="s">
        <v>176</v>
      </c>
      <c r="F199" s="50">
        <v>1.0981828494439382E-3</v>
      </c>
      <c r="G199" s="50">
        <v>1.4314950686899915E-3</v>
      </c>
      <c r="H199" s="63" t="s">
        <v>44</v>
      </c>
      <c r="I199" s="62">
        <v>255.48894537458361</v>
      </c>
      <c r="J199" s="62">
        <v>262.77096078900962</v>
      </c>
      <c r="K199" s="62">
        <v>269.06667610110816</v>
      </c>
      <c r="L199" s="62">
        <v>276.44460168513638</v>
      </c>
      <c r="M199" s="62">
        <v>283.92845790424769</v>
      </c>
      <c r="N199" s="62">
        <v>291.53685419433498</v>
      </c>
      <c r="O199" s="62">
        <v>299.27265354553572</v>
      </c>
      <c r="P199" s="62">
        <v>305.82031198972373</v>
      </c>
      <c r="Q199" s="62">
        <v>313.7636781258845</v>
      </c>
      <c r="R199" s="62">
        <v>321.8573512442577</v>
      </c>
      <c r="S199" s="62">
        <v>326.00296096318391</v>
      </c>
      <c r="T199" s="62">
        <v>338.59296009231235</v>
      </c>
      <c r="U199" s="62">
        <v>345.65452526616008</v>
      </c>
      <c r="V199" s="62">
        <v>354.58419150464829</v>
      </c>
      <c r="W199" s="62">
        <v>363.86600553003416</v>
      </c>
      <c r="X199" s="62">
        <v>373.47420043108139</v>
      </c>
      <c r="Y199" s="62">
        <v>383.49466591191134</v>
      </c>
      <c r="Z199" s="62">
        <v>391.83598767716791</v>
      </c>
      <c r="AA199" s="62">
        <v>399.31084304094333</v>
      </c>
      <c r="AB199" s="62">
        <v>407.12695659723528</v>
      </c>
      <c r="AC199" s="62">
        <v>415.18639325331958</v>
      </c>
      <c r="AD199" s="62">
        <v>423.50589811927819</v>
      </c>
      <c r="AE199" s="62">
        <v>432.1022163054339</v>
      </c>
      <c r="AF199" s="62">
        <v>440.99209293511382</v>
      </c>
      <c r="AG199" s="62">
        <v>450.19227310960116</v>
      </c>
      <c r="AH199" s="62">
        <v>459.71950196652034</v>
      </c>
      <c r="AI199" s="62">
        <v>469.59052459456365</v>
      </c>
      <c r="AJ199" s="62">
        <v>479.82208613975831</v>
      </c>
    </row>
    <row r="200" spans="1:36" x14ac:dyDescent="0.25">
      <c r="A200" s="58" t="s">
        <v>17</v>
      </c>
      <c r="B200" s="59" t="s">
        <v>18</v>
      </c>
      <c r="C200" s="60" t="s">
        <v>115</v>
      </c>
      <c r="D200" s="61" t="s">
        <v>30</v>
      </c>
      <c r="E200" s="50" t="s">
        <v>378</v>
      </c>
      <c r="F200" s="50">
        <v>1.9458296876078906E-3</v>
      </c>
      <c r="G200" s="50">
        <v>2.5364133156256124E-3</v>
      </c>
      <c r="H200" s="63" t="s">
        <v>53</v>
      </c>
      <c r="I200" s="62">
        <v>452.69143933291241</v>
      </c>
      <c r="J200" s="62">
        <v>465.59417386949991</v>
      </c>
      <c r="K200" s="62">
        <v>476.74931963162135</v>
      </c>
      <c r="L200" s="62">
        <v>489.82199386035575</v>
      </c>
      <c r="M200" s="62">
        <v>503.08236267444647</v>
      </c>
      <c r="N200" s="62">
        <v>516.56339944699664</v>
      </c>
      <c r="O200" s="62">
        <v>530.27017700463739</v>
      </c>
      <c r="P200" s="62">
        <v>541.8717315103089</v>
      </c>
      <c r="Q200" s="62">
        <v>555.94628899871543</v>
      </c>
      <c r="R200" s="62">
        <v>570.28716988526264</v>
      </c>
      <c r="S200" s="62">
        <v>577.63262284731445</v>
      </c>
      <c r="T200" s="62">
        <v>599.9403779582417</v>
      </c>
      <c r="U200" s="62">
        <v>612.45250484422286</v>
      </c>
      <c r="V200" s="62">
        <v>628.27465110709545</v>
      </c>
      <c r="W200" s="62">
        <v>644.7207550456119</v>
      </c>
      <c r="X200" s="62">
        <v>661.74516122009106</v>
      </c>
      <c r="Y200" s="62">
        <v>679.50005442947031</v>
      </c>
      <c r="Z200" s="62">
        <v>694.27973481962078</v>
      </c>
      <c r="AA200" s="62">
        <v>707.52415535011255</v>
      </c>
      <c r="AB200" s="62">
        <v>721.37323868559565</v>
      </c>
      <c r="AC200" s="62">
        <v>735.65345724732674</v>
      </c>
      <c r="AD200" s="62">
        <v>750.39448107826479</v>
      </c>
      <c r="AE200" s="62">
        <v>765.62598022179543</v>
      </c>
      <c r="AF200" s="62">
        <v>781.37762474434624</v>
      </c>
      <c r="AG200" s="62">
        <v>797.67908467328573</v>
      </c>
      <c r="AH200" s="62">
        <v>814.56003010037455</v>
      </c>
      <c r="AI200" s="62">
        <v>832.05013103067176</v>
      </c>
      <c r="AJ200" s="62">
        <v>850.17905757082656</v>
      </c>
    </row>
    <row r="201" spans="1:36" x14ac:dyDescent="0.25">
      <c r="A201" s="58" t="s">
        <v>17</v>
      </c>
      <c r="B201" s="59" t="s">
        <v>18</v>
      </c>
      <c r="C201" s="60" t="s">
        <v>115</v>
      </c>
      <c r="D201" s="61" t="s">
        <v>30</v>
      </c>
      <c r="E201" s="50" t="s">
        <v>214</v>
      </c>
      <c r="F201" s="50">
        <v>5.4282802443996944E-4</v>
      </c>
      <c r="G201" s="50">
        <v>7.075831138011365E-4</v>
      </c>
      <c r="H201" s="63" t="s">
        <v>48</v>
      </c>
      <c r="I201" s="62">
        <v>126.28731140188543</v>
      </c>
      <c r="J201" s="62">
        <v>129.88678670179183</v>
      </c>
      <c r="K201" s="62">
        <v>132.99873723628923</v>
      </c>
      <c r="L201" s="62">
        <v>136.64562060482027</v>
      </c>
      <c r="M201" s="62">
        <v>140.34486512377262</v>
      </c>
      <c r="N201" s="62">
        <v>144.10566937362566</v>
      </c>
      <c r="O201" s="62">
        <v>147.929448520607</v>
      </c>
      <c r="P201" s="62">
        <v>151.1659336831334</v>
      </c>
      <c r="Q201" s="62">
        <v>155.0923123816159</v>
      </c>
      <c r="R201" s="62">
        <v>159.09298730704754</v>
      </c>
      <c r="S201" s="62">
        <v>161.14214800461562</v>
      </c>
      <c r="T201" s="62">
        <v>167.3653414904966</v>
      </c>
      <c r="U201" s="62">
        <v>170.85584899087763</v>
      </c>
      <c r="V201" s="62">
        <v>175.2697524547691</v>
      </c>
      <c r="W201" s="62">
        <v>179.85772136465567</v>
      </c>
      <c r="X201" s="62">
        <v>184.60701922448891</v>
      </c>
      <c r="Y201" s="62">
        <v>189.56010102109687</v>
      </c>
      <c r="Z201" s="62">
        <v>193.68318782521609</v>
      </c>
      <c r="AA201" s="62">
        <v>197.3779832521773</v>
      </c>
      <c r="AB201" s="62">
        <v>201.24146143589579</v>
      </c>
      <c r="AC201" s="62">
        <v>205.22521339517698</v>
      </c>
      <c r="AD201" s="62">
        <v>209.33751618063181</v>
      </c>
      <c r="AE201" s="62">
        <v>213.58664684299012</v>
      </c>
      <c r="AF201" s="62">
        <v>217.9808824394099</v>
      </c>
      <c r="AG201" s="62">
        <v>222.52850001615266</v>
      </c>
      <c r="AH201" s="62">
        <v>227.23777663744355</v>
      </c>
      <c r="AI201" s="62">
        <v>232.11698934332045</v>
      </c>
      <c r="AJ201" s="62">
        <v>237.1744152021619</v>
      </c>
    </row>
    <row r="202" spans="1:36" x14ac:dyDescent="0.25">
      <c r="A202" s="58" t="s">
        <v>17</v>
      </c>
      <c r="B202" s="59" t="s">
        <v>18</v>
      </c>
      <c r="C202" s="60" t="s">
        <v>115</v>
      </c>
      <c r="D202" s="61" t="s">
        <v>30</v>
      </c>
      <c r="E202" s="50" t="s">
        <v>439</v>
      </c>
      <c r="F202" s="50">
        <v>8.3512003759995302E-6</v>
      </c>
      <c r="G202" s="50">
        <v>1.0885894058479023E-5</v>
      </c>
      <c r="H202" s="63" t="s">
        <v>438</v>
      </c>
      <c r="I202" s="62">
        <v>1.9428817138751606</v>
      </c>
      <c r="J202" s="62">
        <v>1.9982582569506433</v>
      </c>
      <c r="K202" s="62">
        <v>2.0461344190198343</v>
      </c>
      <c r="L202" s="62">
        <v>2.1022403169972352</v>
      </c>
      <c r="M202" s="62">
        <v>2.1591517711349635</v>
      </c>
      <c r="N202" s="62">
        <v>2.2170102980557793</v>
      </c>
      <c r="O202" s="62">
        <v>2.2758376695478</v>
      </c>
      <c r="P202" s="62">
        <v>2.3256297489712829</v>
      </c>
      <c r="Q202" s="62">
        <v>2.3860355751017832</v>
      </c>
      <c r="R202" s="62">
        <v>2.4475844201084236</v>
      </c>
      <c r="S202" s="62">
        <v>2.4791099693017786</v>
      </c>
      <c r="T202" s="62">
        <v>2.574851407546102</v>
      </c>
      <c r="U202" s="62">
        <v>2.6285515229365788</v>
      </c>
      <c r="V202" s="62">
        <v>2.6964577300733708</v>
      </c>
      <c r="W202" s="62">
        <v>2.7670418671485488</v>
      </c>
      <c r="X202" s="62">
        <v>2.8401079880690601</v>
      </c>
      <c r="Y202" s="62">
        <v>2.9163092464784133</v>
      </c>
      <c r="Z202" s="62">
        <v>2.9797413511571706</v>
      </c>
      <c r="AA202" s="62">
        <v>3.0365843577258049</v>
      </c>
      <c r="AB202" s="62">
        <v>3.0960224836291657</v>
      </c>
      <c r="AC202" s="62">
        <v>3.1573109753104154</v>
      </c>
      <c r="AD202" s="62">
        <v>3.2205771720097198</v>
      </c>
      <c r="AE202" s="62">
        <v>3.2859484129690788</v>
      </c>
      <c r="AF202" s="62">
        <v>3.3535520375293828</v>
      </c>
      <c r="AG202" s="62">
        <v>3.4235153848638871</v>
      </c>
      <c r="AH202" s="62">
        <v>3.495965794422208</v>
      </c>
      <c r="AI202" s="62">
        <v>3.571030605281853</v>
      </c>
      <c r="AJ202" s="62">
        <v>3.6488371569563367</v>
      </c>
    </row>
    <row r="203" spans="1:36" x14ac:dyDescent="0.25">
      <c r="A203" s="58" t="s">
        <v>17</v>
      </c>
      <c r="B203" s="59" t="s">
        <v>18</v>
      </c>
      <c r="C203" s="60" t="s">
        <v>115</v>
      </c>
      <c r="D203" s="61" t="s">
        <v>30</v>
      </c>
      <c r="E203" s="50" t="s">
        <v>219</v>
      </c>
      <c r="F203" s="50">
        <v>2.547116114679857E-4</v>
      </c>
      <c r="G203" s="50">
        <v>3.320197687836102E-4</v>
      </c>
      <c r="H203" s="63" t="s">
        <v>218</v>
      </c>
      <c r="I203" s="62">
        <v>59.257892273192397</v>
      </c>
      <c r="J203" s="62">
        <v>60.946876836994619</v>
      </c>
      <c r="K203" s="62">
        <v>62.407099780104943</v>
      </c>
      <c r="L203" s="62">
        <v>64.118329668415669</v>
      </c>
      <c r="M203" s="62">
        <v>65.85412901961638</v>
      </c>
      <c r="N203" s="62">
        <v>67.618814090701264</v>
      </c>
      <c r="O203" s="62">
        <v>69.413048921207903</v>
      </c>
      <c r="P203" s="62">
        <v>70.931707343624126</v>
      </c>
      <c r="Q203" s="62">
        <v>72.77408504060439</v>
      </c>
      <c r="R203" s="62">
        <v>74.651324813306914</v>
      </c>
      <c r="S203" s="62">
        <v>75.612854063704248</v>
      </c>
      <c r="T203" s="62">
        <v>78.532967930156104</v>
      </c>
      <c r="U203" s="62">
        <v>80.170821449565651</v>
      </c>
      <c r="V203" s="62">
        <v>82.241960767237813</v>
      </c>
      <c r="W203" s="62">
        <v>84.394776948030739</v>
      </c>
      <c r="X203" s="62">
        <v>86.623293636106339</v>
      </c>
      <c r="Y203" s="62">
        <v>88.947432017591609</v>
      </c>
      <c r="Z203" s="62">
        <v>90.882111210293701</v>
      </c>
      <c r="AA203" s="62">
        <v>92.61582291063705</v>
      </c>
      <c r="AB203" s="62">
        <v>94.428685750689553</v>
      </c>
      <c r="AC203" s="62">
        <v>96.297984746967657</v>
      </c>
      <c r="AD203" s="62">
        <v>98.227603746296452</v>
      </c>
      <c r="AE203" s="62">
        <v>100.22142659555691</v>
      </c>
      <c r="AF203" s="62">
        <v>102.28333714464617</v>
      </c>
      <c r="AG203" s="62">
        <v>104.41721923834855</v>
      </c>
      <c r="AH203" s="62">
        <v>106.62695672987735</v>
      </c>
      <c r="AI203" s="62">
        <v>108.91643346109652</v>
      </c>
      <c r="AJ203" s="62">
        <v>111.28953328716827</v>
      </c>
    </row>
    <row r="204" spans="1:36" x14ac:dyDescent="0.25">
      <c r="A204" s="58" t="s">
        <v>17</v>
      </c>
      <c r="B204" s="59" t="s">
        <v>18</v>
      </c>
      <c r="C204" s="60" t="s">
        <v>115</v>
      </c>
      <c r="D204" s="61" t="s">
        <v>30</v>
      </c>
      <c r="E204" s="50" t="s">
        <v>201</v>
      </c>
      <c r="F204" s="50">
        <v>4.2173561898797629E-4</v>
      </c>
      <c r="G204" s="50">
        <v>5.4973764995319067E-4</v>
      </c>
      <c r="H204" s="63" t="s">
        <v>200</v>
      </c>
      <c r="I204" s="62">
        <v>98.115526550695606</v>
      </c>
      <c r="J204" s="62">
        <v>100.91204197600749</v>
      </c>
      <c r="K204" s="62">
        <v>103.32978816050162</v>
      </c>
      <c r="L204" s="62">
        <v>106.16313600836037</v>
      </c>
      <c r="M204" s="62">
        <v>109.03716444231566</v>
      </c>
      <c r="N204" s="62">
        <v>111.95902005181686</v>
      </c>
      <c r="O204" s="62">
        <v>114.9298023121639</v>
      </c>
      <c r="P204" s="62">
        <v>117.4443023230498</v>
      </c>
      <c r="Q204" s="62">
        <v>120.49479654264005</v>
      </c>
      <c r="R204" s="62">
        <v>123.60301321547539</v>
      </c>
      <c r="S204" s="62">
        <v>125.19505344973983</v>
      </c>
      <c r="T204" s="62">
        <v>130.02999608107814</v>
      </c>
      <c r="U204" s="62">
        <v>132.74185190829724</v>
      </c>
      <c r="V204" s="62">
        <v>136.17111536870524</v>
      </c>
      <c r="W204" s="62">
        <v>139.73561429100172</v>
      </c>
      <c r="X204" s="62">
        <v>143.42545339748753</v>
      </c>
      <c r="Y204" s="62">
        <v>147.27361694715987</v>
      </c>
      <c r="Z204" s="62">
        <v>150.47693823343712</v>
      </c>
      <c r="AA204" s="62">
        <v>153.34751006515313</v>
      </c>
      <c r="AB204" s="62">
        <v>156.34913542327288</v>
      </c>
      <c r="AC204" s="62">
        <v>159.44420425317597</v>
      </c>
      <c r="AD204" s="62">
        <v>162.63914718649087</v>
      </c>
      <c r="AE204" s="62">
        <v>165.94039485493849</v>
      </c>
      <c r="AF204" s="62">
        <v>169.35437789523382</v>
      </c>
      <c r="AG204" s="62">
        <v>172.88752693562631</v>
      </c>
      <c r="AH204" s="62">
        <v>176.54627261832152</v>
      </c>
      <c r="AI204" s="62">
        <v>180.33704556673359</v>
      </c>
      <c r="AJ204" s="62">
        <v>184.26627642629501</v>
      </c>
    </row>
    <row r="205" spans="1:36" x14ac:dyDescent="0.25">
      <c r="A205" s="58" t="s">
        <v>17</v>
      </c>
      <c r="B205" s="59" t="s">
        <v>18</v>
      </c>
      <c r="C205" s="60" t="s">
        <v>115</v>
      </c>
      <c r="D205" s="61" t="s">
        <v>30</v>
      </c>
      <c r="E205" s="50" t="s">
        <v>221</v>
      </c>
      <c r="F205" s="50">
        <v>7.9336403571995552E-5</v>
      </c>
      <c r="G205" s="50">
        <v>1.0341599355555072E-4</v>
      </c>
      <c r="H205" s="63" t="s">
        <v>220</v>
      </c>
      <c r="I205" s="62">
        <v>18.457376281814028</v>
      </c>
      <c r="J205" s="62">
        <v>18.983453441031113</v>
      </c>
      <c r="K205" s="62">
        <v>19.438276980688425</v>
      </c>
      <c r="L205" s="62">
        <v>19.971283011473734</v>
      </c>
      <c r="M205" s="62">
        <v>20.511941825782152</v>
      </c>
      <c r="N205" s="62">
        <v>21.061597831529905</v>
      </c>
      <c r="O205" s="62">
        <v>21.6204578607041</v>
      </c>
      <c r="P205" s="62">
        <v>22.093482615227192</v>
      </c>
      <c r="Q205" s="62">
        <v>22.667337963466942</v>
      </c>
      <c r="R205" s="62">
        <v>23.252051991030026</v>
      </c>
      <c r="S205" s="62">
        <v>23.551544708366901</v>
      </c>
      <c r="T205" s="62">
        <v>24.461088371687968</v>
      </c>
      <c r="U205" s="62">
        <v>24.971239467897501</v>
      </c>
      <c r="V205" s="62">
        <v>25.616348435697024</v>
      </c>
      <c r="W205" s="62">
        <v>26.286897737911218</v>
      </c>
      <c r="X205" s="62">
        <v>26.981025886656074</v>
      </c>
      <c r="Y205" s="62">
        <v>27.704937841544929</v>
      </c>
      <c r="Z205" s="62">
        <v>28.307542835993122</v>
      </c>
      <c r="AA205" s="62">
        <v>28.847551398395147</v>
      </c>
      <c r="AB205" s="62">
        <v>29.412213594477077</v>
      </c>
      <c r="AC205" s="62">
        <v>29.994454265448947</v>
      </c>
      <c r="AD205" s="62">
        <v>30.595483134092341</v>
      </c>
      <c r="AE205" s="62">
        <v>31.216509923206253</v>
      </c>
      <c r="AF205" s="62">
        <v>31.858744356529137</v>
      </c>
      <c r="AG205" s="62">
        <v>32.523396156206928</v>
      </c>
      <c r="AH205" s="62">
        <v>33.211675047010978</v>
      </c>
      <c r="AI205" s="62">
        <v>33.924790750177607</v>
      </c>
      <c r="AJ205" s="62">
        <v>34.663952991085203</v>
      </c>
    </row>
    <row r="206" spans="1:36" x14ac:dyDescent="0.25">
      <c r="A206" s="58" t="s">
        <v>17</v>
      </c>
      <c r="B206" s="59" t="s">
        <v>18</v>
      </c>
      <c r="C206" s="60" t="s">
        <v>115</v>
      </c>
      <c r="D206" s="61" t="s">
        <v>30</v>
      </c>
      <c r="E206" s="50" t="s">
        <v>360</v>
      </c>
      <c r="F206" s="50">
        <v>2.004288090239887E-4</v>
      </c>
      <c r="G206" s="50">
        <v>2.6126145740349653E-4</v>
      </c>
      <c r="H206" s="63" t="s">
        <v>359</v>
      </c>
      <c r="I206" s="62">
        <v>46.629161133003848</v>
      </c>
      <c r="J206" s="62">
        <v>47.958198166815436</v>
      </c>
      <c r="K206" s="62">
        <v>49.107226056476016</v>
      </c>
      <c r="L206" s="62">
        <v>50.453767607933635</v>
      </c>
      <c r="M206" s="62">
        <v>51.819642507239116</v>
      </c>
      <c r="N206" s="62">
        <v>53.208247153338696</v>
      </c>
      <c r="O206" s="62">
        <v>54.620104069147196</v>
      </c>
      <c r="P206" s="62">
        <v>55.815113975310787</v>
      </c>
      <c r="Q206" s="62">
        <v>57.264853802442786</v>
      </c>
      <c r="R206" s="62">
        <v>58.742026082602159</v>
      </c>
      <c r="S206" s="62">
        <v>59.498639263242687</v>
      </c>
      <c r="T206" s="62">
        <v>61.796433781106437</v>
      </c>
      <c r="U206" s="62">
        <v>63.085236550477887</v>
      </c>
      <c r="V206" s="62">
        <v>64.714985521760894</v>
      </c>
      <c r="W206" s="62">
        <v>66.409004811565168</v>
      </c>
      <c r="X206" s="62">
        <v>68.162591713657434</v>
      </c>
      <c r="Y206" s="62">
        <v>69.991421915481908</v>
      </c>
      <c r="Z206" s="62">
        <v>71.513792427772088</v>
      </c>
      <c r="AA206" s="62">
        <v>72.878024585419311</v>
      </c>
      <c r="AB206" s="62">
        <v>74.304539607099969</v>
      </c>
      <c r="AC206" s="62">
        <v>75.775463407449962</v>
      </c>
      <c r="AD206" s="62">
        <v>77.293852128233269</v>
      </c>
      <c r="AE206" s="62">
        <v>78.862761911257891</v>
      </c>
      <c r="AF206" s="62">
        <v>80.485248900705173</v>
      </c>
      <c r="AG206" s="62">
        <v>82.164369236733279</v>
      </c>
      <c r="AH206" s="62">
        <v>83.903179066132992</v>
      </c>
      <c r="AI206" s="62">
        <v>85.704734526764469</v>
      </c>
      <c r="AJ206" s="62">
        <v>87.57209176695207</v>
      </c>
    </row>
    <row r="207" spans="1:36" x14ac:dyDescent="0.25">
      <c r="A207" s="58" t="s">
        <v>17</v>
      </c>
      <c r="B207" s="59" t="s">
        <v>18</v>
      </c>
      <c r="C207" s="60" t="s">
        <v>115</v>
      </c>
      <c r="D207" s="61" t="s">
        <v>30</v>
      </c>
      <c r="E207" s="50" t="s">
        <v>283</v>
      </c>
      <c r="F207" s="50">
        <v>2.4636041109198613E-4</v>
      </c>
      <c r="G207" s="50">
        <v>3.2113387472513117E-4</v>
      </c>
      <c r="H207" s="63" t="s">
        <v>282</v>
      </c>
      <c r="I207" s="62">
        <v>57.315010559317237</v>
      </c>
      <c r="J207" s="62">
        <v>58.948618580043977</v>
      </c>
      <c r="K207" s="62">
        <v>60.360965361085107</v>
      </c>
      <c r="L207" s="62">
        <v>62.016089351418429</v>
      </c>
      <c r="M207" s="62">
        <v>63.694977248481415</v>
      </c>
      <c r="N207" s="62">
        <v>65.401803792645495</v>
      </c>
      <c r="O207" s="62">
        <v>67.137211251660105</v>
      </c>
      <c r="P207" s="62">
        <v>68.606077594652845</v>
      </c>
      <c r="Q207" s="62">
        <v>70.388049465502604</v>
      </c>
      <c r="R207" s="62">
        <v>72.203740393198487</v>
      </c>
      <c r="S207" s="62">
        <v>73.133744094402473</v>
      </c>
      <c r="T207" s="62">
        <v>75.958116522609998</v>
      </c>
      <c r="U207" s="62">
        <v>77.542269926629075</v>
      </c>
      <c r="V207" s="62">
        <v>79.545503037164437</v>
      </c>
      <c r="W207" s="62">
        <v>81.627735080882189</v>
      </c>
      <c r="X207" s="62">
        <v>83.783185648037275</v>
      </c>
      <c r="Y207" s="62">
        <v>86.031122771113189</v>
      </c>
      <c r="Z207" s="62">
        <v>87.902369859136527</v>
      </c>
      <c r="AA207" s="62">
        <v>89.579238552911235</v>
      </c>
      <c r="AB207" s="62">
        <v>91.332663267060383</v>
      </c>
      <c r="AC207" s="62">
        <v>93.140673771657248</v>
      </c>
      <c r="AD207" s="62">
        <v>95.007026574286741</v>
      </c>
      <c r="AE207" s="62">
        <v>96.935478182587829</v>
      </c>
      <c r="AF207" s="62">
        <v>98.929785107116786</v>
      </c>
      <c r="AG207" s="62">
        <v>100.99370385348467</v>
      </c>
      <c r="AH207" s="62">
        <v>103.13099093545515</v>
      </c>
      <c r="AI207" s="62">
        <v>105.34540285581465</v>
      </c>
      <c r="AJ207" s="62">
        <v>107.64069613021194</v>
      </c>
    </row>
    <row r="208" spans="1:36" x14ac:dyDescent="0.25">
      <c r="A208" s="58" t="s">
        <v>17</v>
      </c>
      <c r="B208" s="59" t="s">
        <v>18</v>
      </c>
      <c r="C208" s="60" t="s">
        <v>115</v>
      </c>
      <c r="D208" s="61" t="s">
        <v>30</v>
      </c>
      <c r="E208" s="50" t="s">
        <v>181</v>
      </c>
      <c r="F208" s="50">
        <v>3.4239921541598075E-4</v>
      </c>
      <c r="G208" s="50">
        <v>4.4632165639763992E-4</v>
      </c>
      <c r="H208" s="63" t="s">
        <v>180</v>
      </c>
      <c r="I208" s="62">
        <v>79.658150268881585</v>
      </c>
      <c r="J208" s="62">
        <v>81.92858853497637</v>
      </c>
      <c r="K208" s="62">
        <v>83.891511179813193</v>
      </c>
      <c r="L208" s="62">
        <v>86.191852996886638</v>
      </c>
      <c r="M208" s="62">
        <v>88.525222616533497</v>
      </c>
      <c r="N208" s="62">
        <v>90.897422220286956</v>
      </c>
      <c r="O208" s="62">
        <v>93.309344451459793</v>
      </c>
      <c r="P208" s="62">
        <v>95.350819707822595</v>
      </c>
      <c r="Q208" s="62">
        <v>97.827458579173097</v>
      </c>
      <c r="R208" s="62">
        <v>100.35096122444536</v>
      </c>
      <c r="S208" s="62">
        <v>101.64350874137293</v>
      </c>
      <c r="T208" s="62">
        <v>105.56890770939017</v>
      </c>
      <c r="U208" s="62">
        <v>107.77061244039973</v>
      </c>
      <c r="V208" s="62">
        <v>110.55476693300821</v>
      </c>
      <c r="W208" s="62">
        <v>113.44871655309051</v>
      </c>
      <c r="X208" s="62">
        <v>116.44442751083146</v>
      </c>
      <c r="Y208" s="62">
        <v>119.56867910561493</v>
      </c>
      <c r="Z208" s="62">
        <v>122.16939539744399</v>
      </c>
      <c r="AA208" s="62">
        <v>124.49995866675799</v>
      </c>
      <c r="AB208" s="62">
        <v>126.93692182879579</v>
      </c>
      <c r="AC208" s="62">
        <v>129.44974998772702</v>
      </c>
      <c r="AD208" s="62">
        <v>132.04366405239853</v>
      </c>
      <c r="AE208" s="62">
        <v>134.72388493173224</v>
      </c>
      <c r="AF208" s="62">
        <v>137.49563353870468</v>
      </c>
      <c r="AG208" s="62">
        <v>140.36413077941936</v>
      </c>
      <c r="AH208" s="62">
        <v>143.33459757131052</v>
      </c>
      <c r="AI208" s="62">
        <v>146.41225481655596</v>
      </c>
      <c r="AJ208" s="62">
        <v>149.6023234352098</v>
      </c>
    </row>
    <row r="209" spans="1:36" x14ac:dyDescent="0.25">
      <c r="A209" s="58" t="s">
        <v>17</v>
      </c>
      <c r="B209" s="59" t="s">
        <v>18</v>
      </c>
      <c r="C209" s="60" t="s">
        <v>115</v>
      </c>
      <c r="D209" s="61" t="s">
        <v>30</v>
      </c>
      <c r="E209" s="50" t="s">
        <v>270</v>
      </c>
      <c r="F209" s="50">
        <v>6.6809603007996241E-5</v>
      </c>
      <c r="G209" s="50">
        <v>8.7087152467832184E-5</v>
      </c>
      <c r="H209" s="63" t="s">
        <v>269</v>
      </c>
      <c r="I209" s="62">
        <v>15.543053711001285</v>
      </c>
      <c r="J209" s="62">
        <v>15.986066055605146</v>
      </c>
      <c r="K209" s="62">
        <v>16.369075352158674</v>
      </c>
      <c r="L209" s="62">
        <v>16.817922535977882</v>
      </c>
      <c r="M209" s="62">
        <v>17.273214169079708</v>
      </c>
      <c r="N209" s="62">
        <v>17.736082384446235</v>
      </c>
      <c r="O209" s="62">
        <v>18.2067013563824</v>
      </c>
      <c r="P209" s="62">
        <v>18.605037991770264</v>
      </c>
      <c r="Q209" s="62">
        <v>19.088284600814266</v>
      </c>
      <c r="R209" s="62">
        <v>19.580675360867389</v>
      </c>
      <c r="S209" s="62">
        <v>19.832879754414229</v>
      </c>
      <c r="T209" s="62">
        <v>20.598811260368816</v>
      </c>
      <c r="U209" s="62">
        <v>21.02841218349263</v>
      </c>
      <c r="V209" s="62">
        <v>21.571661840586966</v>
      </c>
      <c r="W209" s="62">
        <v>22.136334937188391</v>
      </c>
      <c r="X209" s="62">
        <v>22.720863904552481</v>
      </c>
      <c r="Y209" s="62">
        <v>23.330473971827306</v>
      </c>
      <c r="Z209" s="62">
        <v>23.837930809257365</v>
      </c>
      <c r="AA209" s="62">
        <v>24.292674861806439</v>
      </c>
      <c r="AB209" s="62">
        <v>24.768179869033325</v>
      </c>
      <c r="AC209" s="62">
        <v>25.258487802483323</v>
      </c>
      <c r="AD209" s="62">
        <v>25.764617376077759</v>
      </c>
      <c r="AE209" s="62">
        <v>26.28758730375263</v>
      </c>
      <c r="AF209" s="62">
        <v>26.828416300235062</v>
      </c>
      <c r="AG209" s="62">
        <v>27.388123078911097</v>
      </c>
      <c r="AH209" s="62">
        <v>27.967726355377664</v>
      </c>
      <c r="AI209" s="62">
        <v>28.568244842254824</v>
      </c>
      <c r="AJ209" s="62">
        <v>29.190697255650694</v>
      </c>
    </row>
    <row r="210" spans="1:36" x14ac:dyDescent="0.25">
      <c r="A210" s="58" t="s">
        <v>17</v>
      </c>
      <c r="B210" s="59" t="s">
        <v>18</v>
      </c>
      <c r="C210" s="60" t="s">
        <v>115</v>
      </c>
      <c r="D210" s="61" t="s">
        <v>30</v>
      </c>
      <c r="E210" s="50" t="s">
        <v>247</v>
      </c>
      <c r="F210" s="50">
        <v>2.4636041109198613E-4</v>
      </c>
      <c r="G210" s="50">
        <v>3.2113387472513117E-4</v>
      </c>
      <c r="H210" s="63" t="s">
        <v>246</v>
      </c>
      <c r="I210" s="62">
        <v>57.315010559317237</v>
      </c>
      <c r="J210" s="62">
        <v>58.948618580043977</v>
      </c>
      <c r="K210" s="62">
        <v>60.360965361085107</v>
      </c>
      <c r="L210" s="62">
        <v>62.016089351418429</v>
      </c>
      <c r="M210" s="62">
        <v>63.694977248481415</v>
      </c>
      <c r="N210" s="62">
        <v>65.401803792645495</v>
      </c>
      <c r="O210" s="62">
        <v>67.137211251660105</v>
      </c>
      <c r="P210" s="62">
        <v>68.606077594652845</v>
      </c>
      <c r="Q210" s="62">
        <v>70.388049465502604</v>
      </c>
      <c r="R210" s="62">
        <v>72.203740393198487</v>
      </c>
      <c r="S210" s="62">
        <v>73.133744094402473</v>
      </c>
      <c r="T210" s="62">
        <v>75.958116522609998</v>
      </c>
      <c r="U210" s="62">
        <v>77.542269926629075</v>
      </c>
      <c r="V210" s="62">
        <v>79.545503037164437</v>
      </c>
      <c r="W210" s="62">
        <v>81.627735080882189</v>
      </c>
      <c r="X210" s="62">
        <v>83.783185648037275</v>
      </c>
      <c r="Y210" s="62">
        <v>86.031122771113189</v>
      </c>
      <c r="Z210" s="62">
        <v>87.902369859136527</v>
      </c>
      <c r="AA210" s="62">
        <v>89.579238552911235</v>
      </c>
      <c r="AB210" s="62">
        <v>91.332663267060383</v>
      </c>
      <c r="AC210" s="62">
        <v>93.140673771657248</v>
      </c>
      <c r="AD210" s="62">
        <v>95.007026574286741</v>
      </c>
      <c r="AE210" s="62">
        <v>96.935478182587829</v>
      </c>
      <c r="AF210" s="62">
        <v>98.929785107116786</v>
      </c>
      <c r="AG210" s="62">
        <v>100.99370385348467</v>
      </c>
      <c r="AH210" s="62">
        <v>103.13099093545515</v>
      </c>
      <c r="AI210" s="62">
        <v>105.34540285581465</v>
      </c>
      <c r="AJ210" s="62">
        <v>107.64069613021194</v>
      </c>
    </row>
    <row r="211" spans="1:36" x14ac:dyDescent="0.25">
      <c r="A211" s="58" t="s">
        <v>17</v>
      </c>
      <c r="B211" s="59" t="s">
        <v>18</v>
      </c>
      <c r="C211" s="60" t="s">
        <v>115</v>
      </c>
      <c r="D211" s="61" t="s">
        <v>30</v>
      </c>
      <c r="E211" s="50" t="s">
        <v>128</v>
      </c>
      <c r="F211" s="50">
        <v>6.9732523139596082E-4</v>
      </c>
      <c r="G211" s="50">
        <v>9.0897215388299844E-4</v>
      </c>
      <c r="H211" s="63" t="s">
        <v>127</v>
      </c>
      <c r="I211" s="62">
        <v>162.23062310857591</v>
      </c>
      <c r="J211" s="62">
        <v>166.85456445537872</v>
      </c>
      <c r="K211" s="62">
        <v>170.85222398815614</v>
      </c>
      <c r="L211" s="62">
        <v>175.53706646926912</v>
      </c>
      <c r="M211" s="62">
        <v>180.28917288976945</v>
      </c>
      <c r="N211" s="62">
        <v>185.12035988765757</v>
      </c>
      <c r="O211" s="62">
        <v>190.03244540724131</v>
      </c>
      <c r="P211" s="62">
        <v>194.19008403910215</v>
      </c>
      <c r="Q211" s="62">
        <v>199.23397052099889</v>
      </c>
      <c r="R211" s="62">
        <v>204.37329907905337</v>
      </c>
      <c r="S211" s="62">
        <v>207.00568243669852</v>
      </c>
      <c r="T211" s="62">
        <v>215.00009253009949</v>
      </c>
      <c r="U211" s="62">
        <v>219.48405216520433</v>
      </c>
      <c r="V211" s="62">
        <v>225.15422046112647</v>
      </c>
      <c r="W211" s="62">
        <v>231.04799590690385</v>
      </c>
      <c r="X211" s="62">
        <v>237.14901700376652</v>
      </c>
      <c r="Y211" s="62">
        <v>243.51182208094752</v>
      </c>
      <c r="Z211" s="62">
        <v>248.80840282162376</v>
      </c>
      <c r="AA211" s="62">
        <v>253.5547938701047</v>
      </c>
      <c r="AB211" s="62">
        <v>258.51787738303534</v>
      </c>
      <c r="AC211" s="62">
        <v>263.63546643841966</v>
      </c>
      <c r="AD211" s="62">
        <v>268.91819386281162</v>
      </c>
      <c r="AE211" s="62">
        <v>274.37669248291809</v>
      </c>
      <c r="AF211" s="62">
        <v>280.02159513370344</v>
      </c>
      <c r="AG211" s="62">
        <v>285.8635346361346</v>
      </c>
      <c r="AH211" s="62">
        <v>291.91314383425441</v>
      </c>
      <c r="AI211" s="62">
        <v>298.18105554103471</v>
      </c>
      <c r="AJ211" s="62">
        <v>304.67790260585411</v>
      </c>
    </row>
    <row r="212" spans="1:36" x14ac:dyDescent="0.25">
      <c r="A212" s="58" t="s">
        <v>17</v>
      </c>
      <c r="B212" s="59" t="s">
        <v>18</v>
      </c>
      <c r="C212" s="60" t="s">
        <v>115</v>
      </c>
      <c r="D212" s="61" t="s">
        <v>30</v>
      </c>
      <c r="E212" s="50" t="s">
        <v>312</v>
      </c>
      <c r="F212" s="50">
        <v>6.5139362932796338E-3</v>
      </c>
      <c r="G212" s="50">
        <v>8.4909973656136385E-3</v>
      </c>
      <c r="H212" s="63" t="s">
        <v>52</v>
      </c>
      <c r="I212" s="62">
        <v>1515.4477368226253</v>
      </c>
      <c r="J212" s="62">
        <v>1558.641440421502</v>
      </c>
      <c r="K212" s="62">
        <v>1595.9848468354708</v>
      </c>
      <c r="L212" s="62">
        <v>1639.7474472578433</v>
      </c>
      <c r="M212" s="62">
        <v>1684.1383814852716</v>
      </c>
      <c r="N212" s="62">
        <v>1729.268032483508</v>
      </c>
      <c r="O212" s="62">
        <v>1775.1533822472841</v>
      </c>
      <c r="P212" s="62">
        <v>1813.9912041976008</v>
      </c>
      <c r="Q212" s="62">
        <v>1861.107748579391</v>
      </c>
      <c r="R212" s="62">
        <v>1909.1158476845706</v>
      </c>
      <c r="S212" s="62">
        <v>1933.7057760553876</v>
      </c>
      <c r="T212" s="62">
        <v>2008.3840978859596</v>
      </c>
      <c r="U212" s="62">
        <v>2050.2701878905318</v>
      </c>
      <c r="V212" s="62">
        <v>2103.2370294572293</v>
      </c>
      <c r="W212" s="62">
        <v>2158.2926563758683</v>
      </c>
      <c r="X212" s="62">
        <v>2215.2842306938669</v>
      </c>
      <c r="Y212" s="62">
        <v>2274.7212122531623</v>
      </c>
      <c r="Z212" s="62">
        <v>2324.198253902593</v>
      </c>
      <c r="AA212" s="62">
        <v>2368.5357990261277</v>
      </c>
      <c r="AB212" s="62">
        <v>2414.8975372307495</v>
      </c>
      <c r="AC212" s="62">
        <v>2462.7025607421242</v>
      </c>
      <c r="AD212" s="62">
        <v>2512.0501941675816</v>
      </c>
      <c r="AE212" s="62">
        <v>2563.0397621158818</v>
      </c>
      <c r="AF212" s="62">
        <v>2615.7705892729186</v>
      </c>
      <c r="AG212" s="62">
        <v>2670.3420001938321</v>
      </c>
      <c r="AH212" s="62">
        <v>2726.8533196493227</v>
      </c>
      <c r="AI212" s="62">
        <v>2785.4038721198453</v>
      </c>
      <c r="AJ212" s="62">
        <v>2846.0929824259429</v>
      </c>
    </row>
    <row r="213" spans="1:36" x14ac:dyDescent="0.25">
      <c r="A213" s="58" t="s">
        <v>17</v>
      </c>
      <c r="B213" s="59" t="s">
        <v>18</v>
      </c>
      <c r="C213" s="60" t="s">
        <v>115</v>
      </c>
      <c r="D213" s="61" t="s">
        <v>30</v>
      </c>
      <c r="E213" s="50" t="s">
        <v>132</v>
      </c>
      <c r="F213" s="50">
        <v>8.843921198183502E-3</v>
      </c>
      <c r="G213" s="50">
        <v>1.1528161807929285E-2</v>
      </c>
      <c r="H213" s="63" t="s">
        <v>36</v>
      </c>
      <c r="I213" s="62">
        <v>2057.511734993795</v>
      </c>
      <c r="J213" s="62">
        <v>2116.1554941107311</v>
      </c>
      <c r="K213" s="62">
        <v>2166.8563497420041</v>
      </c>
      <c r="L213" s="62">
        <v>2226.2724957000719</v>
      </c>
      <c r="M213" s="62">
        <v>2286.5417256319261</v>
      </c>
      <c r="N213" s="62">
        <v>2347.8139056410701</v>
      </c>
      <c r="O213" s="62">
        <v>2410.1120920511198</v>
      </c>
      <c r="P213" s="62">
        <v>2462.8419041605885</v>
      </c>
      <c r="Q213" s="62">
        <v>2526.8116740327882</v>
      </c>
      <c r="R213" s="62">
        <v>2591.9919008948204</v>
      </c>
      <c r="S213" s="62">
        <v>2625.3774574905838</v>
      </c>
      <c r="T213" s="62">
        <v>2726.7676405913217</v>
      </c>
      <c r="U213" s="62">
        <v>2783.6360627898366</v>
      </c>
      <c r="V213" s="62">
        <v>2855.5487361476999</v>
      </c>
      <c r="W213" s="62">
        <v>2930.2973373103132</v>
      </c>
      <c r="X213" s="62">
        <v>3007.6743593651345</v>
      </c>
      <c r="Y213" s="62">
        <v>3088.3714920206394</v>
      </c>
      <c r="Z213" s="62">
        <v>3155.5460908754435</v>
      </c>
      <c r="AA213" s="62">
        <v>3215.7428348316271</v>
      </c>
      <c r="AB213" s="62">
        <v>3278.6878101632865</v>
      </c>
      <c r="AC213" s="62">
        <v>3343.5923228537295</v>
      </c>
      <c r="AD213" s="62">
        <v>3410.5912251582931</v>
      </c>
      <c r="AE213" s="62">
        <v>3479.8193693342546</v>
      </c>
      <c r="AF213" s="62">
        <v>3551.4116077436161</v>
      </c>
      <c r="AG213" s="62">
        <v>3625.5027925708564</v>
      </c>
      <c r="AH213" s="62">
        <v>3702.227776293118</v>
      </c>
      <c r="AI213" s="62">
        <v>3781.7214109934821</v>
      </c>
      <c r="AJ213" s="62">
        <v>3864.1185492167606</v>
      </c>
    </row>
    <row r="214" spans="1:36" x14ac:dyDescent="0.25">
      <c r="A214" s="58" t="s">
        <v>17</v>
      </c>
      <c r="B214" s="59" t="s">
        <v>18</v>
      </c>
      <c r="C214" s="60" t="s">
        <v>115</v>
      </c>
      <c r="D214" s="61" t="s">
        <v>30</v>
      </c>
      <c r="E214" s="50" t="s">
        <v>248</v>
      </c>
      <c r="F214" s="50">
        <v>8.7687603947995065E-5</v>
      </c>
      <c r="G214" s="50">
        <v>1.1430188761402974E-4</v>
      </c>
      <c r="H214" s="63" t="s">
        <v>103</v>
      </c>
      <c r="I214" s="62">
        <v>20.400257995689184</v>
      </c>
      <c r="J214" s="62">
        <v>20.981711697981755</v>
      </c>
      <c r="K214" s="62">
        <v>21.484411399708257</v>
      </c>
      <c r="L214" s="62">
        <v>22.073523328470966</v>
      </c>
      <c r="M214" s="62">
        <v>22.671093596917114</v>
      </c>
      <c r="N214" s="62">
        <v>23.278608129585681</v>
      </c>
      <c r="O214" s="62">
        <v>23.896295530251898</v>
      </c>
      <c r="P214" s="62">
        <v>24.419112364198472</v>
      </c>
      <c r="Q214" s="62">
        <v>25.053373538568721</v>
      </c>
      <c r="R214" s="62">
        <v>25.699636411138446</v>
      </c>
      <c r="S214" s="62">
        <v>26.030654677668675</v>
      </c>
      <c r="T214" s="62">
        <v>27.035939779234067</v>
      </c>
      <c r="U214" s="62">
        <v>27.599790990834077</v>
      </c>
      <c r="V214" s="62">
        <v>28.312806165770393</v>
      </c>
      <c r="W214" s="62">
        <v>29.053939605059764</v>
      </c>
      <c r="X214" s="62">
        <v>29.821133874725131</v>
      </c>
      <c r="Y214" s="62">
        <v>30.621247088023338</v>
      </c>
      <c r="Z214" s="62">
        <v>31.287284187150291</v>
      </c>
      <c r="AA214" s="62">
        <v>31.884135756120948</v>
      </c>
      <c r="AB214" s="62">
        <v>32.508236078106236</v>
      </c>
      <c r="AC214" s="62">
        <v>33.15176524075936</v>
      </c>
      <c r="AD214" s="62">
        <v>33.816060306102059</v>
      </c>
      <c r="AE214" s="62">
        <v>34.50245833617533</v>
      </c>
      <c r="AF214" s="62">
        <v>35.212296394058519</v>
      </c>
      <c r="AG214" s="62">
        <v>35.946911541070811</v>
      </c>
      <c r="AH214" s="62">
        <v>36.707640841433182</v>
      </c>
      <c r="AI214" s="62">
        <v>37.495821355459455</v>
      </c>
      <c r="AJ214" s="62">
        <v>38.312790148041536</v>
      </c>
    </row>
    <row r="215" spans="1:36" x14ac:dyDescent="0.25">
      <c r="A215" s="58" t="s">
        <v>17</v>
      </c>
      <c r="B215" s="59" t="s">
        <v>18</v>
      </c>
      <c r="C215" s="60" t="s">
        <v>115</v>
      </c>
      <c r="D215" s="61" t="s">
        <v>30</v>
      </c>
      <c r="E215" s="50" t="s">
        <v>259</v>
      </c>
      <c r="F215" s="50">
        <v>1.3361920601599248E-4</v>
      </c>
      <c r="G215" s="50">
        <v>1.7417430493566437E-4</v>
      </c>
      <c r="H215" s="63" t="s">
        <v>258</v>
      </c>
      <c r="I215" s="62">
        <v>31.08610742200257</v>
      </c>
      <c r="J215" s="62">
        <v>31.972132111210293</v>
      </c>
      <c r="K215" s="62">
        <v>32.738150704317349</v>
      </c>
      <c r="L215" s="62">
        <v>33.635845071955764</v>
      </c>
      <c r="M215" s="62">
        <v>34.546428338159416</v>
      </c>
      <c r="N215" s="62">
        <v>35.472164768892469</v>
      </c>
      <c r="O215" s="62">
        <v>36.4134027127648</v>
      </c>
      <c r="P215" s="62">
        <v>37.210075983540527</v>
      </c>
      <c r="Q215" s="62">
        <v>38.176569201628531</v>
      </c>
      <c r="R215" s="62">
        <v>39.161350721734777</v>
      </c>
      <c r="S215" s="62">
        <v>39.665759508828458</v>
      </c>
      <c r="T215" s="62">
        <v>41.197622520737632</v>
      </c>
      <c r="U215" s="62">
        <v>42.056824366985261</v>
      </c>
      <c r="V215" s="62">
        <v>43.143323681173932</v>
      </c>
      <c r="W215" s="62">
        <v>44.272669874376781</v>
      </c>
      <c r="X215" s="62">
        <v>45.441727809104961</v>
      </c>
      <c r="Y215" s="62">
        <v>46.660947943654612</v>
      </c>
      <c r="Z215" s="62">
        <v>47.67586161851473</v>
      </c>
      <c r="AA215" s="62">
        <v>48.585349723612879</v>
      </c>
      <c r="AB215" s="62">
        <v>49.53635973806665</v>
      </c>
      <c r="AC215" s="62">
        <v>50.516975604966646</v>
      </c>
      <c r="AD215" s="62">
        <v>51.529234752155517</v>
      </c>
      <c r="AE215" s="62">
        <v>52.575174607505261</v>
      </c>
      <c r="AF215" s="62">
        <v>53.656832600470125</v>
      </c>
      <c r="AG215" s="62">
        <v>54.776246157822193</v>
      </c>
      <c r="AH215" s="62">
        <v>55.935452710755328</v>
      </c>
      <c r="AI215" s="62">
        <v>57.136489684509648</v>
      </c>
      <c r="AJ215" s="62">
        <v>58.381394511301387</v>
      </c>
    </row>
    <row r="216" spans="1:36" x14ac:dyDescent="0.25">
      <c r="A216" s="58" t="s">
        <v>17</v>
      </c>
      <c r="B216" s="59" t="s">
        <v>18</v>
      </c>
      <c r="C216" s="60" t="s">
        <v>115</v>
      </c>
      <c r="D216" s="61" t="s">
        <v>30</v>
      </c>
      <c r="E216" s="50" t="s">
        <v>433</v>
      </c>
      <c r="F216" s="50">
        <v>3.3404801503998121E-5</v>
      </c>
      <c r="G216" s="50">
        <v>4.3543576233916092E-5</v>
      </c>
      <c r="H216" s="63" t="s">
        <v>432</v>
      </c>
      <c r="I216" s="62">
        <v>7.7715268555006425</v>
      </c>
      <c r="J216" s="62">
        <v>7.9930330278025732</v>
      </c>
      <c r="K216" s="62">
        <v>8.1845376760793371</v>
      </c>
      <c r="L216" s="62">
        <v>8.4089612679889409</v>
      </c>
      <c r="M216" s="62">
        <v>8.6366070845398539</v>
      </c>
      <c r="N216" s="62">
        <v>8.8680411922231173</v>
      </c>
      <c r="O216" s="62">
        <v>9.1033506781911999</v>
      </c>
      <c r="P216" s="62">
        <v>9.3025189958851318</v>
      </c>
      <c r="Q216" s="62">
        <v>9.5441423004071329</v>
      </c>
      <c r="R216" s="62">
        <v>9.7903376804336943</v>
      </c>
      <c r="S216" s="62">
        <v>9.9164398772071145</v>
      </c>
      <c r="T216" s="62">
        <v>10.299405630184408</v>
      </c>
      <c r="U216" s="62">
        <v>10.514206091746315</v>
      </c>
      <c r="V216" s="62">
        <v>10.785830920293483</v>
      </c>
      <c r="W216" s="62">
        <v>11.068167468594195</v>
      </c>
      <c r="X216" s="62">
        <v>11.36043195227624</v>
      </c>
      <c r="Y216" s="62">
        <v>11.665236985913653</v>
      </c>
      <c r="Z216" s="62">
        <v>11.918965404628683</v>
      </c>
      <c r="AA216" s="62">
        <v>12.14633743090322</v>
      </c>
      <c r="AB216" s="62">
        <v>12.384089934516663</v>
      </c>
      <c r="AC216" s="62">
        <v>12.629243901241662</v>
      </c>
      <c r="AD216" s="62">
        <v>12.882308688038879</v>
      </c>
      <c r="AE216" s="62">
        <v>13.143793651876315</v>
      </c>
      <c r="AF216" s="62">
        <v>13.414208150117531</v>
      </c>
      <c r="AG216" s="62">
        <v>13.694061539455548</v>
      </c>
      <c r="AH216" s="62">
        <v>13.983863177688832</v>
      </c>
      <c r="AI216" s="62">
        <v>14.284122421127412</v>
      </c>
      <c r="AJ216" s="62">
        <v>14.595348627825347</v>
      </c>
    </row>
    <row r="217" spans="1:36" x14ac:dyDescent="0.25">
      <c r="A217" s="58" t="s">
        <v>17</v>
      </c>
      <c r="B217" s="59" t="s">
        <v>18</v>
      </c>
      <c r="C217" s="60" t="s">
        <v>115</v>
      </c>
      <c r="D217" s="61" t="s">
        <v>30</v>
      </c>
      <c r="E217" s="50" t="s">
        <v>161</v>
      </c>
      <c r="F217" s="50">
        <v>1.0146708456839429E-3</v>
      </c>
      <c r="G217" s="50">
        <v>1.3226361281052012E-3</v>
      </c>
      <c r="H217" s="63" t="s">
        <v>160</v>
      </c>
      <c r="I217" s="62">
        <v>236.060128235832</v>
      </c>
      <c r="J217" s="62">
        <v>242.78837821950316</v>
      </c>
      <c r="K217" s="62">
        <v>248.60533191090983</v>
      </c>
      <c r="L217" s="62">
        <v>255.42219851516404</v>
      </c>
      <c r="M217" s="62">
        <v>262.33694019289806</v>
      </c>
      <c r="N217" s="62">
        <v>269.36675121377715</v>
      </c>
      <c r="O217" s="62">
        <v>276.51427685005768</v>
      </c>
      <c r="P217" s="62">
        <v>282.5640145000109</v>
      </c>
      <c r="Q217" s="62">
        <v>289.90332237486666</v>
      </c>
      <c r="R217" s="62">
        <v>297.38150704317343</v>
      </c>
      <c r="S217" s="62">
        <v>301.21186127016608</v>
      </c>
      <c r="T217" s="62">
        <v>312.84444601685135</v>
      </c>
      <c r="U217" s="62">
        <v>319.36901003679429</v>
      </c>
      <c r="V217" s="62">
        <v>327.61961420391458</v>
      </c>
      <c r="W217" s="62">
        <v>336.19558685854867</v>
      </c>
      <c r="X217" s="62">
        <v>345.0731205503908</v>
      </c>
      <c r="Y217" s="62">
        <v>354.3315734471272</v>
      </c>
      <c r="Z217" s="62">
        <v>362.03857416559623</v>
      </c>
      <c r="AA217" s="62">
        <v>368.94499946368524</v>
      </c>
      <c r="AB217" s="62">
        <v>376.16673176094361</v>
      </c>
      <c r="AC217" s="62">
        <v>383.6132835002154</v>
      </c>
      <c r="AD217" s="62">
        <v>391.30012639918095</v>
      </c>
      <c r="AE217" s="62">
        <v>399.24273217574307</v>
      </c>
      <c r="AF217" s="62">
        <v>407.45657255982002</v>
      </c>
      <c r="AG217" s="62">
        <v>415.95711926096226</v>
      </c>
      <c r="AH217" s="62">
        <v>424.7598440222983</v>
      </c>
      <c r="AI217" s="62">
        <v>433.88021854174514</v>
      </c>
      <c r="AJ217" s="62">
        <v>443.3337145701949</v>
      </c>
    </row>
    <row r="218" spans="1:36" x14ac:dyDescent="0.25">
      <c r="A218" s="58" t="s">
        <v>17</v>
      </c>
      <c r="B218" s="59" t="s">
        <v>18</v>
      </c>
      <c r="C218" s="60" t="s">
        <v>115</v>
      </c>
      <c r="D218" s="61" t="s">
        <v>30</v>
      </c>
      <c r="E218" s="50" t="s">
        <v>150</v>
      </c>
      <c r="F218" s="50">
        <v>1.9625320883598897E-4</v>
      </c>
      <c r="G218" s="50">
        <v>2.5581851037425701E-4</v>
      </c>
      <c r="H218" s="63" t="s">
        <v>149</v>
      </c>
      <c r="I218" s="62">
        <v>45.657720276066271</v>
      </c>
      <c r="J218" s="62">
        <v>46.959069038340111</v>
      </c>
      <c r="K218" s="62">
        <v>48.084158846966098</v>
      </c>
      <c r="L218" s="62">
        <v>49.402647449435015</v>
      </c>
      <c r="M218" s="62">
        <v>50.74006662167163</v>
      </c>
      <c r="N218" s="62">
        <v>52.099742004310812</v>
      </c>
      <c r="O218" s="62">
        <v>53.482185234373297</v>
      </c>
      <c r="P218" s="62">
        <v>54.652299100825147</v>
      </c>
      <c r="Q218" s="62">
        <v>56.0718360148919</v>
      </c>
      <c r="R218" s="62">
        <v>57.518233872547945</v>
      </c>
      <c r="S218" s="62">
        <v>58.259084278591793</v>
      </c>
      <c r="T218" s="62">
        <v>60.509008077333384</v>
      </c>
      <c r="U218" s="62">
        <v>61.770960789009592</v>
      </c>
      <c r="V218" s="62">
        <v>63.366756656724213</v>
      </c>
      <c r="W218" s="62">
        <v>65.025483877990894</v>
      </c>
      <c r="X218" s="62">
        <v>66.742537719622902</v>
      </c>
      <c r="Y218" s="62">
        <v>68.533267292242712</v>
      </c>
      <c r="Z218" s="62">
        <v>70.023921752193502</v>
      </c>
      <c r="AA218" s="62">
        <v>71.359732406556404</v>
      </c>
      <c r="AB218" s="62">
        <v>72.756528365285391</v>
      </c>
      <c r="AC218" s="62">
        <v>74.19680791979475</v>
      </c>
      <c r="AD218" s="62">
        <v>75.683563542228413</v>
      </c>
      <c r="AE218" s="62">
        <v>77.219787704773353</v>
      </c>
      <c r="AF218" s="62">
        <v>78.808472881940489</v>
      </c>
      <c r="AG218" s="62">
        <v>80.452611544301334</v>
      </c>
      <c r="AH218" s="62">
        <v>82.15519616892189</v>
      </c>
      <c r="AI218" s="62">
        <v>83.919219224123538</v>
      </c>
      <c r="AJ218" s="62">
        <v>85.747673188473911</v>
      </c>
    </row>
    <row r="219" spans="1:36" x14ac:dyDescent="0.25">
      <c r="A219" s="58" t="s">
        <v>17</v>
      </c>
      <c r="B219" s="59" t="s">
        <v>18</v>
      </c>
      <c r="C219" s="60" t="s">
        <v>115</v>
      </c>
      <c r="D219" s="61" t="s">
        <v>30</v>
      </c>
      <c r="E219" s="50" t="s">
        <v>252</v>
      </c>
      <c r="F219" s="50">
        <v>1.1107096500079375E-3</v>
      </c>
      <c r="G219" s="50">
        <v>1.44782390977771E-3</v>
      </c>
      <c r="H219" s="63" t="s">
        <v>251</v>
      </c>
      <c r="I219" s="62">
        <v>258.40326794539635</v>
      </c>
      <c r="J219" s="62">
        <v>265.76834817443557</v>
      </c>
      <c r="K219" s="62">
        <v>272.13587772963791</v>
      </c>
      <c r="L219" s="62">
        <v>279.59796216063222</v>
      </c>
      <c r="M219" s="62">
        <v>287.16718556095009</v>
      </c>
      <c r="N219" s="62">
        <v>294.86236964141864</v>
      </c>
      <c r="O219" s="62">
        <v>302.68641004985739</v>
      </c>
      <c r="P219" s="62">
        <v>309.30875661318061</v>
      </c>
      <c r="Q219" s="62">
        <v>317.34273148853714</v>
      </c>
      <c r="R219" s="62">
        <v>325.52872787442033</v>
      </c>
      <c r="S219" s="62">
        <v>329.72162591713658</v>
      </c>
      <c r="T219" s="62">
        <v>342.4552372036315</v>
      </c>
      <c r="U219" s="62">
        <v>349.59735255056495</v>
      </c>
      <c r="V219" s="62">
        <v>358.62887809975831</v>
      </c>
      <c r="W219" s="62">
        <v>368.01656833075697</v>
      </c>
      <c r="X219" s="62">
        <v>377.73436241318495</v>
      </c>
      <c r="Y219" s="62">
        <v>387.86912978162894</v>
      </c>
      <c r="Z219" s="62">
        <v>396.30559970390368</v>
      </c>
      <c r="AA219" s="62">
        <v>403.86571957753199</v>
      </c>
      <c r="AB219" s="62">
        <v>411.77099032267904</v>
      </c>
      <c r="AC219" s="62">
        <v>419.9223597162852</v>
      </c>
      <c r="AD219" s="62">
        <v>428.33676387729275</v>
      </c>
      <c r="AE219" s="62">
        <v>437.0311389248875</v>
      </c>
      <c r="AF219" s="62">
        <v>446.0224209914079</v>
      </c>
      <c r="AG219" s="62">
        <v>455.32754618689694</v>
      </c>
      <c r="AH219" s="62">
        <v>464.96345065815365</v>
      </c>
      <c r="AI219" s="62">
        <v>474.94707050248644</v>
      </c>
      <c r="AJ219" s="62">
        <v>485.29534187519278</v>
      </c>
    </row>
    <row r="220" spans="1:36" x14ac:dyDescent="0.25">
      <c r="A220" s="58" t="s">
        <v>17</v>
      </c>
      <c r="B220" s="59" t="s">
        <v>18</v>
      </c>
      <c r="C220" s="60" t="s">
        <v>115</v>
      </c>
      <c r="D220" s="61" t="s">
        <v>30</v>
      </c>
      <c r="E220" s="50" t="s">
        <v>463</v>
      </c>
      <c r="F220" s="50">
        <v>5.0524762274797158E-4</v>
      </c>
      <c r="G220" s="50">
        <v>6.5859659053798094E-4</v>
      </c>
      <c r="H220" s="63" t="s">
        <v>462</v>
      </c>
      <c r="I220" s="62">
        <v>117.54434368944722</v>
      </c>
      <c r="J220" s="62">
        <v>120.89462454551393</v>
      </c>
      <c r="K220" s="62">
        <v>123.79113235069997</v>
      </c>
      <c r="L220" s="62">
        <v>127.18553917833273</v>
      </c>
      <c r="M220" s="62">
        <v>130.6286821536653</v>
      </c>
      <c r="N220" s="62">
        <v>134.12912303237465</v>
      </c>
      <c r="O220" s="62">
        <v>137.68817900764191</v>
      </c>
      <c r="P220" s="62">
        <v>140.70059981276265</v>
      </c>
      <c r="Q220" s="62">
        <v>144.35515229365788</v>
      </c>
      <c r="R220" s="62">
        <v>148.07885741655963</v>
      </c>
      <c r="S220" s="62">
        <v>149.98615314275762</v>
      </c>
      <c r="T220" s="62">
        <v>155.77851015653917</v>
      </c>
      <c r="U220" s="62">
        <v>159.02736713766302</v>
      </c>
      <c r="V220" s="62">
        <v>163.13569266943895</v>
      </c>
      <c r="W220" s="62">
        <v>167.40603296248722</v>
      </c>
      <c r="X220" s="62">
        <v>171.82653327817815</v>
      </c>
      <c r="Y220" s="62">
        <v>176.43670941194401</v>
      </c>
      <c r="Z220" s="62">
        <v>180.27435174500883</v>
      </c>
      <c r="AA220" s="62">
        <v>183.71335364241119</v>
      </c>
      <c r="AB220" s="62">
        <v>187.30936025956456</v>
      </c>
      <c r="AC220" s="62">
        <v>191.01731400628015</v>
      </c>
      <c r="AD220" s="62">
        <v>194.84491890658808</v>
      </c>
      <c r="AE220" s="62">
        <v>198.79987898462929</v>
      </c>
      <c r="AF220" s="62">
        <v>202.88989827052768</v>
      </c>
      <c r="AG220" s="62">
        <v>207.12268078426519</v>
      </c>
      <c r="AH220" s="62">
        <v>211.5059305625436</v>
      </c>
      <c r="AI220" s="62">
        <v>216.04735161955213</v>
      </c>
      <c r="AJ220" s="62">
        <v>220.75464799585839</v>
      </c>
    </row>
    <row r="221" spans="1:36" x14ac:dyDescent="0.25">
      <c r="A221" s="58" t="s">
        <v>17</v>
      </c>
      <c r="B221" s="59" t="s">
        <v>18</v>
      </c>
      <c r="C221" s="60" t="s">
        <v>115</v>
      </c>
      <c r="D221" s="61" t="s">
        <v>30</v>
      </c>
      <c r="E221" s="50" t="s">
        <v>413</v>
      </c>
      <c r="F221" s="50">
        <v>2.9229201315998354E-5</v>
      </c>
      <c r="G221" s="50">
        <v>3.8100629204676579E-5</v>
      </c>
      <c r="H221" s="63" t="s">
        <v>412</v>
      </c>
      <c r="I221" s="62">
        <v>6.8000859985630617</v>
      </c>
      <c r="J221" s="62">
        <v>6.9939038993272513</v>
      </c>
      <c r="K221" s="62">
        <v>7.1614704665694191</v>
      </c>
      <c r="L221" s="62">
        <v>7.3578411094903222</v>
      </c>
      <c r="M221" s="62">
        <v>7.5570311989723713</v>
      </c>
      <c r="N221" s="62">
        <v>7.7595360431952276</v>
      </c>
      <c r="O221" s="62">
        <v>7.9654318434172993</v>
      </c>
      <c r="P221" s="62">
        <v>8.1397041213994896</v>
      </c>
      <c r="Q221" s="62">
        <v>8.3511245128562415</v>
      </c>
      <c r="R221" s="62">
        <v>8.5665454703794826</v>
      </c>
      <c r="S221" s="62">
        <v>8.6768848925562256</v>
      </c>
      <c r="T221" s="62">
        <v>9.0119799264113567</v>
      </c>
      <c r="U221" s="62">
        <v>9.1999303302780255</v>
      </c>
      <c r="V221" s="62">
        <v>9.4376020552567983</v>
      </c>
      <c r="W221" s="62">
        <v>9.6846465350199207</v>
      </c>
      <c r="X221" s="62">
        <v>9.9403779582417098</v>
      </c>
      <c r="Y221" s="62">
        <v>10.207082362674447</v>
      </c>
      <c r="Z221" s="62">
        <v>10.429094729050096</v>
      </c>
      <c r="AA221" s="62">
        <v>10.628045252040316</v>
      </c>
      <c r="AB221" s="62">
        <v>10.836078692702079</v>
      </c>
      <c r="AC221" s="62">
        <v>11.050588413586453</v>
      </c>
      <c r="AD221" s="62">
        <v>11.27202010203402</v>
      </c>
      <c r="AE221" s="62">
        <v>11.500819445391777</v>
      </c>
      <c r="AF221" s="62">
        <v>11.73743213135284</v>
      </c>
      <c r="AG221" s="62">
        <v>11.982303847023605</v>
      </c>
      <c r="AH221" s="62">
        <v>12.235880280477728</v>
      </c>
      <c r="AI221" s="62">
        <v>12.498607118486484</v>
      </c>
      <c r="AJ221" s="62">
        <v>12.770930049347179</v>
      </c>
    </row>
    <row r="222" spans="1:36" x14ac:dyDescent="0.25">
      <c r="A222" s="58" t="s">
        <v>17</v>
      </c>
      <c r="B222" s="59" t="s">
        <v>18</v>
      </c>
      <c r="C222" s="60" t="s">
        <v>115</v>
      </c>
      <c r="D222" s="61" t="s">
        <v>30</v>
      </c>
      <c r="E222" s="50" t="s">
        <v>363</v>
      </c>
      <c r="F222" s="50">
        <v>5.8875962650796682E-4</v>
      </c>
      <c r="G222" s="50">
        <v>7.6745553112277109E-4</v>
      </c>
      <c r="H222" s="63" t="s">
        <v>362</v>
      </c>
      <c r="I222" s="62">
        <v>136.97316082819881</v>
      </c>
      <c r="J222" s="62">
        <v>140.87720711502035</v>
      </c>
      <c r="K222" s="62">
        <v>144.2524765408983</v>
      </c>
      <c r="L222" s="62">
        <v>148.20794234830507</v>
      </c>
      <c r="M222" s="62">
        <v>152.22019986501491</v>
      </c>
      <c r="N222" s="62">
        <v>156.29922601293245</v>
      </c>
      <c r="O222" s="62">
        <v>160.44655570311988</v>
      </c>
      <c r="P222" s="62">
        <v>163.95689730247545</v>
      </c>
      <c r="Q222" s="62">
        <v>168.21550804467572</v>
      </c>
      <c r="R222" s="62">
        <v>172.55470161764384</v>
      </c>
      <c r="S222" s="62">
        <v>174.77725283577539</v>
      </c>
      <c r="T222" s="62">
        <v>181.52702423200017</v>
      </c>
      <c r="U222" s="62">
        <v>185.31288236702881</v>
      </c>
      <c r="V222" s="62">
        <v>190.10026997017263</v>
      </c>
      <c r="W222" s="62">
        <v>195.07645163397268</v>
      </c>
      <c r="X222" s="62">
        <v>200.22761315886873</v>
      </c>
      <c r="Y222" s="62">
        <v>205.59980187672812</v>
      </c>
      <c r="Z222" s="62">
        <v>210.07176525658051</v>
      </c>
      <c r="AA222" s="62">
        <v>214.07919721966923</v>
      </c>
      <c r="AB222" s="62">
        <v>218.26958509585617</v>
      </c>
      <c r="AC222" s="62">
        <v>222.59042375938427</v>
      </c>
      <c r="AD222" s="62">
        <v>227.05069062668525</v>
      </c>
      <c r="AE222" s="62">
        <v>231.65936311432006</v>
      </c>
      <c r="AF222" s="62">
        <v>236.42541864582148</v>
      </c>
      <c r="AG222" s="62">
        <v>241.35783463290403</v>
      </c>
      <c r="AH222" s="62">
        <v>246.46558850676567</v>
      </c>
      <c r="AI222" s="62">
        <v>251.75765767237064</v>
      </c>
      <c r="AJ222" s="62">
        <v>257.24301956542172</v>
      </c>
    </row>
    <row r="223" spans="1:36" x14ac:dyDescent="0.25">
      <c r="A223" s="58" t="s">
        <v>17</v>
      </c>
      <c r="B223" s="59" t="s">
        <v>18</v>
      </c>
      <c r="C223" s="60" t="s">
        <v>115</v>
      </c>
      <c r="D223" s="61" t="s">
        <v>30</v>
      </c>
      <c r="E223" s="50" t="s">
        <v>437</v>
      </c>
      <c r="F223" s="50">
        <v>1.2526800563999294E-5</v>
      </c>
      <c r="G223" s="50">
        <v>1.6328841087718533E-5</v>
      </c>
      <c r="H223" s="63" t="s">
        <v>436</v>
      </c>
      <c r="I223" s="62">
        <v>2.9143225708127405</v>
      </c>
      <c r="J223" s="62">
        <v>2.9973873854259647</v>
      </c>
      <c r="K223" s="62">
        <v>3.069201628529751</v>
      </c>
      <c r="L223" s="62">
        <v>3.1533604754958522</v>
      </c>
      <c r="M223" s="62">
        <v>3.2387276567024448</v>
      </c>
      <c r="N223" s="62">
        <v>3.3255154470836685</v>
      </c>
      <c r="O223" s="62">
        <v>3.4137565043216997</v>
      </c>
      <c r="P223" s="62">
        <v>3.4884446234569242</v>
      </c>
      <c r="Q223" s="62">
        <v>3.5790533626526742</v>
      </c>
      <c r="R223" s="62">
        <v>3.6713766301626349</v>
      </c>
      <c r="S223" s="62">
        <v>3.7186649539526679</v>
      </c>
      <c r="T223" s="62">
        <v>3.8622771113191523</v>
      </c>
      <c r="U223" s="62">
        <v>3.942827284404868</v>
      </c>
      <c r="V223" s="62">
        <v>4.0446865951100559</v>
      </c>
      <c r="W223" s="62">
        <v>4.150562800722823</v>
      </c>
      <c r="X223" s="62">
        <v>4.2601619821035897</v>
      </c>
      <c r="Y223" s="62">
        <v>4.3744638697176192</v>
      </c>
      <c r="Z223" s="62">
        <v>4.4696120267357555</v>
      </c>
      <c r="AA223" s="62">
        <v>4.5548765365887069</v>
      </c>
      <c r="AB223" s="62">
        <v>4.644033725443748</v>
      </c>
      <c r="AC223" s="62">
        <v>4.7359664629656226</v>
      </c>
      <c r="AD223" s="62">
        <v>4.8308657580145793</v>
      </c>
      <c r="AE223" s="62">
        <v>4.9289226194536182</v>
      </c>
      <c r="AF223" s="62">
        <v>5.0303280562940733</v>
      </c>
      <c r="AG223" s="62">
        <v>5.1352730772958299</v>
      </c>
      <c r="AH223" s="62">
        <v>5.243948691633312</v>
      </c>
      <c r="AI223" s="62">
        <v>5.3565459079227793</v>
      </c>
      <c r="AJ223" s="62">
        <v>5.4732557354345044</v>
      </c>
    </row>
    <row r="224" spans="1:36" x14ac:dyDescent="0.25">
      <c r="A224" s="58" t="s">
        <v>17</v>
      </c>
      <c r="B224" s="59" t="s">
        <v>18</v>
      </c>
      <c r="C224" s="60" t="s">
        <v>115</v>
      </c>
      <c r="D224" s="61" t="s">
        <v>30</v>
      </c>
      <c r="E224" s="50" t="s">
        <v>228</v>
      </c>
      <c r="F224" s="50">
        <v>3.7997961710797861E-4</v>
      </c>
      <c r="G224" s="50">
        <v>4.9530817966079554E-4</v>
      </c>
      <c r="H224" s="63" t="s">
        <v>51</v>
      </c>
      <c r="I224" s="62">
        <v>88.4011179813198</v>
      </c>
      <c r="J224" s="62">
        <v>90.92075069125427</v>
      </c>
      <c r="K224" s="62">
        <v>93.099116065402455</v>
      </c>
      <c r="L224" s="62">
        <v>95.651934423374186</v>
      </c>
      <c r="M224" s="62">
        <v>98.241405586640838</v>
      </c>
      <c r="N224" s="62">
        <v>100.87396856153796</v>
      </c>
      <c r="O224" s="62">
        <v>103.5506139644249</v>
      </c>
      <c r="P224" s="62">
        <v>105.81615357819338</v>
      </c>
      <c r="Q224" s="62">
        <v>108.56461866713113</v>
      </c>
      <c r="R224" s="62">
        <v>111.36509111493326</v>
      </c>
      <c r="S224" s="62">
        <v>112.79950360323093</v>
      </c>
      <c r="T224" s="62">
        <v>117.15573904334762</v>
      </c>
      <c r="U224" s="62">
        <v>119.59909429361433</v>
      </c>
      <c r="V224" s="62">
        <v>122.68882671833838</v>
      </c>
      <c r="W224" s="62">
        <v>125.90040495525898</v>
      </c>
      <c r="X224" s="62">
        <v>129.22491345714224</v>
      </c>
      <c r="Y224" s="62">
        <v>132.69207071476779</v>
      </c>
      <c r="Z224" s="62">
        <v>135.57823147765126</v>
      </c>
      <c r="AA224" s="62">
        <v>138.16458827652411</v>
      </c>
      <c r="AB224" s="62">
        <v>140.86902300512705</v>
      </c>
      <c r="AC224" s="62">
        <v>143.65764937662388</v>
      </c>
      <c r="AD224" s="62">
        <v>146.53626132644226</v>
      </c>
      <c r="AE224" s="62">
        <v>149.5106527900931</v>
      </c>
      <c r="AF224" s="62">
        <v>152.58661770758692</v>
      </c>
      <c r="AG224" s="62">
        <v>155.76995001130686</v>
      </c>
      <c r="AH224" s="62">
        <v>159.06644364621047</v>
      </c>
      <c r="AI224" s="62">
        <v>162.48189254032431</v>
      </c>
      <c r="AJ224" s="62">
        <v>166.02209064151333</v>
      </c>
    </row>
    <row r="225" spans="1:36" x14ac:dyDescent="0.25">
      <c r="A225" s="58" t="s">
        <v>17</v>
      </c>
      <c r="B225" s="59" t="s">
        <v>18</v>
      </c>
      <c r="C225" s="60" t="s">
        <v>115</v>
      </c>
      <c r="D225" s="61" t="s">
        <v>30</v>
      </c>
      <c r="E225" s="50" t="s">
        <v>257</v>
      </c>
      <c r="F225" s="50">
        <v>3.3822361522798094E-4</v>
      </c>
      <c r="G225" s="50">
        <v>4.4087870936840041E-4</v>
      </c>
      <c r="H225" s="63" t="s">
        <v>105</v>
      </c>
      <c r="I225" s="62">
        <v>78.686709411943994</v>
      </c>
      <c r="J225" s="62">
        <v>80.929459406501053</v>
      </c>
      <c r="K225" s="62">
        <v>82.868443970303275</v>
      </c>
      <c r="L225" s="62">
        <v>85.140732838388018</v>
      </c>
      <c r="M225" s="62">
        <v>87.445646730966004</v>
      </c>
      <c r="N225" s="62">
        <v>89.788917071259064</v>
      </c>
      <c r="O225" s="62">
        <v>92.171425616685895</v>
      </c>
      <c r="P225" s="62">
        <v>94.188004833336961</v>
      </c>
      <c r="Q225" s="62">
        <v>96.634440791622211</v>
      </c>
      <c r="R225" s="62">
        <v>99.127169014391143</v>
      </c>
      <c r="S225" s="62">
        <v>100.40395375672203</v>
      </c>
      <c r="T225" s="62">
        <v>104.28148200561712</v>
      </c>
      <c r="U225" s="62">
        <v>106.45633667893144</v>
      </c>
      <c r="V225" s="62">
        <v>109.20653806797152</v>
      </c>
      <c r="W225" s="62">
        <v>112.06519561951623</v>
      </c>
      <c r="X225" s="62">
        <v>115.02437351679693</v>
      </c>
      <c r="Y225" s="62">
        <v>118.11052448237574</v>
      </c>
      <c r="Z225" s="62">
        <v>120.67952472186541</v>
      </c>
      <c r="AA225" s="62">
        <v>122.98166648789508</v>
      </c>
      <c r="AB225" s="62">
        <v>125.38891058698121</v>
      </c>
      <c r="AC225" s="62">
        <v>127.87109450007181</v>
      </c>
      <c r="AD225" s="62">
        <v>130.43337546639364</v>
      </c>
      <c r="AE225" s="62">
        <v>133.08091072524769</v>
      </c>
      <c r="AF225" s="62">
        <v>135.81885751994</v>
      </c>
      <c r="AG225" s="62">
        <v>138.65237308698741</v>
      </c>
      <c r="AH225" s="62">
        <v>141.58661467409942</v>
      </c>
      <c r="AI225" s="62">
        <v>144.62673951391503</v>
      </c>
      <c r="AJ225" s="62">
        <v>147.77790485673162</v>
      </c>
    </row>
    <row r="226" spans="1:36" x14ac:dyDescent="0.25">
      <c r="A226" s="58" t="s">
        <v>17</v>
      </c>
      <c r="B226" s="59" t="s">
        <v>18</v>
      </c>
      <c r="C226" s="60" t="s">
        <v>115</v>
      </c>
      <c r="D226" s="61" t="s">
        <v>30</v>
      </c>
      <c r="E226" s="50" t="s">
        <v>328</v>
      </c>
      <c r="F226" s="50">
        <v>1.6284840733199081E-4</v>
      </c>
      <c r="G226" s="50">
        <v>2.1227493414034093E-4</v>
      </c>
      <c r="H226" s="63" t="s">
        <v>327</v>
      </c>
      <c r="I226" s="62">
        <v>37.886193420565625</v>
      </c>
      <c r="J226" s="62">
        <v>38.966036010537543</v>
      </c>
      <c r="K226" s="62">
        <v>39.899621170886761</v>
      </c>
      <c r="L226" s="62">
        <v>40.99368618144608</v>
      </c>
      <c r="M226" s="62">
        <v>42.103459537131783</v>
      </c>
      <c r="N226" s="62">
        <v>43.231700812087695</v>
      </c>
      <c r="O226" s="62">
        <v>44.378834556182099</v>
      </c>
      <c r="P226" s="62">
        <v>45.349780104940017</v>
      </c>
      <c r="Q226" s="62">
        <v>46.527693714484769</v>
      </c>
      <c r="R226" s="62">
        <v>47.727896192114258</v>
      </c>
      <c r="S226" s="62">
        <v>48.342644401384682</v>
      </c>
      <c r="T226" s="62">
        <v>50.209602447148981</v>
      </c>
      <c r="U226" s="62">
        <v>51.256754697263283</v>
      </c>
      <c r="V226" s="62">
        <v>52.580925736430729</v>
      </c>
      <c r="W226" s="62">
        <v>53.957316409396704</v>
      </c>
      <c r="X226" s="62">
        <v>55.382105767346673</v>
      </c>
      <c r="Y226" s="62">
        <v>56.868030306329054</v>
      </c>
      <c r="Z226" s="62">
        <v>58.104956347564823</v>
      </c>
      <c r="AA226" s="62">
        <v>59.213394975653188</v>
      </c>
      <c r="AB226" s="62">
        <v>60.372438430768732</v>
      </c>
      <c r="AC226" s="62">
        <v>61.567564018553092</v>
      </c>
      <c r="AD226" s="62">
        <v>62.801254854189537</v>
      </c>
      <c r="AE226" s="62">
        <v>64.07599405289703</v>
      </c>
      <c r="AF226" s="62">
        <v>65.394264731822958</v>
      </c>
      <c r="AG226" s="62">
        <v>66.758550004845802</v>
      </c>
      <c r="AH226" s="62">
        <v>68.171332991233058</v>
      </c>
      <c r="AI226" s="62">
        <v>69.635096802996131</v>
      </c>
      <c r="AJ226" s="62">
        <v>71.152324560648566</v>
      </c>
    </row>
    <row r="227" spans="1:36" x14ac:dyDescent="0.25">
      <c r="A227" s="58" t="s">
        <v>17</v>
      </c>
      <c r="B227" s="59" t="s">
        <v>18</v>
      </c>
      <c r="C227" s="60" t="s">
        <v>115</v>
      </c>
      <c r="D227" s="61" t="s">
        <v>30</v>
      </c>
      <c r="E227" s="50" t="s">
        <v>232</v>
      </c>
      <c r="F227" s="50">
        <v>3.6327721635597953E-4</v>
      </c>
      <c r="G227" s="50">
        <v>4.7353639154383749E-4</v>
      </c>
      <c r="H227" s="63" t="s">
        <v>231</v>
      </c>
      <c r="I227" s="62">
        <v>84.51535455356948</v>
      </c>
      <c r="J227" s="62">
        <v>86.924234177352986</v>
      </c>
      <c r="K227" s="62">
        <v>89.006847227362783</v>
      </c>
      <c r="L227" s="62">
        <v>91.447453789379722</v>
      </c>
      <c r="M227" s="62">
        <v>93.923102044370907</v>
      </c>
      <c r="N227" s="62">
        <v>96.439947965426398</v>
      </c>
      <c r="O227" s="62">
        <v>98.998938625329302</v>
      </c>
      <c r="P227" s="62">
        <v>101.1648940802508</v>
      </c>
      <c r="Q227" s="62">
        <v>103.79254751692757</v>
      </c>
      <c r="R227" s="62">
        <v>106.46992227471642</v>
      </c>
      <c r="S227" s="62">
        <v>107.84128366462737</v>
      </c>
      <c r="T227" s="62">
        <v>112.00603622825543</v>
      </c>
      <c r="U227" s="62">
        <v>114.34199124774118</v>
      </c>
      <c r="V227" s="62">
        <v>117.29591125819164</v>
      </c>
      <c r="W227" s="62">
        <v>120.36632122096188</v>
      </c>
      <c r="X227" s="62">
        <v>123.54469748100411</v>
      </c>
      <c r="Y227" s="62">
        <v>126.85945222181097</v>
      </c>
      <c r="Z227" s="62">
        <v>129.61874877533691</v>
      </c>
      <c r="AA227" s="62">
        <v>132.09141956107251</v>
      </c>
      <c r="AB227" s="62">
        <v>134.67697803786871</v>
      </c>
      <c r="AC227" s="62">
        <v>137.34302742600306</v>
      </c>
      <c r="AD227" s="62">
        <v>140.09510698242281</v>
      </c>
      <c r="AE227" s="62">
        <v>142.93875596415492</v>
      </c>
      <c r="AF227" s="62">
        <v>145.87951363252816</v>
      </c>
      <c r="AG227" s="62">
        <v>148.92291924157908</v>
      </c>
      <c r="AH227" s="62">
        <v>152.07451205736606</v>
      </c>
      <c r="AI227" s="62">
        <v>155.33983132976061</v>
      </c>
      <c r="AJ227" s="62">
        <v>158.72441632760064</v>
      </c>
    </row>
    <row r="228" spans="1:36" x14ac:dyDescent="0.25">
      <c r="A228" s="58" t="s">
        <v>17</v>
      </c>
      <c r="B228" s="59" t="s">
        <v>18</v>
      </c>
      <c r="C228" s="60" t="s">
        <v>115</v>
      </c>
      <c r="D228" s="61" t="s">
        <v>30</v>
      </c>
      <c r="E228" s="50" t="s">
        <v>174</v>
      </c>
      <c r="F228" s="50">
        <v>2.1713120977598778E-4</v>
      </c>
      <c r="G228" s="50">
        <v>2.8303324552045458E-4</v>
      </c>
      <c r="H228" s="63" t="s">
        <v>42</v>
      </c>
      <c r="I228" s="62">
        <v>50.514924560754174</v>
      </c>
      <c r="J228" s="62">
        <v>51.954714680716727</v>
      </c>
      <c r="K228" s="62">
        <v>53.199494894515681</v>
      </c>
      <c r="L228" s="62">
        <v>54.658248241928106</v>
      </c>
      <c r="M228" s="62">
        <v>56.13794604950904</v>
      </c>
      <c r="N228" s="62">
        <v>57.642267749450262</v>
      </c>
      <c r="O228" s="62">
        <v>59.171779408242799</v>
      </c>
      <c r="P228" s="62">
        <v>60.466373473253356</v>
      </c>
      <c r="Q228" s="62">
        <v>62.036924952646359</v>
      </c>
      <c r="R228" s="62">
        <v>63.637194922819006</v>
      </c>
      <c r="S228" s="62">
        <v>64.456859201846243</v>
      </c>
      <c r="T228" s="62">
        <v>66.946136596198642</v>
      </c>
      <c r="U228" s="62">
        <v>68.342339596351039</v>
      </c>
      <c r="V228" s="62">
        <v>70.107900981907633</v>
      </c>
      <c r="W228" s="62">
        <v>71.943088545862267</v>
      </c>
      <c r="X228" s="62">
        <v>73.842807689795563</v>
      </c>
      <c r="Y228" s="62">
        <v>75.824040408438748</v>
      </c>
      <c r="Z228" s="62">
        <v>77.473275130086435</v>
      </c>
      <c r="AA228" s="62">
        <v>78.951193300870912</v>
      </c>
      <c r="AB228" s="62">
        <v>80.496584574358309</v>
      </c>
      <c r="AC228" s="62">
        <v>82.090085358070795</v>
      </c>
      <c r="AD228" s="62">
        <v>83.735006472252721</v>
      </c>
      <c r="AE228" s="62">
        <v>85.434658737196045</v>
      </c>
      <c r="AF228" s="62">
        <v>87.192352975763953</v>
      </c>
      <c r="AG228" s="62">
        <v>89.011400006461059</v>
      </c>
      <c r="AH228" s="62">
        <v>90.895110654977401</v>
      </c>
      <c r="AI228" s="62">
        <v>92.846795737328165</v>
      </c>
      <c r="AJ228" s="62">
        <v>94.86976608086475</v>
      </c>
    </row>
    <row r="229" spans="1:36" x14ac:dyDescent="0.25">
      <c r="A229" s="58" t="s">
        <v>17</v>
      </c>
      <c r="B229" s="59" t="s">
        <v>18</v>
      </c>
      <c r="C229" s="60" t="s">
        <v>115</v>
      </c>
      <c r="D229" s="61" t="s">
        <v>30</v>
      </c>
      <c r="E229" s="50" t="s">
        <v>527</v>
      </c>
      <c r="F229" s="50">
        <v>7.0985203195996014E-4</v>
      </c>
      <c r="G229" s="50">
        <v>9.2530099497071692E-4</v>
      </c>
      <c r="H229" s="63" t="s">
        <v>526</v>
      </c>
      <c r="I229" s="62">
        <v>165.14494567938866</v>
      </c>
      <c r="J229" s="62">
        <v>169.85195184080467</v>
      </c>
      <c r="K229" s="62">
        <v>173.92142561668589</v>
      </c>
      <c r="L229" s="62">
        <v>178.69042694476497</v>
      </c>
      <c r="M229" s="62">
        <v>183.52790054647187</v>
      </c>
      <c r="N229" s="62">
        <v>188.44587533474123</v>
      </c>
      <c r="O229" s="62">
        <v>193.44620191156298</v>
      </c>
      <c r="P229" s="62">
        <v>197.67852866255905</v>
      </c>
      <c r="Q229" s="62">
        <v>202.81302388365157</v>
      </c>
      <c r="R229" s="62">
        <v>208.04467570921599</v>
      </c>
      <c r="S229" s="62">
        <v>210.72434739065119</v>
      </c>
      <c r="T229" s="62">
        <v>218.86236964141864</v>
      </c>
      <c r="U229" s="62">
        <v>223.4268794496092</v>
      </c>
      <c r="V229" s="62">
        <v>229.19890705623652</v>
      </c>
      <c r="W229" s="62">
        <v>235.19855870762666</v>
      </c>
      <c r="X229" s="62">
        <v>241.40917898587011</v>
      </c>
      <c r="Y229" s="62">
        <v>247.88628595066513</v>
      </c>
      <c r="Z229" s="62">
        <v>253.27801484835948</v>
      </c>
      <c r="AA229" s="62">
        <v>258.1096704066934</v>
      </c>
      <c r="AB229" s="62">
        <v>263.1619111084791</v>
      </c>
      <c r="AC229" s="62">
        <v>268.37143290138528</v>
      </c>
      <c r="AD229" s="62">
        <v>273.74905962082619</v>
      </c>
      <c r="AE229" s="62">
        <v>279.30561510237169</v>
      </c>
      <c r="AF229" s="62">
        <v>285.05192318999752</v>
      </c>
      <c r="AG229" s="62">
        <v>290.99880771343038</v>
      </c>
      <c r="AH229" s="62">
        <v>297.15709252588766</v>
      </c>
      <c r="AI229" s="62">
        <v>303.5376014489575</v>
      </c>
      <c r="AJ229" s="62">
        <v>310.15115834128864</v>
      </c>
    </row>
    <row r="230" spans="1:36" x14ac:dyDescent="0.25">
      <c r="A230" s="58" t="s">
        <v>17</v>
      </c>
      <c r="B230" s="59" t="s">
        <v>18</v>
      </c>
      <c r="C230" s="60" t="s">
        <v>115</v>
      </c>
      <c r="D230" s="61" t="s">
        <v>30</v>
      </c>
      <c r="E230" s="50" t="s">
        <v>504</v>
      </c>
      <c r="F230" s="50">
        <v>4.9397350224037219E-3</v>
      </c>
      <c r="G230" s="50">
        <v>6.4390063355903417E-3</v>
      </c>
      <c r="H230" s="63" t="s">
        <v>503</v>
      </c>
      <c r="I230" s="62">
        <v>1149.2145337571574</v>
      </c>
      <c r="J230" s="62">
        <v>1181.9697589863056</v>
      </c>
      <c r="K230" s="62">
        <v>1210.2885088502319</v>
      </c>
      <c r="L230" s="62">
        <v>1243.4751475038645</v>
      </c>
      <c r="M230" s="62">
        <v>1277.1382726263307</v>
      </c>
      <c r="N230" s="62">
        <v>1311.3615912999935</v>
      </c>
      <c r="O230" s="62">
        <v>1346.1579815375237</v>
      </c>
      <c r="P230" s="62">
        <v>1375.6099965165138</v>
      </c>
      <c r="Q230" s="62">
        <v>1411.3400426727046</v>
      </c>
      <c r="R230" s="62">
        <v>1447.7461844941324</v>
      </c>
      <c r="S230" s="62">
        <v>1466.393546842002</v>
      </c>
      <c r="T230" s="62">
        <v>1523.0246075635191</v>
      </c>
      <c r="U230" s="62">
        <v>1554.7882258169864</v>
      </c>
      <c r="V230" s="62">
        <v>1594.9547473383989</v>
      </c>
      <c r="W230" s="62">
        <v>1636.7052644183666</v>
      </c>
      <c r="X230" s="62">
        <v>1679.9238749428489</v>
      </c>
      <c r="Y230" s="62">
        <v>1724.9969192919814</v>
      </c>
      <c r="Z230" s="62">
        <v>1762.5170092094663</v>
      </c>
      <c r="AA230" s="62">
        <v>1796.1396475948134</v>
      </c>
      <c r="AB230" s="62">
        <v>1831.2972990666515</v>
      </c>
      <c r="AC230" s="62">
        <v>1867.5494418961105</v>
      </c>
      <c r="AD230" s="62">
        <v>1904.9713972437492</v>
      </c>
      <c r="AE230" s="62">
        <v>1943.63848627121</v>
      </c>
      <c r="AF230" s="62">
        <v>1983.6260301986299</v>
      </c>
      <c r="AG230" s="62">
        <v>2025.0093501469892</v>
      </c>
      <c r="AH230" s="62">
        <v>2067.8637674007359</v>
      </c>
      <c r="AI230" s="62">
        <v>2112.2646030242158</v>
      </c>
      <c r="AJ230" s="62">
        <v>2158.2871783396731</v>
      </c>
    </row>
    <row r="231" spans="1:36" x14ac:dyDescent="0.25">
      <c r="A231" s="58" t="s">
        <v>17</v>
      </c>
      <c r="B231" s="59" t="s">
        <v>18</v>
      </c>
      <c r="C231" s="60" t="s">
        <v>115</v>
      </c>
      <c r="D231" s="61" t="s">
        <v>30</v>
      </c>
      <c r="E231" s="50" t="s">
        <v>135</v>
      </c>
      <c r="F231" s="50">
        <v>1.4197040639199202E-4</v>
      </c>
      <c r="G231" s="50">
        <v>1.850601989941434E-4</v>
      </c>
      <c r="H231" s="63" t="s">
        <v>134</v>
      </c>
      <c r="I231" s="62">
        <v>33.02898913587773</v>
      </c>
      <c r="J231" s="62">
        <v>33.970390368160935</v>
      </c>
      <c r="K231" s="62">
        <v>34.784285123337177</v>
      </c>
      <c r="L231" s="62">
        <v>35.738085388952996</v>
      </c>
      <c r="M231" s="62">
        <v>36.705580109294381</v>
      </c>
      <c r="N231" s="62">
        <v>37.689175066948252</v>
      </c>
      <c r="O231" s="62">
        <v>38.689240382312597</v>
      </c>
      <c r="P231" s="62">
        <v>39.535705732511815</v>
      </c>
      <c r="Q231" s="62">
        <v>40.562604776730318</v>
      </c>
      <c r="R231" s="62">
        <v>41.608935141843205</v>
      </c>
      <c r="S231" s="62">
        <v>42.144869478130239</v>
      </c>
      <c r="T231" s="62">
        <v>43.772473928283731</v>
      </c>
      <c r="U231" s="62">
        <v>44.685375889921843</v>
      </c>
      <c r="V231" s="62">
        <v>45.839781411247309</v>
      </c>
      <c r="W231" s="62">
        <v>47.039711741525331</v>
      </c>
      <c r="X231" s="62">
        <v>48.281835797174026</v>
      </c>
      <c r="Y231" s="62">
        <v>49.577257190133025</v>
      </c>
      <c r="Z231" s="62">
        <v>50.655602969671904</v>
      </c>
      <c r="AA231" s="62">
        <v>51.621934081338679</v>
      </c>
      <c r="AB231" s="62">
        <v>52.632382221695821</v>
      </c>
      <c r="AC231" s="62">
        <v>53.674286580277062</v>
      </c>
      <c r="AD231" s="62">
        <v>54.749811924165243</v>
      </c>
      <c r="AE231" s="62">
        <v>55.861123020474345</v>
      </c>
      <c r="AF231" s="62">
        <v>57.010384637999508</v>
      </c>
      <c r="AG231" s="62">
        <v>58.199761542686083</v>
      </c>
      <c r="AH231" s="62">
        <v>59.43141850517754</v>
      </c>
      <c r="AI231" s="62">
        <v>60.707520289791503</v>
      </c>
      <c r="AJ231" s="62">
        <v>62.030231668257727</v>
      </c>
    </row>
    <row r="232" spans="1:36" x14ac:dyDescent="0.25">
      <c r="A232" s="58" t="s">
        <v>17</v>
      </c>
      <c r="B232" s="59" t="s">
        <v>18</v>
      </c>
      <c r="C232" s="60" t="s">
        <v>115</v>
      </c>
      <c r="D232" s="61" t="s">
        <v>30</v>
      </c>
      <c r="E232" s="50" t="s">
        <v>186</v>
      </c>
      <c r="F232" s="50">
        <v>6.2634002819996471E-5</v>
      </c>
      <c r="G232" s="50">
        <v>8.1644205438592671E-5</v>
      </c>
      <c r="H232" s="63" t="s">
        <v>185</v>
      </c>
      <c r="I232" s="62">
        <v>14.571612854063703</v>
      </c>
      <c r="J232" s="62">
        <v>14.986936927129825</v>
      </c>
      <c r="K232" s="62">
        <v>15.346008142648756</v>
      </c>
      <c r="L232" s="62">
        <v>15.766802377479262</v>
      </c>
      <c r="M232" s="62">
        <v>16.193638283512225</v>
      </c>
      <c r="N232" s="62">
        <v>16.627577235418343</v>
      </c>
      <c r="O232" s="62">
        <v>17.068782521608501</v>
      </c>
      <c r="P232" s="62">
        <v>17.442223117284623</v>
      </c>
      <c r="Q232" s="62">
        <v>17.895266813263373</v>
      </c>
      <c r="R232" s="62">
        <v>18.356883150813175</v>
      </c>
      <c r="S232" s="62">
        <v>18.593324769763342</v>
      </c>
      <c r="T232" s="62">
        <v>19.311385556595763</v>
      </c>
      <c r="U232" s="62">
        <v>19.714136422024342</v>
      </c>
      <c r="V232" s="62">
        <v>20.223432975550281</v>
      </c>
      <c r="W232" s="62">
        <v>20.752814003614116</v>
      </c>
      <c r="X232" s="62">
        <v>21.300809910517952</v>
      </c>
      <c r="Y232" s="62">
        <v>21.8723193485881</v>
      </c>
      <c r="Z232" s="62">
        <v>22.348060133678779</v>
      </c>
      <c r="AA232" s="62">
        <v>22.774382682943536</v>
      </c>
      <c r="AB232" s="62">
        <v>23.220168627218744</v>
      </c>
      <c r="AC232" s="62">
        <v>23.679832314828115</v>
      </c>
      <c r="AD232" s="62">
        <v>24.154328790072899</v>
      </c>
      <c r="AE232" s="62">
        <v>24.644613097268092</v>
      </c>
      <c r="AF232" s="62">
        <v>25.151640281470371</v>
      </c>
      <c r="AG232" s="62">
        <v>25.676365386479151</v>
      </c>
      <c r="AH232" s="62">
        <v>26.219743458166562</v>
      </c>
      <c r="AI232" s="62">
        <v>26.782729539613896</v>
      </c>
      <c r="AJ232" s="62">
        <v>27.366278677172527</v>
      </c>
    </row>
    <row r="233" spans="1:36" x14ac:dyDescent="0.25">
      <c r="A233" s="58" t="s">
        <v>17</v>
      </c>
      <c r="B233" s="59" t="s">
        <v>18</v>
      </c>
      <c r="C233" s="60" t="s">
        <v>115</v>
      </c>
      <c r="D233" s="61" t="s">
        <v>30</v>
      </c>
      <c r="E233" s="50" t="s">
        <v>193</v>
      </c>
      <c r="F233" s="50">
        <v>4.1756001879997648E-4</v>
      </c>
      <c r="G233" s="50">
        <v>5.442947029239511E-4</v>
      </c>
      <c r="H233" s="63" t="s">
        <v>192</v>
      </c>
      <c r="I233" s="62">
        <v>97.144085693758015</v>
      </c>
      <c r="J233" s="62">
        <v>99.912912847532155</v>
      </c>
      <c r="K233" s="62">
        <v>102.3067209509917</v>
      </c>
      <c r="L233" s="62">
        <v>105.11201584986175</v>
      </c>
      <c r="M233" s="62">
        <v>107.95758855674816</v>
      </c>
      <c r="N233" s="62">
        <v>110.85051490278896</v>
      </c>
      <c r="O233" s="62">
        <v>113.79188347738999</v>
      </c>
      <c r="P233" s="62">
        <v>116.28148744856414</v>
      </c>
      <c r="Q233" s="62">
        <v>119.30177875508915</v>
      </c>
      <c r="R233" s="62">
        <v>122.37922100542117</v>
      </c>
      <c r="S233" s="62">
        <v>123.95549846508892</v>
      </c>
      <c r="T233" s="62">
        <v>128.74257037730507</v>
      </c>
      <c r="U233" s="62">
        <v>131.42757614682893</v>
      </c>
      <c r="V233" s="62">
        <v>134.82288650366854</v>
      </c>
      <c r="W233" s="62">
        <v>138.35209335742744</v>
      </c>
      <c r="X233" s="62">
        <v>142.005399403453</v>
      </c>
      <c r="Y233" s="62">
        <v>145.81546232392066</v>
      </c>
      <c r="Z233" s="62">
        <v>148.98706755785852</v>
      </c>
      <c r="AA233" s="62">
        <v>151.82921788629022</v>
      </c>
      <c r="AB233" s="62">
        <v>154.80112418145828</v>
      </c>
      <c r="AC233" s="62">
        <v>157.86554876552074</v>
      </c>
      <c r="AD233" s="62">
        <v>161.02885860048599</v>
      </c>
      <c r="AE233" s="62">
        <v>164.29742064845394</v>
      </c>
      <c r="AF233" s="62">
        <v>167.67760187646914</v>
      </c>
      <c r="AG233" s="62">
        <v>171.17576924319434</v>
      </c>
      <c r="AH233" s="62">
        <v>174.79828972111039</v>
      </c>
      <c r="AI233" s="62">
        <v>178.55153026409263</v>
      </c>
      <c r="AJ233" s="62">
        <v>182.44185784781683</v>
      </c>
    </row>
    <row r="234" spans="1:36" x14ac:dyDescent="0.25">
      <c r="A234" s="58" t="s">
        <v>17</v>
      </c>
      <c r="B234" s="59" t="s">
        <v>18</v>
      </c>
      <c r="C234" s="60" t="s">
        <v>115</v>
      </c>
      <c r="D234" s="61" t="s">
        <v>30</v>
      </c>
      <c r="E234" s="50" t="s">
        <v>159</v>
      </c>
      <c r="F234" s="50">
        <v>1.3111384590319261E-3</v>
      </c>
      <c r="G234" s="50">
        <v>1.7090853671812066E-3</v>
      </c>
      <c r="H234" s="63" t="s">
        <v>158</v>
      </c>
      <c r="I234" s="62">
        <v>305.03242907840018</v>
      </c>
      <c r="J234" s="62">
        <v>313.72654634125104</v>
      </c>
      <c r="K234" s="62">
        <v>321.24310378611398</v>
      </c>
      <c r="L234" s="62">
        <v>330.05172976856591</v>
      </c>
      <c r="M234" s="62">
        <v>338.98682806818925</v>
      </c>
      <c r="N234" s="62">
        <v>348.07061679475737</v>
      </c>
      <c r="O234" s="62">
        <v>357.30651411900459</v>
      </c>
      <c r="P234" s="62">
        <v>365.12387058849146</v>
      </c>
      <c r="Q234" s="62">
        <v>374.60758529097996</v>
      </c>
      <c r="R234" s="62">
        <v>384.27075395702252</v>
      </c>
      <c r="S234" s="62">
        <v>389.22026518037927</v>
      </c>
      <c r="T234" s="62">
        <v>404.25167098473798</v>
      </c>
      <c r="U234" s="62">
        <v>412.68258910104288</v>
      </c>
      <c r="V234" s="62">
        <v>423.34386362151923</v>
      </c>
      <c r="W234" s="62">
        <v>434.42557314232221</v>
      </c>
      <c r="X234" s="62">
        <v>445.89695412684245</v>
      </c>
      <c r="Y234" s="62">
        <v>457.86055169711091</v>
      </c>
      <c r="Z234" s="62">
        <v>467.81939213167578</v>
      </c>
      <c r="AA234" s="62">
        <v>476.74374416295132</v>
      </c>
      <c r="AB234" s="62">
        <v>486.07552992977901</v>
      </c>
      <c r="AC234" s="62">
        <v>495.69782312373519</v>
      </c>
      <c r="AD234" s="62">
        <v>505.63061600552606</v>
      </c>
      <c r="AE234" s="62">
        <v>515.89390083614535</v>
      </c>
      <c r="AF234" s="62">
        <v>526.50766989211309</v>
      </c>
      <c r="AG234" s="62">
        <v>537.4919154236303</v>
      </c>
      <c r="AH234" s="62">
        <v>548.86662972428667</v>
      </c>
      <c r="AI234" s="62">
        <v>560.65180502925091</v>
      </c>
      <c r="AJ234" s="62">
        <v>572.86743364214487</v>
      </c>
    </row>
    <row r="235" spans="1:36" x14ac:dyDescent="0.25">
      <c r="A235" s="58" t="s">
        <v>17</v>
      </c>
      <c r="B235" s="59" t="s">
        <v>18</v>
      </c>
      <c r="C235" s="60" t="s">
        <v>115</v>
      </c>
      <c r="D235" s="61" t="s">
        <v>30</v>
      </c>
      <c r="E235" s="50" t="s">
        <v>294</v>
      </c>
      <c r="F235" s="50">
        <v>4.8019402161997304E-4</v>
      </c>
      <c r="G235" s="50">
        <v>6.2593890836254386E-4</v>
      </c>
      <c r="H235" s="63" t="s">
        <v>293</v>
      </c>
      <c r="I235" s="62">
        <v>111.71569854782175</v>
      </c>
      <c r="J235" s="62">
        <v>114.899849774662</v>
      </c>
      <c r="K235" s="62">
        <v>117.65272909364047</v>
      </c>
      <c r="L235" s="62">
        <v>120.87881822734101</v>
      </c>
      <c r="M235" s="62">
        <v>124.15122684026039</v>
      </c>
      <c r="N235" s="62">
        <v>127.47809213820732</v>
      </c>
      <c r="O235" s="62">
        <v>130.86066599899851</v>
      </c>
      <c r="P235" s="62">
        <v>133.72371056584879</v>
      </c>
      <c r="Q235" s="62">
        <v>137.19704556835254</v>
      </c>
      <c r="R235" s="62">
        <v>140.73610415623435</v>
      </c>
      <c r="S235" s="62">
        <v>142.54882323485228</v>
      </c>
      <c r="T235" s="62">
        <v>148.05395593390085</v>
      </c>
      <c r="U235" s="62">
        <v>151.14171256885328</v>
      </c>
      <c r="V235" s="62">
        <v>155.04631947921885</v>
      </c>
      <c r="W235" s="62">
        <v>159.10490736104157</v>
      </c>
      <c r="X235" s="62">
        <v>163.30620931397095</v>
      </c>
      <c r="Y235" s="62">
        <v>167.68778167250878</v>
      </c>
      <c r="Z235" s="62">
        <v>171.33512769153731</v>
      </c>
      <c r="AA235" s="62">
        <v>174.60360056923378</v>
      </c>
      <c r="AB235" s="62">
        <v>178.02129280867703</v>
      </c>
      <c r="AC235" s="62">
        <v>181.54538108034888</v>
      </c>
      <c r="AD235" s="62">
        <v>185.18318739055891</v>
      </c>
      <c r="AE235" s="62">
        <v>188.94203374572206</v>
      </c>
      <c r="AF235" s="62">
        <v>192.82924215793952</v>
      </c>
      <c r="AG235" s="62">
        <v>196.85213462967351</v>
      </c>
      <c r="AH235" s="62">
        <v>201.01803317927698</v>
      </c>
      <c r="AI235" s="62">
        <v>205.33425980370657</v>
      </c>
      <c r="AJ235" s="62">
        <v>209.80813652498938</v>
      </c>
    </row>
    <row r="236" spans="1:36" x14ac:dyDescent="0.25">
      <c r="A236" s="58" t="s">
        <v>17</v>
      </c>
      <c r="B236" s="59" t="s">
        <v>18</v>
      </c>
      <c r="C236" s="60" t="s">
        <v>115</v>
      </c>
      <c r="D236" s="61" t="s">
        <v>30</v>
      </c>
      <c r="E236" s="50" t="s">
        <v>512</v>
      </c>
      <c r="F236" s="50">
        <v>6.2634002819996471E-5</v>
      </c>
      <c r="G236" s="50">
        <v>8.1644205438592671E-5</v>
      </c>
      <c r="H236" s="63" t="s">
        <v>511</v>
      </c>
      <c r="I236" s="62">
        <v>14.571612854063703</v>
      </c>
      <c r="J236" s="62">
        <v>14.986936927129825</v>
      </c>
      <c r="K236" s="62">
        <v>15.346008142648756</v>
      </c>
      <c r="L236" s="62">
        <v>15.766802377479262</v>
      </c>
      <c r="M236" s="62">
        <v>16.193638283512225</v>
      </c>
      <c r="N236" s="62">
        <v>16.627577235418343</v>
      </c>
      <c r="O236" s="62">
        <v>17.068782521608501</v>
      </c>
      <c r="P236" s="62">
        <v>17.442223117284623</v>
      </c>
      <c r="Q236" s="62">
        <v>17.895266813263373</v>
      </c>
      <c r="R236" s="62">
        <v>18.356883150813175</v>
      </c>
      <c r="S236" s="62">
        <v>18.593324769763342</v>
      </c>
      <c r="T236" s="62">
        <v>19.311385556595763</v>
      </c>
      <c r="U236" s="62">
        <v>19.714136422024342</v>
      </c>
      <c r="V236" s="62">
        <v>20.223432975550281</v>
      </c>
      <c r="W236" s="62">
        <v>20.752814003614116</v>
      </c>
      <c r="X236" s="62">
        <v>21.300809910517952</v>
      </c>
      <c r="Y236" s="62">
        <v>21.8723193485881</v>
      </c>
      <c r="Z236" s="62">
        <v>22.348060133678779</v>
      </c>
      <c r="AA236" s="62">
        <v>22.774382682943536</v>
      </c>
      <c r="AB236" s="62">
        <v>23.220168627218744</v>
      </c>
      <c r="AC236" s="62">
        <v>23.679832314828115</v>
      </c>
      <c r="AD236" s="62">
        <v>24.154328790072899</v>
      </c>
      <c r="AE236" s="62">
        <v>24.644613097268092</v>
      </c>
      <c r="AF236" s="62">
        <v>25.151640281470371</v>
      </c>
      <c r="AG236" s="62">
        <v>25.676365386479151</v>
      </c>
      <c r="AH236" s="62">
        <v>26.219743458166562</v>
      </c>
      <c r="AI236" s="62">
        <v>26.782729539613896</v>
      </c>
      <c r="AJ236" s="62">
        <v>27.366278677172527</v>
      </c>
    </row>
    <row r="237" spans="1:36" x14ac:dyDescent="0.25">
      <c r="A237" s="58" t="s">
        <v>17</v>
      </c>
      <c r="B237" s="59" t="s">
        <v>18</v>
      </c>
      <c r="C237" s="60" t="s">
        <v>115</v>
      </c>
      <c r="D237" s="61" t="s">
        <v>30</v>
      </c>
      <c r="E237" s="50" t="s">
        <v>317</v>
      </c>
      <c r="F237" s="50">
        <v>1.1983972539559326E-3</v>
      </c>
      <c r="G237" s="50">
        <v>1.5621257973917398E-3</v>
      </c>
      <c r="H237" s="63" t="s">
        <v>316</v>
      </c>
      <c r="I237" s="62">
        <v>278.80352594108552</v>
      </c>
      <c r="J237" s="62">
        <v>286.75005987241735</v>
      </c>
      <c r="K237" s="62">
        <v>293.62028912934619</v>
      </c>
      <c r="L237" s="62">
        <v>301.67148548910325</v>
      </c>
      <c r="M237" s="62">
        <v>309.83827915786725</v>
      </c>
      <c r="N237" s="62">
        <v>318.14097777100432</v>
      </c>
      <c r="O237" s="62">
        <v>326.58270558010929</v>
      </c>
      <c r="P237" s="62">
        <v>333.7278689773791</v>
      </c>
      <c r="Q237" s="62">
        <v>342.39610502710588</v>
      </c>
      <c r="R237" s="62">
        <v>351.22836428555877</v>
      </c>
      <c r="S237" s="62">
        <v>355.75228059480526</v>
      </c>
      <c r="T237" s="62">
        <v>369.49117698286562</v>
      </c>
      <c r="U237" s="62">
        <v>377.19714354139904</v>
      </c>
      <c r="V237" s="62">
        <v>386.94168426552875</v>
      </c>
      <c r="W237" s="62">
        <v>397.07050793581675</v>
      </c>
      <c r="X237" s="62">
        <v>407.55549628791016</v>
      </c>
      <c r="Y237" s="62">
        <v>418.49037686965232</v>
      </c>
      <c r="Z237" s="62">
        <v>427.59288389105399</v>
      </c>
      <c r="AA237" s="62">
        <v>435.74985533365299</v>
      </c>
      <c r="AB237" s="62">
        <v>444.27922640078532</v>
      </c>
      <c r="AC237" s="62">
        <v>453.0741249570446</v>
      </c>
      <c r="AD237" s="62">
        <v>462.15282418339484</v>
      </c>
      <c r="AE237" s="62">
        <v>471.53359726106282</v>
      </c>
      <c r="AF237" s="62">
        <v>481.23471738546641</v>
      </c>
      <c r="AG237" s="62">
        <v>491.27445772796779</v>
      </c>
      <c r="AH237" s="62">
        <v>501.67109149958685</v>
      </c>
      <c r="AI237" s="62">
        <v>512.44289185794594</v>
      </c>
      <c r="AJ237" s="62">
        <v>523.60813202323436</v>
      </c>
    </row>
    <row r="238" spans="1:36" x14ac:dyDescent="0.25">
      <c r="A238" s="58" t="s">
        <v>17</v>
      </c>
      <c r="B238" s="59" t="s">
        <v>18</v>
      </c>
      <c r="C238" s="60" t="s">
        <v>115</v>
      </c>
      <c r="D238" s="61" t="s">
        <v>30</v>
      </c>
      <c r="E238" s="50" t="s">
        <v>182</v>
      </c>
      <c r="F238" s="50">
        <v>2.4218481090398637E-4</v>
      </c>
      <c r="G238" s="50">
        <v>3.1569092769589166E-4</v>
      </c>
      <c r="H238" s="63" t="s">
        <v>107</v>
      </c>
      <c r="I238" s="62">
        <v>56.343569702379654</v>
      </c>
      <c r="J238" s="62">
        <v>57.94948945156866</v>
      </c>
      <c r="K238" s="62">
        <v>59.337898151575189</v>
      </c>
      <c r="L238" s="62">
        <v>60.964969192919817</v>
      </c>
      <c r="M238" s="62">
        <v>62.615401362913936</v>
      </c>
      <c r="N238" s="62">
        <v>64.293298643617604</v>
      </c>
      <c r="O238" s="62">
        <v>65.999292416886192</v>
      </c>
      <c r="P238" s="62">
        <v>67.443262720167212</v>
      </c>
      <c r="Q238" s="62">
        <v>69.195031677951704</v>
      </c>
      <c r="R238" s="62">
        <v>70.979948183144273</v>
      </c>
      <c r="S238" s="62">
        <v>71.894189109751579</v>
      </c>
      <c r="T238" s="62">
        <v>74.670690818836945</v>
      </c>
      <c r="U238" s="62">
        <v>76.22799416516078</v>
      </c>
      <c r="V238" s="62">
        <v>78.197274172127749</v>
      </c>
      <c r="W238" s="62">
        <v>80.244214147307915</v>
      </c>
      <c r="X238" s="62">
        <v>82.363131654002743</v>
      </c>
      <c r="Y238" s="62">
        <v>84.572968147873979</v>
      </c>
      <c r="Z238" s="62">
        <v>86.412499183557941</v>
      </c>
      <c r="AA238" s="62">
        <v>88.060946374048328</v>
      </c>
      <c r="AB238" s="62">
        <v>89.784652025245805</v>
      </c>
      <c r="AC238" s="62">
        <v>91.562018284002036</v>
      </c>
      <c r="AD238" s="62">
        <v>93.396737988281885</v>
      </c>
      <c r="AE238" s="62">
        <v>95.292503976103291</v>
      </c>
      <c r="AF238" s="62">
        <v>97.253009088352101</v>
      </c>
      <c r="AG238" s="62">
        <v>99.28194616105273</v>
      </c>
      <c r="AH238" s="62">
        <v>101.38300803824403</v>
      </c>
      <c r="AI238" s="62">
        <v>103.55988755317374</v>
      </c>
      <c r="AJ238" s="62">
        <v>105.81627755173376</v>
      </c>
    </row>
    <row r="239" spans="1:36" x14ac:dyDescent="0.25">
      <c r="A239" s="58" t="s">
        <v>17</v>
      </c>
      <c r="B239" s="59" t="s">
        <v>18</v>
      </c>
      <c r="C239" s="60" t="s">
        <v>115</v>
      </c>
      <c r="D239" s="61" t="s">
        <v>30</v>
      </c>
      <c r="E239" s="50" t="s">
        <v>394</v>
      </c>
      <c r="F239" s="50">
        <v>9.3115884192394751E-4</v>
      </c>
      <c r="G239" s="50">
        <v>1.213777187520411E-3</v>
      </c>
      <c r="H239" s="63" t="s">
        <v>393</v>
      </c>
      <c r="I239" s="62">
        <v>216.63131109708038</v>
      </c>
      <c r="J239" s="62">
        <v>222.80579564999672</v>
      </c>
      <c r="K239" s="62">
        <v>228.14398772071149</v>
      </c>
      <c r="L239" s="62">
        <v>234.39979534519168</v>
      </c>
      <c r="M239" s="62">
        <v>240.74542248154839</v>
      </c>
      <c r="N239" s="62">
        <v>247.19664823321938</v>
      </c>
      <c r="O239" s="62">
        <v>253.75590015457968</v>
      </c>
      <c r="P239" s="62">
        <v>259.30771701029806</v>
      </c>
      <c r="Q239" s="62">
        <v>266.04296662384877</v>
      </c>
      <c r="R239" s="62">
        <v>272.90566284208921</v>
      </c>
      <c r="S239" s="62">
        <v>276.42076157714831</v>
      </c>
      <c r="T239" s="62">
        <v>287.09593194139035</v>
      </c>
      <c r="U239" s="62">
        <v>293.08349480742851</v>
      </c>
      <c r="V239" s="62">
        <v>300.65503690318081</v>
      </c>
      <c r="W239" s="62">
        <v>308.52516818706317</v>
      </c>
      <c r="X239" s="62">
        <v>316.67204066970015</v>
      </c>
      <c r="Y239" s="62">
        <v>325.16848098234306</v>
      </c>
      <c r="Z239" s="62">
        <v>332.2411606540245</v>
      </c>
      <c r="AA239" s="62">
        <v>338.5791558864272</v>
      </c>
      <c r="AB239" s="62">
        <v>345.20650692465193</v>
      </c>
      <c r="AC239" s="62">
        <v>352.04017374711128</v>
      </c>
      <c r="AD239" s="62">
        <v>359.09435467908372</v>
      </c>
      <c r="AE239" s="62">
        <v>366.38324804605224</v>
      </c>
      <c r="AF239" s="62">
        <v>373.92105218452616</v>
      </c>
      <c r="AG239" s="62">
        <v>381.72196541232336</v>
      </c>
      <c r="AH239" s="62">
        <v>389.80018607807619</v>
      </c>
      <c r="AI239" s="62">
        <v>398.16991248892657</v>
      </c>
      <c r="AJ239" s="62">
        <v>406.84534300063154</v>
      </c>
    </row>
    <row r="240" spans="1:36" x14ac:dyDescent="0.25">
      <c r="A240" s="58" t="s">
        <v>17</v>
      </c>
      <c r="B240" s="59" t="s">
        <v>18</v>
      </c>
      <c r="C240" s="60" t="s">
        <v>115</v>
      </c>
      <c r="D240" s="61" t="s">
        <v>30</v>
      </c>
      <c r="E240" s="50" t="s">
        <v>518</v>
      </c>
      <c r="F240" s="50">
        <v>4.4261361992797507E-4</v>
      </c>
      <c r="G240" s="50">
        <v>5.7695238509938818E-4</v>
      </c>
      <c r="H240" s="63" t="s">
        <v>517</v>
      </c>
      <c r="I240" s="62">
        <v>102.9727308353835</v>
      </c>
      <c r="J240" s="62">
        <v>105.90768761838409</v>
      </c>
      <c r="K240" s="62">
        <v>108.4451242080512</v>
      </c>
      <c r="L240" s="62">
        <v>111.41873680085345</v>
      </c>
      <c r="M240" s="62">
        <v>114.43504387015305</v>
      </c>
      <c r="N240" s="62">
        <v>117.50154579695629</v>
      </c>
      <c r="O240" s="62">
        <v>120.61939648603339</v>
      </c>
      <c r="P240" s="62">
        <v>123.25837669547799</v>
      </c>
      <c r="Q240" s="62">
        <v>126.4598854803945</v>
      </c>
      <c r="R240" s="62">
        <v>129.72197426574644</v>
      </c>
      <c r="S240" s="62">
        <v>131.39282837299427</v>
      </c>
      <c r="T240" s="62">
        <v>136.46712459994339</v>
      </c>
      <c r="U240" s="62">
        <v>139.31323071563867</v>
      </c>
      <c r="V240" s="62">
        <v>142.91225969388864</v>
      </c>
      <c r="W240" s="62">
        <v>146.65321895887308</v>
      </c>
      <c r="X240" s="62">
        <v>150.52572336766019</v>
      </c>
      <c r="Y240" s="62">
        <v>154.56439006335589</v>
      </c>
      <c r="Z240" s="62">
        <v>157.92629161133004</v>
      </c>
      <c r="AA240" s="62">
        <v>160.93897095946764</v>
      </c>
      <c r="AB240" s="62">
        <v>164.08919163234577</v>
      </c>
      <c r="AC240" s="62">
        <v>167.33748169145198</v>
      </c>
      <c r="AD240" s="62">
        <v>170.69059011651515</v>
      </c>
      <c r="AE240" s="62">
        <v>174.15526588736117</v>
      </c>
      <c r="AF240" s="62">
        <v>177.73825798905727</v>
      </c>
      <c r="AG240" s="62">
        <v>181.44631539778601</v>
      </c>
      <c r="AH240" s="62">
        <v>185.28618710437703</v>
      </c>
      <c r="AI240" s="62">
        <v>189.26462207993819</v>
      </c>
      <c r="AJ240" s="62">
        <v>193.38836931868585</v>
      </c>
    </row>
  </sheetData>
  <autoFilter ref="A1:AJ240" xr:uid="{6BBF9FB4-30ED-474D-83BD-E1DB2B6E937D}">
    <sortState xmlns:xlrd2="http://schemas.microsoft.com/office/spreadsheetml/2017/richdata2" ref="A2:AJ240">
      <sortCondition ref="H1:H240"/>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4CF60-56F4-481C-896B-60701DEA7924}">
  <sheetPr>
    <tabColor rgb="FF9900CC"/>
  </sheetPr>
  <dimension ref="A1:AG240"/>
  <sheetViews>
    <sheetView workbookViewId="0">
      <selection activeCell="O17" sqref="O17"/>
    </sheetView>
  </sheetViews>
  <sheetFormatPr defaultRowHeight="15" x14ac:dyDescent="0.25"/>
  <cols>
    <col min="1" max="1" width="12.28515625" bestFit="1" customWidth="1"/>
    <col min="2" max="2" width="8.42578125" bestFit="1" customWidth="1"/>
    <col min="3" max="3" width="18.5703125" bestFit="1" customWidth="1"/>
    <col min="4" max="4" width="27.85546875" bestFit="1" customWidth="1"/>
    <col min="5" max="5" width="16.28515625" bestFit="1" customWidth="1"/>
    <col min="6" max="6" width="12.85546875" bestFit="1" customWidth="1"/>
    <col min="7" max="33" width="6.85546875" customWidth="1"/>
  </cols>
  <sheetData>
    <row r="1" spans="1:33" x14ac:dyDescent="0.25">
      <c r="A1" s="274" t="s">
        <v>60</v>
      </c>
      <c r="B1" s="274" t="s">
        <v>61</v>
      </c>
      <c r="C1" s="274" t="s">
        <v>62</v>
      </c>
      <c r="D1" s="274" t="s">
        <v>63</v>
      </c>
      <c r="E1" s="274" t="s">
        <v>64</v>
      </c>
      <c r="F1" s="275" t="s">
        <v>65</v>
      </c>
      <c r="G1" s="276">
        <v>2024</v>
      </c>
      <c r="H1" s="276">
        <v>2025</v>
      </c>
      <c r="I1" s="276">
        <v>2026</v>
      </c>
      <c r="J1" s="276">
        <v>2027</v>
      </c>
      <c r="K1" s="276">
        <v>2028</v>
      </c>
      <c r="L1" s="276">
        <v>2029</v>
      </c>
      <c r="M1" s="276">
        <v>2030</v>
      </c>
      <c r="N1" s="276">
        <v>2031</v>
      </c>
      <c r="O1" s="276">
        <v>2032</v>
      </c>
      <c r="P1" s="276">
        <v>2033</v>
      </c>
      <c r="Q1" s="276">
        <v>2034</v>
      </c>
      <c r="R1" s="276">
        <v>2035</v>
      </c>
      <c r="S1" s="276">
        <v>2036</v>
      </c>
      <c r="T1" s="276">
        <v>2037</v>
      </c>
      <c r="U1" s="276">
        <v>2038</v>
      </c>
      <c r="V1" s="276">
        <v>2039</v>
      </c>
      <c r="W1" s="276">
        <v>2040</v>
      </c>
      <c r="X1" s="276">
        <v>2041</v>
      </c>
      <c r="Y1" s="276">
        <v>2042</v>
      </c>
      <c r="Z1" s="276">
        <v>2043</v>
      </c>
      <c r="AA1" s="276">
        <v>2044</v>
      </c>
      <c r="AB1" s="276">
        <v>2045</v>
      </c>
      <c r="AC1" s="276">
        <v>2046</v>
      </c>
      <c r="AD1" s="276">
        <v>2047</v>
      </c>
      <c r="AE1" s="276">
        <v>2048</v>
      </c>
      <c r="AF1" s="276">
        <v>2049</v>
      </c>
      <c r="AG1" s="276">
        <v>2050</v>
      </c>
    </row>
    <row r="2" spans="1:33" x14ac:dyDescent="0.25">
      <c r="A2" s="277" t="s">
        <v>30</v>
      </c>
      <c r="B2" s="277" t="s">
        <v>18</v>
      </c>
      <c r="C2" s="277" t="s">
        <v>115</v>
      </c>
      <c r="D2" s="277" t="s">
        <v>211</v>
      </c>
      <c r="E2" s="277" t="s">
        <v>17</v>
      </c>
      <c r="F2" s="278" t="s">
        <v>212</v>
      </c>
      <c r="G2" s="279">
        <v>5.2204802556396741</v>
      </c>
      <c r="H2" s="279">
        <v>5.2204802556396741</v>
      </c>
      <c r="I2" s="279">
        <v>5.2204802556396741</v>
      </c>
      <c r="J2" s="279">
        <v>5.2204802556396741</v>
      </c>
      <c r="K2" s="279">
        <v>5.2204802556396741</v>
      </c>
      <c r="L2" s="279">
        <v>5.2204802556396741</v>
      </c>
      <c r="M2" s="279">
        <v>5.2204802556396741</v>
      </c>
      <c r="N2" s="279">
        <v>5.2204802556396741</v>
      </c>
      <c r="O2" s="279">
        <v>5.2204802556396741</v>
      </c>
      <c r="P2" s="279">
        <v>5.2204802556396741</v>
      </c>
      <c r="Q2" s="279">
        <v>5.2204802556396741</v>
      </c>
      <c r="R2" s="279">
        <v>5.2204802556396741</v>
      </c>
      <c r="S2" s="279">
        <v>5.2204802556396741</v>
      </c>
      <c r="T2" s="279">
        <v>5.2204802556396741</v>
      </c>
      <c r="U2" s="279">
        <v>5.2204802556396741</v>
      </c>
      <c r="V2" s="279">
        <v>5.2204802556396741</v>
      </c>
      <c r="W2" s="279">
        <v>5.2204802556396741</v>
      </c>
      <c r="X2" s="279">
        <v>5.2204802556396741</v>
      </c>
      <c r="Y2" s="279">
        <v>5.2204802556396741</v>
      </c>
      <c r="Z2" s="279">
        <v>5.2204802556396741</v>
      </c>
      <c r="AA2" s="279">
        <v>5.2204802556396741</v>
      </c>
      <c r="AB2" s="279">
        <v>5.2204802556396741</v>
      </c>
      <c r="AC2" s="279">
        <v>5.2204802556396741</v>
      </c>
      <c r="AD2" s="279">
        <v>5.2204802556396741</v>
      </c>
      <c r="AE2" s="279">
        <v>5.2204802556396741</v>
      </c>
      <c r="AF2" s="279">
        <v>5.2204802556396741</v>
      </c>
      <c r="AG2" s="279">
        <v>5.2204802556396741</v>
      </c>
    </row>
    <row r="3" spans="1:33" x14ac:dyDescent="0.25">
      <c r="A3" s="277" t="s">
        <v>30</v>
      </c>
      <c r="B3" s="277" t="s">
        <v>18</v>
      </c>
      <c r="C3" s="277" t="s">
        <v>115</v>
      </c>
      <c r="D3" s="277" t="s">
        <v>238</v>
      </c>
      <c r="E3" s="277" t="s">
        <v>17</v>
      </c>
      <c r="F3" s="278" t="s">
        <v>239</v>
      </c>
      <c r="G3" s="279">
        <v>0.23631803626352438</v>
      </c>
      <c r="H3" s="279">
        <v>0.23631803626352438</v>
      </c>
      <c r="I3" s="279">
        <v>0.23631803626352438</v>
      </c>
      <c r="J3" s="279">
        <v>0.23631803626352438</v>
      </c>
      <c r="K3" s="279">
        <v>0.23631803626352438</v>
      </c>
      <c r="L3" s="279">
        <v>0.23631803626352438</v>
      </c>
      <c r="M3" s="279">
        <v>0.23631803626352438</v>
      </c>
      <c r="N3" s="279">
        <v>0.23631803626352438</v>
      </c>
      <c r="O3" s="279">
        <v>0.23631803626352438</v>
      </c>
      <c r="P3" s="279">
        <v>0.23631803626352438</v>
      </c>
      <c r="Q3" s="279">
        <v>0.23631803626352438</v>
      </c>
      <c r="R3" s="279">
        <v>0.23631803626352438</v>
      </c>
      <c r="S3" s="279">
        <v>0.23631803626352438</v>
      </c>
      <c r="T3" s="279">
        <v>0.23631803626352438</v>
      </c>
      <c r="U3" s="279">
        <v>0.23631803626352438</v>
      </c>
      <c r="V3" s="279">
        <v>0.23631803626352438</v>
      </c>
      <c r="W3" s="279">
        <v>0.23631803626352438</v>
      </c>
      <c r="X3" s="279">
        <v>0.23631803626352438</v>
      </c>
      <c r="Y3" s="279">
        <v>0.23631803626352438</v>
      </c>
      <c r="Z3" s="279">
        <v>0.23631803626352438</v>
      </c>
      <c r="AA3" s="279">
        <v>0.23631803626352438</v>
      </c>
      <c r="AB3" s="279">
        <v>0.23631803626352438</v>
      </c>
      <c r="AC3" s="279">
        <v>0.23631803626352438</v>
      </c>
      <c r="AD3" s="279">
        <v>0.23631803626352438</v>
      </c>
      <c r="AE3" s="279">
        <v>0.23631803626352438</v>
      </c>
      <c r="AF3" s="279">
        <v>0.23631803626352438</v>
      </c>
      <c r="AG3" s="279">
        <v>0.23631803626352438</v>
      </c>
    </row>
    <row r="4" spans="1:33" x14ac:dyDescent="0.25">
      <c r="A4" s="277" t="s">
        <v>30</v>
      </c>
      <c r="B4" s="277" t="s">
        <v>18</v>
      </c>
      <c r="C4" s="277" t="s">
        <v>115</v>
      </c>
      <c r="D4" s="277" t="s">
        <v>301</v>
      </c>
      <c r="E4" s="277" t="s">
        <v>17</v>
      </c>
      <c r="F4" s="278" t="s">
        <v>302</v>
      </c>
      <c r="G4" s="279">
        <v>0.94527214505409751</v>
      </c>
      <c r="H4" s="279">
        <v>0.94527214505409751</v>
      </c>
      <c r="I4" s="279">
        <v>0.94527214505409751</v>
      </c>
      <c r="J4" s="279">
        <v>0.94527214505409751</v>
      </c>
      <c r="K4" s="279">
        <v>0.94527214505409751</v>
      </c>
      <c r="L4" s="279">
        <v>0.94527214505409751</v>
      </c>
      <c r="M4" s="279">
        <v>0.94527214505409751</v>
      </c>
      <c r="N4" s="279">
        <v>0.94527214505409751</v>
      </c>
      <c r="O4" s="279">
        <v>0.94527214505409751</v>
      </c>
      <c r="P4" s="279">
        <v>0.94527214505409751</v>
      </c>
      <c r="Q4" s="279">
        <v>0.94527214505409751</v>
      </c>
      <c r="R4" s="279">
        <v>0.94527214505409751</v>
      </c>
      <c r="S4" s="279">
        <v>0.94527214505409751</v>
      </c>
      <c r="T4" s="279">
        <v>0.94527214505409751</v>
      </c>
      <c r="U4" s="279">
        <v>0.94527214505409751</v>
      </c>
      <c r="V4" s="279">
        <v>0.94527214505409751</v>
      </c>
      <c r="W4" s="279">
        <v>0.94527214505409751</v>
      </c>
      <c r="X4" s="279">
        <v>0.94527214505409751</v>
      </c>
      <c r="Y4" s="279">
        <v>0.94527214505409751</v>
      </c>
      <c r="Z4" s="279">
        <v>0.94527214505409751</v>
      </c>
      <c r="AA4" s="279">
        <v>0.94527214505409751</v>
      </c>
      <c r="AB4" s="279">
        <v>0.94527214505409751</v>
      </c>
      <c r="AC4" s="279">
        <v>0.94527214505409751</v>
      </c>
      <c r="AD4" s="279">
        <v>0.94527214505409751</v>
      </c>
      <c r="AE4" s="279">
        <v>0.94527214505409751</v>
      </c>
      <c r="AF4" s="279">
        <v>0.94527214505409751</v>
      </c>
      <c r="AG4" s="279">
        <v>0.94527214505409751</v>
      </c>
    </row>
    <row r="5" spans="1:33" x14ac:dyDescent="0.25">
      <c r="A5" s="280" t="s">
        <v>30</v>
      </c>
      <c r="B5" s="280" t="s">
        <v>18</v>
      </c>
      <c r="C5" s="280" t="s">
        <v>115</v>
      </c>
      <c r="D5" s="280" t="s">
        <v>35</v>
      </c>
      <c r="E5" s="280" t="s">
        <v>17</v>
      </c>
      <c r="F5" s="280" t="s">
        <v>486</v>
      </c>
      <c r="G5" s="280">
        <v>254.79381000776357</v>
      </c>
      <c r="H5" s="280">
        <v>254.79381000776357</v>
      </c>
      <c r="I5" s="280">
        <v>254.79381000776357</v>
      </c>
      <c r="J5" s="280">
        <v>254.79381000776357</v>
      </c>
      <c r="K5" s="280">
        <v>254.79381000776357</v>
      </c>
      <c r="L5" s="280">
        <v>254.79381000776357</v>
      </c>
      <c r="M5" s="280">
        <v>254.79381000776357</v>
      </c>
      <c r="N5" s="280">
        <v>254.79381000776357</v>
      </c>
      <c r="O5" s="280">
        <v>254.79381000776357</v>
      </c>
      <c r="P5" s="280">
        <v>254.79381000776357</v>
      </c>
      <c r="Q5" s="280">
        <v>254.79381000776357</v>
      </c>
      <c r="R5" s="280">
        <v>254.79381000776357</v>
      </c>
      <c r="S5" s="280">
        <v>254.79381000776357</v>
      </c>
      <c r="T5" s="280">
        <v>254.79381000776357</v>
      </c>
      <c r="U5" s="280">
        <v>254.79381000776357</v>
      </c>
      <c r="V5" s="280">
        <v>254.79381000776357</v>
      </c>
      <c r="W5" s="280">
        <v>254.79381000776357</v>
      </c>
      <c r="X5" s="280">
        <v>254.79381000776357</v>
      </c>
      <c r="Y5" s="280">
        <v>254.79381000776357</v>
      </c>
      <c r="Z5" s="280">
        <v>254.79381000776357</v>
      </c>
      <c r="AA5" s="280">
        <v>254.79381000776357</v>
      </c>
      <c r="AB5" s="280">
        <v>254.79381000776357</v>
      </c>
      <c r="AC5" s="280">
        <v>254.79381000776357</v>
      </c>
      <c r="AD5" s="280">
        <v>254.79381000776357</v>
      </c>
      <c r="AE5" s="280">
        <v>254.79381000776357</v>
      </c>
      <c r="AF5" s="280">
        <v>254.79381000776357</v>
      </c>
      <c r="AG5" s="280">
        <v>254.79381000776357</v>
      </c>
    </row>
    <row r="6" spans="1:33" x14ac:dyDescent="0.25">
      <c r="A6" s="277" t="s">
        <v>30</v>
      </c>
      <c r="B6" s="277" t="s">
        <v>18</v>
      </c>
      <c r="C6" s="277" t="s">
        <v>115</v>
      </c>
      <c r="D6" s="277" t="s">
        <v>40</v>
      </c>
      <c r="E6" s="277" t="s">
        <v>17</v>
      </c>
      <c r="F6" s="278" t="s">
        <v>148</v>
      </c>
      <c r="G6" s="279">
        <v>51.839583773080385</v>
      </c>
      <c r="H6" s="279">
        <v>51.839583773080385</v>
      </c>
      <c r="I6" s="279">
        <v>51.839583773080385</v>
      </c>
      <c r="J6" s="279">
        <v>51.839583773080385</v>
      </c>
      <c r="K6" s="279">
        <v>51.839583773080385</v>
      </c>
      <c r="L6" s="279">
        <v>51.839583773080385</v>
      </c>
      <c r="M6" s="279">
        <v>51.839583773080385</v>
      </c>
      <c r="N6" s="279">
        <v>51.839583773080385</v>
      </c>
      <c r="O6" s="279">
        <v>51.839583773080385</v>
      </c>
      <c r="P6" s="279">
        <v>51.839583773080385</v>
      </c>
      <c r="Q6" s="279">
        <v>51.839583773080385</v>
      </c>
      <c r="R6" s="279">
        <v>51.839583773080385</v>
      </c>
      <c r="S6" s="279">
        <v>51.839583773080385</v>
      </c>
      <c r="T6" s="279">
        <v>51.839583773080385</v>
      </c>
      <c r="U6" s="279">
        <v>51.839583773080385</v>
      </c>
      <c r="V6" s="279">
        <v>51.839583773080385</v>
      </c>
      <c r="W6" s="279">
        <v>51.839583773080385</v>
      </c>
      <c r="X6" s="279">
        <v>51.839583773080385</v>
      </c>
      <c r="Y6" s="279">
        <v>51.839583773080385</v>
      </c>
      <c r="Z6" s="279">
        <v>51.839583773080385</v>
      </c>
      <c r="AA6" s="279">
        <v>51.839583773080385</v>
      </c>
      <c r="AB6" s="279">
        <v>51.839583773080385</v>
      </c>
      <c r="AC6" s="279">
        <v>51.839583773080385</v>
      </c>
      <c r="AD6" s="279">
        <v>51.839583773080385</v>
      </c>
      <c r="AE6" s="279">
        <v>51.839583773080385</v>
      </c>
      <c r="AF6" s="279">
        <v>51.839583773080385</v>
      </c>
      <c r="AG6" s="279">
        <v>51.839583773080385</v>
      </c>
    </row>
    <row r="7" spans="1:33" x14ac:dyDescent="0.25">
      <c r="A7" s="277" t="s">
        <v>30</v>
      </c>
      <c r="B7" s="277" t="s">
        <v>18</v>
      </c>
      <c r="C7" s="277" t="s">
        <v>115</v>
      </c>
      <c r="D7" s="277" t="s">
        <v>299</v>
      </c>
      <c r="E7" s="277" t="s">
        <v>17</v>
      </c>
      <c r="F7" s="278" t="s">
        <v>300</v>
      </c>
      <c r="G7" s="279">
        <v>3.4373532547421721</v>
      </c>
      <c r="H7" s="279">
        <v>3.4373532547421721</v>
      </c>
      <c r="I7" s="279">
        <v>3.4373532547421721</v>
      </c>
      <c r="J7" s="279">
        <v>3.4373532547421721</v>
      </c>
      <c r="K7" s="279">
        <v>3.4373532547421721</v>
      </c>
      <c r="L7" s="279">
        <v>3.4373532547421721</v>
      </c>
      <c r="M7" s="279">
        <v>3.4373532547421721</v>
      </c>
      <c r="N7" s="279">
        <v>3.4373532547421721</v>
      </c>
      <c r="O7" s="279">
        <v>3.4373532547421721</v>
      </c>
      <c r="P7" s="279">
        <v>3.4373532547421721</v>
      </c>
      <c r="Q7" s="279">
        <v>3.4373532547421721</v>
      </c>
      <c r="R7" s="279">
        <v>3.4373532547421721</v>
      </c>
      <c r="S7" s="279">
        <v>3.4373532547421721</v>
      </c>
      <c r="T7" s="279">
        <v>3.4373532547421721</v>
      </c>
      <c r="U7" s="279">
        <v>3.4373532547421721</v>
      </c>
      <c r="V7" s="279">
        <v>3.4373532547421721</v>
      </c>
      <c r="W7" s="279">
        <v>3.4373532547421721</v>
      </c>
      <c r="X7" s="279">
        <v>3.4373532547421721</v>
      </c>
      <c r="Y7" s="279">
        <v>3.4373532547421721</v>
      </c>
      <c r="Z7" s="279">
        <v>3.4373532547421721</v>
      </c>
      <c r="AA7" s="279">
        <v>3.4373532547421721</v>
      </c>
      <c r="AB7" s="279">
        <v>3.4373532547421721</v>
      </c>
      <c r="AC7" s="279">
        <v>3.4373532547421721</v>
      </c>
      <c r="AD7" s="279">
        <v>3.4373532547421721</v>
      </c>
      <c r="AE7" s="279">
        <v>3.4373532547421721</v>
      </c>
      <c r="AF7" s="279">
        <v>3.4373532547421721</v>
      </c>
      <c r="AG7" s="279">
        <v>3.4373532547421721</v>
      </c>
    </row>
    <row r="8" spans="1:33" x14ac:dyDescent="0.25">
      <c r="A8" s="277" t="s">
        <v>30</v>
      </c>
      <c r="B8" s="277" t="s">
        <v>18</v>
      </c>
      <c r="C8" s="277" t="s">
        <v>115</v>
      </c>
      <c r="D8" s="277" t="s">
        <v>118</v>
      </c>
      <c r="E8" s="277" t="s">
        <v>17</v>
      </c>
      <c r="F8" s="278" t="s">
        <v>119</v>
      </c>
      <c r="G8" s="279">
        <v>17.251216647237278</v>
      </c>
      <c r="H8" s="279">
        <v>17.251216647237278</v>
      </c>
      <c r="I8" s="279">
        <v>17.251216647237278</v>
      </c>
      <c r="J8" s="279">
        <v>17.251216647237278</v>
      </c>
      <c r="K8" s="279">
        <v>17.251216647237278</v>
      </c>
      <c r="L8" s="279">
        <v>17.251216647237278</v>
      </c>
      <c r="M8" s="279">
        <v>17.251216647237278</v>
      </c>
      <c r="N8" s="279">
        <v>17.251216647237278</v>
      </c>
      <c r="O8" s="279">
        <v>17.251216647237278</v>
      </c>
      <c r="P8" s="279">
        <v>17.251216647237278</v>
      </c>
      <c r="Q8" s="279">
        <v>17.251216647237278</v>
      </c>
      <c r="R8" s="279">
        <v>17.251216647237278</v>
      </c>
      <c r="S8" s="279">
        <v>17.251216647237278</v>
      </c>
      <c r="T8" s="279">
        <v>17.251216647237278</v>
      </c>
      <c r="U8" s="279">
        <v>17.251216647237278</v>
      </c>
      <c r="V8" s="279">
        <v>17.251216647237278</v>
      </c>
      <c r="W8" s="279">
        <v>17.251216647237278</v>
      </c>
      <c r="X8" s="279">
        <v>17.251216647237278</v>
      </c>
      <c r="Y8" s="279">
        <v>17.251216647237278</v>
      </c>
      <c r="Z8" s="279">
        <v>17.251216647237278</v>
      </c>
      <c r="AA8" s="279">
        <v>17.251216647237278</v>
      </c>
      <c r="AB8" s="279">
        <v>17.251216647237278</v>
      </c>
      <c r="AC8" s="279">
        <v>17.251216647237278</v>
      </c>
      <c r="AD8" s="279">
        <v>17.251216647237278</v>
      </c>
      <c r="AE8" s="279">
        <v>17.251216647237278</v>
      </c>
      <c r="AF8" s="279">
        <v>17.251216647237278</v>
      </c>
      <c r="AG8" s="279">
        <v>17.251216647237278</v>
      </c>
    </row>
    <row r="9" spans="1:33" x14ac:dyDescent="0.25">
      <c r="A9" s="277" t="s">
        <v>30</v>
      </c>
      <c r="B9" s="277" t="s">
        <v>18</v>
      </c>
      <c r="C9" s="277" t="s">
        <v>115</v>
      </c>
      <c r="D9" s="277" t="s">
        <v>111</v>
      </c>
      <c r="E9" s="277" t="s">
        <v>17</v>
      </c>
      <c r="F9" s="278" t="s">
        <v>240</v>
      </c>
      <c r="G9" s="279">
        <v>4.4900426890069625</v>
      </c>
      <c r="H9" s="279">
        <v>4.4900426890069625</v>
      </c>
      <c r="I9" s="279">
        <v>4.4900426890069625</v>
      </c>
      <c r="J9" s="279">
        <v>4.4900426890069625</v>
      </c>
      <c r="K9" s="279">
        <v>4.4900426890069625</v>
      </c>
      <c r="L9" s="279">
        <v>4.4900426890069625</v>
      </c>
      <c r="M9" s="279">
        <v>4.4900426890069625</v>
      </c>
      <c r="N9" s="279">
        <v>4.4900426890069625</v>
      </c>
      <c r="O9" s="279">
        <v>4.4900426890069625</v>
      </c>
      <c r="P9" s="279">
        <v>4.4900426890069625</v>
      </c>
      <c r="Q9" s="279">
        <v>4.4900426890069625</v>
      </c>
      <c r="R9" s="279">
        <v>4.4900426890069625</v>
      </c>
      <c r="S9" s="279">
        <v>4.4900426890069625</v>
      </c>
      <c r="T9" s="279">
        <v>4.4900426890069625</v>
      </c>
      <c r="U9" s="279">
        <v>4.4900426890069625</v>
      </c>
      <c r="V9" s="279">
        <v>4.4900426890069625</v>
      </c>
      <c r="W9" s="279">
        <v>4.4900426890069625</v>
      </c>
      <c r="X9" s="279">
        <v>4.4900426890069625</v>
      </c>
      <c r="Y9" s="279">
        <v>4.4900426890069625</v>
      </c>
      <c r="Z9" s="279">
        <v>4.4900426890069625</v>
      </c>
      <c r="AA9" s="279">
        <v>4.4900426890069625</v>
      </c>
      <c r="AB9" s="279">
        <v>4.4900426890069625</v>
      </c>
      <c r="AC9" s="279">
        <v>4.4900426890069625</v>
      </c>
      <c r="AD9" s="279">
        <v>4.4900426890069625</v>
      </c>
      <c r="AE9" s="279">
        <v>4.4900426890069625</v>
      </c>
      <c r="AF9" s="279">
        <v>4.4900426890069625</v>
      </c>
      <c r="AG9" s="279">
        <v>4.4900426890069625</v>
      </c>
    </row>
    <row r="10" spans="1:33" x14ac:dyDescent="0.25">
      <c r="A10" s="277" t="s">
        <v>30</v>
      </c>
      <c r="B10" s="277" t="s">
        <v>18</v>
      </c>
      <c r="C10" s="277" t="s">
        <v>115</v>
      </c>
      <c r="D10" s="277" t="s">
        <v>129</v>
      </c>
      <c r="E10" s="277" t="s">
        <v>17</v>
      </c>
      <c r="F10" s="278" t="s">
        <v>130</v>
      </c>
      <c r="G10" s="279">
        <v>3.9744397007956369</v>
      </c>
      <c r="H10" s="279">
        <v>3.9744397007956369</v>
      </c>
      <c r="I10" s="279">
        <v>3.9744397007956369</v>
      </c>
      <c r="J10" s="279">
        <v>3.9744397007956369</v>
      </c>
      <c r="K10" s="279">
        <v>3.9744397007956369</v>
      </c>
      <c r="L10" s="279">
        <v>3.9744397007956369</v>
      </c>
      <c r="M10" s="279">
        <v>3.9744397007956369</v>
      </c>
      <c r="N10" s="279">
        <v>3.9744397007956369</v>
      </c>
      <c r="O10" s="279">
        <v>3.9744397007956369</v>
      </c>
      <c r="P10" s="279">
        <v>3.9744397007956369</v>
      </c>
      <c r="Q10" s="279">
        <v>3.9744397007956369</v>
      </c>
      <c r="R10" s="279">
        <v>3.9744397007956369</v>
      </c>
      <c r="S10" s="279">
        <v>3.9744397007956369</v>
      </c>
      <c r="T10" s="279">
        <v>3.9744397007956369</v>
      </c>
      <c r="U10" s="279">
        <v>3.9744397007956369</v>
      </c>
      <c r="V10" s="279">
        <v>3.9744397007956369</v>
      </c>
      <c r="W10" s="279">
        <v>3.9744397007956369</v>
      </c>
      <c r="X10" s="279">
        <v>3.9744397007956369</v>
      </c>
      <c r="Y10" s="279">
        <v>3.9744397007956369</v>
      </c>
      <c r="Z10" s="279">
        <v>3.9744397007956369</v>
      </c>
      <c r="AA10" s="279">
        <v>3.9744397007956369</v>
      </c>
      <c r="AB10" s="279">
        <v>3.9744397007956369</v>
      </c>
      <c r="AC10" s="279">
        <v>3.9744397007956369</v>
      </c>
      <c r="AD10" s="279">
        <v>3.9744397007956369</v>
      </c>
      <c r="AE10" s="279">
        <v>3.9744397007956369</v>
      </c>
      <c r="AF10" s="279">
        <v>3.9744397007956369</v>
      </c>
      <c r="AG10" s="279">
        <v>3.9744397007956369</v>
      </c>
    </row>
    <row r="11" spans="1:33" x14ac:dyDescent="0.25">
      <c r="A11" s="280" t="s">
        <v>30</v>
      </c>
      <c r="B11" s="280" t="s">
        <v>18</v>
      </c>
      <c r="C11" s="280" t="s">
        <v>115</v>
      </c>
      <c r="D11" s="280" t="s">
        <v>55</v>
      </c>
      <c r="E11" s="280" t="s">
        <v>17</v>
      </c>
      <c r="F11" s="280" t="s">
        <v>457</v>
      </c>
      <c r="G11" s="280">
        <v>4.2537246527434389</v>
      </c>
      <c r="H11" s="280">
        <v>4.2537246527434389</v>
      </c>
      <c r="I11" s="280">
        <v>4.2537246527434389</v>
      </c>
      <c r="J11" s="280">
        <v>4.2537246527434389</v>
      </c>
      <c r="K11" s="280">
        <v>4.2537246527434389</v>
      </c>
      <c r="L11" s="280">
        <v>4.2537246527434389</v>
      </c>
      <c r="M11" s="280">
        <v>4.2537246527434389</v>
      </c>
      <c r="N11" s="280">
        <v>4.2537246527434389</v>
      </c>
      <c r="O11" s="280">
        <v>4.2537246527434389</v>
      </c>
      <c r="P11" s="280">
        <v>4.2537246527434389</v>
      </c>
      <c r="Q11" s="280">
        <v>4.2537246527434389</v>
      </c>
      <c r="R11" s="280">
        <v>4.2537246527434389</v>
      </c>
      <c r="S11" s="280">
        <v>4.2537246527434389</v>
      </c>
      <c r="T11" s="280">
        <v>4.2537246527434389</v>
      </c>
      <c r="U11" s="280">
        <v>4.2537246527434389</v>
      </c>
      <c r="V11" s="280">
        <v>4.2537246527434389</v>
      </c>
      <c r="W11" s="280">
        <v>4.2537246527434389</v>
      </c>
      <c r="X11" s="280">
        <v>4.2537246527434389</v>
      </c>
      <c r="Y11" s="280">
        <v>4.2537246527434389</v>
      </c>
      <c r="Z11" s="280">
        <v>4.2537246527434389</v>
      </c>
      <c r="AA11" s="280">
        <v>4.2537246527434389</v>
      </c>
      <c r="AB11" s="280">
        <v>4.2537246527434389</v>
      </c>
      <c r="AC11" s="280">
        <v>4.2537246527434389</v>
      </c>
      <c r="AD11" s="280">
        <v>4.2537246527434389</v>
      </c>
      <c r="AE11" s="280">
        <v>4.2537246527434389</v>
      </c>
      <c r="AF11" s="280">
        <v>4.2537246527434389</v>
      </c>
      <c r="AG11" s="280">
        <v>4.2537246527434389</v>
      </c>
    </row>
    <row r="12" spans="1:33" x14ac:dyDescent="0.25">
      <c r="A12" s="280" t="s">
        <v>30</v>
      </c>
      <c r="B12" s="280" t="s">
        <v>18</v>
      </c>
      <c r="C12" s="280" t="s">
        <v>115</v>
      </c>
      <c r="D12" s="280" t="s">
        <v>57</v>
      </c>
      <c r="E12" s="280" t="s">
        <v>17</v>
      </c>
      <c r="F12" s="280" t="s">
        <v>461</v>
      </c>
      <c r="G12" s="280">
        <v>229.98041620009349</v>
      </c>
      <c r="H12" s="280">
        <v>229.98041620009349</v>
      </c>
      <c r="I12" s="280">
        <v>229.98041620009349</v>
      </c>
      <c r="J12" s="280">
        <v>229.98041620009349</v>
      </c>
      <c r="K12" s="280">
        <v>229.98041620009349</v>
      </c>
      <c r="L12" s="280">
        <v>229.98041620009349</v>
      </c>
      <c r="M12" s="280">
        <v>229.98041620009349</v>
      </c>
      <c r="N12" s="280">
        <v>229.98041620009349</v>
      </c>
      <c r="O12" s="280">
        <v>229.98041620009349</v>
      </c>
      <c r="P12" s="280">
        <v>229.98041620009349</v>
      </c>
      <c r="Q12" s="280">
        <v>229.98041620009349</v>
      </c>
      <c r="R12" s="280">
        <v>229.98041620009349</v>
      </c>
      <c r="S12" s="280">
        <v>229.98041620009349</v>
      </c>
      <c r="T12" s="280">
        <v>229.98041620009349</v>
      </c>
      <c r="U12" s="280">
        <v>229.98041620009349</v>
      </c>
      <c r="V12" s="280">
        <v>229.98041620009349</v>
      </c>
      <c r="W12" s="280">
        <v>229.98041620009349</v>
      </c>
      <c r="X12" s="280">
        <v>229.98041620009349</v>
      </c>
      <c r="Y12" s="280">
        <v>229.98041620009349</v>
      </c>
      <c r="Z12" s="280">
        <v>229.98041620009349</v>
      </c>
      <c r="AA12" s="280">
        <v>229.98041620009349</v>
      </c>
      <c r="AB12" s="280">
        <v>229.98041620009349</v>
      </c>
      <c r="AC12" s="280">
        <v>229.98041620009349</v>
      </c>
      <c r="AD12" s="280">
        <v>229.98041620009349</v>
      </c>
      <c r="AE12" s="280">
        <v>229.98041620009349</v>
      </c>
      <c r="AF12" s="280">
        <v>229.98041620009349</v>
      </c>
      <c r="AG12" s="280">
        <v>229.98041620009349</v>
      </c>
    </row>
    <row r="13" spans="1:33" x14ac:dyDescent="0.25">
      <c r="A13" s="277" t="s">
        <v>30</v>
      </c>
      <c r="B13" s="277" t="s">
        <v>18</v>
      </c>
      <c r="C13" s="277" t="s">
        <v>115</v>
      </c>
      <c r="D13" s="277" t="s">
        <v>82</v>
      </c>
      <c r="E13" s="277" t="s">
        <v>17</v>
      </c>
      <c r="F13" s="278" t="s">
        <v>140</v>
      </c>
      <c r="G13" s="279">
        <v>81.766040547179429</v>
      </c>
      <c r="H13" s="279">
        <v>81.766040547179429</v>
      </c>
      <c r="I13" s="279">
        <v>81.766040547179429</v>
      </c>
      <c r="J13" s="279">
        <v>81.766040547179429</v>
      </c>
      <c r="K13" s="279">
        <v>81.766040547179429</v>
      </c>
      <c r="L13" s="279">
        <v>81.766040547179429</v>
      </c>
      <c r="M13" s="279">
        <v>81.766040547179429</v>
      </c>
      <c r="N13" s="279">
        <v>81.766040547179429</v>
      </c>
      <c r="O13" s="279">
        <v>81.766040547179429</v>
      </c>
      <c r="P13" s="279">
        <v>81.766040547179429</v>
      </c>
      <c r="Q13" s="279">
        <v>81.766040547179429</v>
      </c>
      <c r="R13" s="279">
        <v>81.766040547179429</v>
      </c>
      <c r="S13" s="279">
        <v>81.766040547179429</v>
      </c>
      <c r="T13" s="279">
        <v>81.766040547179429</v>
      </c>
      <c r="U13" s="279">
        <v>81.766040547179429</v>
      </c>
      <c r="V13" s="279">
        <v>81.766040547179429</v>
      </c>
      <c r="W13" s="279">
        <v>81.766040547179429</v>
      </c>
      <c r="X13" s="279">
        <v>81.766040547179429</v>
      </c>
      <c r="Y13" s="279">
        <v>81.766040547179429</v>
      </c>
      <c r="Z13" s="279">
        <v>81.766040547179429</v>
      </c>
      <c r="AA13" s="279">
        <v>81.766040547179429</v>
      </c>
      <c r="AB13" s="279">
        <v>81.766040547179429</v>
      </c>
      <c r="AC13" s="279">
        <v>81.766040547179429</v>
      </c>
      <c r="AD13" s="279">
        <v>81.766040547179429</v>
      </c>
      <c r="AE13" s="279">
        <v>81.766040547179429</v>
      </c>
      <c r="AF13" s="279">
        <v>81.766040547179429</v>
      </c>
      <c r="AG13" s="279">
        <v>81.766040547179429</v>
      </c>
    </row>
    <row r="14" spans="1:33" x14ac:dyDescent="0.25">
      <c r="A14" s="280" t="s">
        <v>30</v>
      </c>
      <c r="B14" s="280" t="s">
        <v>18</v>
      </c>
      <c r="C14" s="280" t="s">
        <v>115</v>
      </c>
      <c r="D14" s="280" t="s">
        <v>376</v>
      </c>
      <c r="E14" s="280" t="s">
        <v>17</v>
      </c>
      <c r="F14" s="280" t="s">
        <v>377</v>
      </c>
      <c r="G14" s="280">
        <v>1.3534578440547305</v>
      </c>
      <c r="H14" s="280">
        <v>1.3534578440547305</v>
      </c>
      <c r="I14" s="280">
        <v>1.3534578440547305</v>
      </c>
      <c r="J14" s="280">
        <v>1.3534578440547305</v>
      </c>
      <c r="K14" s="280">
        <v>1.3534578440547305</v>
      </c>
      <c r="L14" s="280">
        <v>1.3534578440547305</v>
      </c>
      <c r="M14" s="280">
        <v>1.3534578440547305</v>
      </c>
      <c r="N14" s="280">
        <v>1.3534578440547305</v>
      </c>
      <c r="O14" s="280">
        <v>1.3534578440547305</v>
      </c>
      <c r="P14" s="280">
        <v>1.3534578440547305</v>
      </c>
      <c r="Q14" s="280">
        <v>1.3534578440547305</v>
      </c>
      <c r="R14" s="280">
        <v>1.3534578440547305</v>
      </c>
      <c r="S14" s="280">
        <v>1.3534578440547305</v>
      </c>
      <c r="T14" s="280">
        <v>1.3534578440547305</v>
      </c>
      <c r="U14" s="280">
        <v>1.3534578440547305</v>
      </c>
      <c r="V14" s="280">
        <v>1.3534578440547305</v>
      </c>
      <c r="W14" s="280">
        <v>1.3534578440547305</v>
      </c>
      <c r="X14" s="280">
        <v>1.3534578440547305</v>
      </c>
      <c r="Y14" s="280">
        <v>1.3534578440547305</v>
      </c>
      <c r="Z14" s="280">
        <v>1.3534578440547305</v>
      </c>
      <c r="AA14" s="280">
        <v>1.3534578440547305</v>
      </c>
      <c r="AB14" s="280">
        <v>1.3534578440547305</v>
      </c>
      <c r="AC14" s="280">
        <v>1.3534578440547305</v>
      </c>
      <c r="AD14" s="280">
        <v>1.3534578440547305</v>
      </c>
      <c r="AE14" s="280">
        <v>1.3534578440547305</v>
      </c>
      <c r="AF14" s="280">
        <v>1.3534578440547305</v>
      </c>
      <c r="AG14" s="280">
        <v>1.3534578440547305</v>
      </c>
    </row>
    <row r="15" spans="1:33" x14ac:dyDescent="0.25">
      <c r="A15" s="280" t="s">
        <v>30</v>
      </c>
      <c r="B15" s="280" t="s">
        <v>18</v>
      </c>
      <c r="C15" s="280" t="s">
        <v>115</v>
      </c>
      <c r="D15" s="280" t="s">
        <v>84</v>
      </c>
      <c r="E15" s="280" t="s">
        <v>17</v>
      </c>
      <c r="F15" s="280" t="s">
        <v>507</v>
      </c>
      <c r="G15" s="280">
        <v>12.267054427861128</v>
      </c>
      <c r="H15" s="280">
        <v>12.267054427861128</v>
      </c>
      <c r="I15" s="280">
        <v>12.267054427861128</v>
      </c>
      <c r="J15" s="280">
        <v>12.267054427861128</v>
      </c>
      <c r="K15" s="280">
        <v>12.267054427861128</v>
      </c>
      <c r="L15" s="280">
        <v>12.267054427861128</v>
      </c>
      <c r="M15" s="280">
        <v>12.267054427861128</v>
      </c>
      <c r="N15" s="280">
        <v>12.267054427861128</v>
      </c>
      <c r="O15" s="280">
        <v>12.267054427861128</v>
      </c>
      <c r="P15" s="280">
        <v>12.267054427861128</v>
      </c>
      <c r="Q15" s="280">
        <v>12.267054427861128</v>
      </c>
      <c r="R15" s="280">
        <v>12.267054427861128</v>
      </c>
      <c r="S15" s="280">
        <v>12.267054427861128</v>
      </c>
      <c r="T15" s="280">
        <v>12.267054427861128</v>
      </c>
      <c r="U15" s="280">
        <v>12.267054427861128</v>
      </c>
      <c r="V15" s="280">
        <v>12.267054427861128</v>
      </c>
      <c r="W15" s="280">
        <v>12.267054427861128</v>
      </c>
      <c r="X15" s="280">
        <v>12.267054427861128</v>
      </c>
      <c r="Y15" s="280">
        <v>12.267054427861128</v>
      </c>
      <c r="Z15" s="280">
        <v>12.267054427861128</v>
      </c>
      <c r="AA15" s="280">
        <v>12.267054427861128</v>
      </c>
      <c r="AB15" s="280">
        <v>12.267054427861128</v>
      </c>
      <c r="AC15" s="280">
        <v>12.267054427861128</v>
      </c>
      <c r="AD15" s="280">
        <v>12.267054427861128</v>
      </c>
      <c r="AE15" s="280">
        <v>12.267054427861128</v>
      </c>
      <c r="AF15" s="280">
        <v>12.267054427861128</v>
      </c>
      <c r="AG15" s="280">
        <v>12.267054427861128</v>
      </c>
    </row>
    <row r="16" spans="1:33" x14ac:dyDescent="0.25">
      <c r="A16" s="277" t="s">
        <v>30</v>
      </c>
      <c r="B16" s="277" t="s">
        <v>18</v>
      </c>
      <c r="C16" s="277" t="s">
        <v>115</v>
      </c>
      <c r="D16" s="277" t="s">
        <v>43</v>
      </c>
      <c r="E16" s="277" t="s">
        <v>17</v>
      </c>
      <c r="F16" s="278" t="s">
        <v>175</v>
      </c>
      <c r="G16" s="279">
        <v>97.921600844467619</v>
      </c>
      <c r="H16" s="279">
        <v>97.921600844467619</v>
      </c>
      <c r="I16" s="279">
        <v>97.921600844467619</v>
      </c>
      <c r="J16" s="279">
        <v>97.921600844467619</v>
      </c>
      <c r="K16" s="279">
        <v>97.921600844467619</v>
      </c>
      <c r="L16" s="279">
        <v>97.921600844467619</v>
      </c>
      <c r="M16" s="279">
        <v>97.921600844467619</v>
      </c>
      <c r="N16" s="279">
        <v>97.921600844467619</v>
      </c>
      <c r="O16" s="279">
        <v>97.921600844467619</v>
      </c>
      <c r="P16" s="279">
        <v>97.921600844467619</v>
      </c>
      <c r="Q16" s="279">
        <v>97.921600844467619</v>
      </c>
      <c r="R16" s="279">
        <v>97.921600844467619</v>
      </c>
      <c r="S16" s="279">
        <v>97.921600844467619</v>
      </c>
      <c r="T16" s="279">
        <v>97.921600844467619</v>
      </c>
      <c r="U16" s="279">
        <v>97.921600844467619</v>
      </c>
      <c r="V16" s="279">
        <v>97.921600844467619</v>
      </c>
      <c r="W16" s="279">
        <v>97.921600844467619</v>
      </c>
      <c r="X16" s="279">
        <v>97.921600844467619</v>
      </c>
      <c r="Y16" s="279">
        <v>97.921600844467619</v>
      </c>
      <c r="Z16" s="279">
        <v>97.921600844467619</v>
      </c>
      <c r="AA16" s="279">
        <v>97.921600844467619</v>
      </c>
      <c r="AB16" s="279">
        <v>97.921600844467619</v>
      </c>
      <c r="AC16" s="279">
        <v>97.921600844467619</v>
      </c>
      <c r="AD16" s="279">
        <v>97.921600844467619</v>
      </c>
      <c r="AE16" s="279">
        <v>97.921600844467619</v>
      </c>
      <c r="AF16" s="279">
        <v>97.921600844467619</v>
      </c>
      <c r="AG16" s="279">
        <v>97.921600844467619</v>
      </c>
    </row>
    <row r="17" spans="1:33" x14ac:dyDescent="0.25">
      <c r="A17" s="277" t="s">
        <v>30</v>
      </c>
      <c r="B17" s="277" t="s">
        <v>18</v>
      </c>
      <c r="C17" s="277" t="s">
        <v>115</v>
      </c>
      <c r="D17" s="277" t="s">
        <v>338</v>
      </c>
      <c r="E17" s="277" t="s">
        <v>17</v>
      </c>
      <c r="F17" s="278" t="s">
        <v>339</v>
      </c>
      <c r="G17" s="279">
        <v>30.721344714258166</v>
      </c>
      <c r="H17" s="279">
        <v>30.721344714258166</v>
      </c>
      <c r="I17" s="279">
        <v>30.721344714258166</v>
      </c>
      <c r="J17" s="279">
        <v>30.721344714258166</v>
      </c>
      <c r="K17" s="279">
        <v>30.721344714258166</v>
      </c>
      <c r="L17" s="279">
        <v>30.721344714258166</v>
      </c>
      <c r="M17" s="279">
        <v>30.721344714258166</v>
      </c>
      <c r="N17" s="279">
        <v>30.721344714258166</v>
      </c>
      <c r="O17" s="279">
        <v>30.721344714258166</v>
      </c>
      <c r="P17" s="279">
        <v>30.721344714258166</v>
      </c>
      <c r="Q17" s="279">
        <v>30.721344714258166</v>
      </c>
      <c r="R17" s="279">
        <v>30.721344714258166</v>
      </c>
      <c r="S17" s="279">
        <v>30.721344714258166</v>
      </c>
      <c r="T17" s="279">
        <v>30.721344714258166</v>
      </c>
      <c r="U17" s="279">
        <v>30.721344714258166</v>
      </c>
      <c r="V17" s="279">
        <v>30.721344714258166</v>
      </c>
      <c r="W17" s="279">
        <v>30.721344714258166</v>
      </c>
      <c r="X17" s="279">
        <v>30.721344714258166</v>
      </c>
      <c r="Y17" s="279">
        <v>30.721344714258166</v>
      </c>
      <c r="Z17" s="279">
        <v>30.721344714258166</v>
      </c>
      <c r="AA17" s="279">
        <v>30.721344714258166</v>
      </c>
      <c r="AB17" s="279">
        <v>30.721344714258166</v>
      </c>
      <c r="AC17" s="279">
        <v>30.721344714258166</v>
      </c>
      <c r="AD17" s="279">
        <v>30.721344714258166</v>
      </c>
      <c r="AE17" s="279">
        <v>30.721344714258166</v>
      </c>
      <c r="AF17" s="279">
        <v>30.721344714258166</v>
      </c>
      <c r="AG17" s="279">
        <v>30.721344714258166</v>
      </c>
    </row>
    <row r="18" spans="1:33" x14ac:dyDescent="0.25">
      <c r="A18" s="280" t="s">
        <v>30</v>
      </c>
      <c r="B18" s="280" t="s">
        <v>18</v>
      </c>
      <c r="C18" s="280" t="s">
        <v>115</v>
      </c>
      <c r="D18" s="280" t="s">
        <v>352</v>
      </c>
      <c r="E18" s="280" t="s">
        <v>17</v>
      </c>
      <c r="F18" s="280" t="s">
        <v>353</v>
      </c>
      <c r="G18" s="280">
        <v>2.7069156881094609</v>
      </c>
      <c r="H18" s="280">
        <v>2.7069156881094609</v>
      </c>
      <c r="I18" s="280">
        <v>2.7069156881094609</v>
      </c>
      <c r="J18" s="280">
        <v>2.7069156881094609</v>
      </c>
      <c r="K18" s="280">
        <v>2.7069156881094609</v>
      </c>
      <c r="L18" s="280">
        <v>2.7069156881094609</v>
      </c>
      <c r="M18" s="280">
        <v>2.7069156881094609</v>
      </c>
      <c r="N18" s="280">
        <v>2.7069156881094609</v>
      </c>
      <c r="O18" s="280">
        <v>2.7069156881094609</v>
      </c>
      <c r="P18" s="280">
        <v>2.7069156881094609</v>
      </c>
      <c r="Q18" s="280">
        <v>2.7069156881094609</v>
      </c>
      <c r="R18" s="280">
        <v>2.7069156881094609</v>
      </c>
      <c r="S18" s="280">
        <v>2.7069156881094609</v>
      </c>
      <c r="T18" s="280">
        <v>2.7069156881094609</v>
      </c>
      <c r="U18" s="280">
        <v>2.7069156881094609</v>
      </c>
      <c r="V18" s="280">
        <v>2.7069156881094609</v>
      </c>
      <c r="W18" s="280">
        <v>2.7069156881094609</v>
      </c>
      <c r="X18" s="280">
        <v>2.7069156881094609</v>
      </c>
      <c r="Y18" s="280">
        <v>2.7069156881094609</v>
      </c>
      <c r="Z18" s="280">
        <v>2.7069156881094609</v>
      </c>
      <c r="AA18" s="280">
        <v>2.7069156881094609</v>
      </c>
      <c r="AB18" s="280">
        <v>2.7069156881094609</v>
      </c>
      <c r="AC18" s="280">
        <v>2.7069156881094609</v>
      </c>
      <c r="AD18" s="280">
        <v>2.7069156881094609</v>
      </c>
      <c r="AE18" s="280">
        <v>2.7069156881094609</v>
      </c>
      <c r="AF18" s="280">
        <v>2.7069156881094609</v>
      </c>
      <c r="AG18" s="280">
        <v>2.7069156881094609</v>
      </c>
    </row>
    <row r="19" spans="1:33" x14ac:dyDescent="0.25">
      <c r="A19" s="280" t="s">
        <v>30</v>
      </c>
      <c r="B19" s="280" t="s">
        <v>18</v>
      </c>
      <c r="C19" s="280" t="s">
        <v>115</v>
      </c>
      <c r="D19" s="280" t="s">
        <v>482</v>
      </c>
      <c r="E19" s="280" t="s">
        <v>17</v>
      </c>
      <c r="F19" s="280" t="s">
        <v>483</v>
      </c>
      <c r="G19" s="280">
        <v>8.5933831368554314E-2</v>
      </c>
      <c r="H19" s="280">
        <v>8.5933831368554314E-2</v>
      </c>
      <c r="I19" s="280">
        <v>8.5933831368554314E-2</v>
      </c>
      <c r="J19" s="280">
        <v>8.5933831368554314E-2</v>
      </c>
      <c r="K19" s="280">
        <v>8.5933831368554314E-2</v>
      </c>
      <c r="L19" s="280">
        <v>8.5933831368554314E-2</v>
      </c>
      <c r="M19" s="280">
        <v>8.5933831368554314E-2</v>
      </c>
      <c r="N19" s="280">
        <v>8.5933831368554314E-2</v>
      </c>
      <c r="O19" s="280">
        <v>8.5933831368554314E-2</v>
      </c>
      <c r="P19" s="280">
        <v>8.5933831368554314E-2</v>
      </c>
      <c r="Q19" s="280">
        <v>8.5933831368554314E-2</v>
      </c>
      <c r="R19" s="280">
        <v>8.5933831368554314E-2</v>
      </c>
      <c r="S19" s="280">
        <v>8.5933831368554314E-2</v>
      </c>
      <c r="T19" s="280">
        <v>8.5933831368554314E-2</v>
      </c>
      <c r="U19" s="280">
        <v>8.5933831368554314E-2</v>
      </c>
      <c r="V19" s="280">
        <v>8.5933831368554314E-2</v>
      </c>
      <c r="W19" s="280">
        <v>8.5933831368554314E-2</v>
      </c>
      <c r="X19" s="280">
        <v>8.5933831368554314E-2</v>
      </c>
      <c r="Y19" s="280">
        <v>8.5933831368554314E-2</v>
      </c>
      <c r="Z19" s="280">
        <v>8.5933831368554314E-2</v>
      </c>
      <c r="AA19" s="280">
        <v>8.5933831368554314E-2</v>
      </c>
      <c r="AB19" s="280">
        <v>8.5933831368554314E-2</v>
      </c>
      <c r="AC19" s="280">
        <v>8.5933831368554314E-2</v>
      </c>
      <c r="AD19" s="280">
        <v>8.5933831368554314E-2</v>
      </c>
      <c r="AE19" s="280">
        <v>8.5933831368554314E-2</v>
      </c>
      <c r="AF19" s="280">
        <v>8.5933831368554314E-2</v>
      </c>
      <c r="AG19" s="280">
        <v>8.5933831368554314E-2</v>
      </c>
    </row>
    <row r="20" spans="1:33" x14ac:dyDescent="0.25">
      <c r="A20" s="277" t="s">
        <v>30</v>
      </c>
      <c r="B20" s="277" t="s">
        <v>18</v>
      </c>
      <c r="C20" s="277" t="s">
        <v>115</v>
      </c>
      <c r="D20" s="277" t="s">
        <v>112</v>
      </c>
      <c r="E20" s="277" t="s">
        <v>17</v>
      </c>
      <c r="F20" s="278" t="s">
        <v>260</v>
      </c>
      <c r="G20" s="279">
        <v>27.412892206568831</v>
      </c>
      <c r="H20" s="279">
        <v>27.412892206568831</v>
      </c>
      <c r="I20" s="279">
        <v>27.412892206568831</v>
      </c>
      <c r="J20" s="279">
        <v>27.412892206568831</v>
      </c>
      <c r="K20" s="279">
        <v>27.412892206568831</v>
      </c>
      <c r="L20" s="279">
        <v>27.412892206568831</v>
      </c>
      <c r="M20" s="279">
        <v>27.412892206568831</v>
      </c>
      <c r="N20" s="279">
        <v>27.412892206568831</v>
      </c>
      <c r="O20" s="279">
        <v>27.412892206568831</v>
      </c>
      <c r="P20" s="279">
        <v>27.412892206568831</v>
      </c>
      <c r="Q20" s="279">
        <v>27.412892206568831</v>
      </c>
      <c r="R20" s="279">
        <v>27.412892206568831</v>
      </c>
      <c r="S20" s="279">
        <v>27.412892206568831</v>
      </c>
      <c r="T20" s="279">
        <v>27.412892206568831</v>
      </c>
      <c r="U20" s="279">
        <v>27.412892206568831</v>
      </c>
      <c r="V20" s="279">
        <v>27.412892206568831</v>
      </c>
      <c r="W20" s="279">
        <v>27.412892206568831</v>
      </c>
      <c r="X20" s="279">
        <v>27.412892206568831</v>
      </c>
      <c r="Y20" s="279">
        <v>27.412892206568831</v>
      </c>
      <c r="Z20" s="279">
        <v>27.412892206568831</v>
      </c>
      <c r="AA20" s="279">
        <v>27.412892206568831</v>
      </c>
      <c r="AB20" s="279">
        <v>27.412892206568831</v>
      </c>
      <c r="AC20" s="279">
        <v>27.412892206568831</v>
      </c>
      <c r="AD20" s="279">
        <v>27.412892206568831</v>
      </c>
      <c r="AE20" s="279">
        <v>27.412892206568831</v>
      </c>
      <c r="AF20" s="279">
        <v>27.412892206568831</v>
      </c>
      <c r="AG20" s="279">
        <v>27.412892206568831</v>
      </c>
    </row>
    <row r="21" spans="1:33" x14ac:dyDescent="0.25">
      <c r="A21" s="277" t="s">
        <v>30</v>
      </c>
      <c r="B21" s="277" t="s">
        <v>18</v>
      </c>
      <c r="C21" s="277" t="s">
        <v>115</v>
      </c>
      <c r="D21" s="277" t="s">
        <v>242</v>
      </c>
      <c r="E21" s="277" t="s">
        <v>17</v>
      </c>
      <c r="F21" s="278" t="s">
        <v>243</v>
      </c>
      <c r="G21" s="279">
        <v>0.64450373526415727</v>
      </c>
      <c r="H21" s="279">
        <v>0.64450373526415727</v>
      </c>
      <c r="I21" s="279">
        <v>0.64450373526415727</v>
      </c>
      <c r="J21" s="279">
        <v>0.64450373526415727</v>
      </c>
      <c r="K21" s="279">
        <v>0.64450373526415727</v>
      </c>
      <c r="L21" s="279">
        <v>0.64450373526415727</v>
      </c>
      <c r="M21" s="279">
        <v>0.64450373526415727</v>
      </c>
      <c r="N21" s="279">
        <v>0.64450373526415727</v>
      </c>
      <c r="O21" s="279">
        <v>0.64450373526415727</v>
      </c>
      <c r="P21" s="279">
        <v>0.64450373526415727</v>
      </c>
      <c r="Q21" s="279">
        <v>0.64450373526415727</v>
      </c>
      <c r="R21" s="279">
        <v>0.64450373526415727</v>
      </c>
      <c r="S21" s="279">
        <v>0.64450373526415727</v>
      </c>
      <c r="T21" s="279">
        <v>0.64450373526415727</v>
      </c>
      <c r="U21" s="279">
        <v>0.64450373526415727</v>
      </c>
      <c r="V21" s="279">
        <v>0.64450373526415727</v>
      </c>
      <c r="W21" s="279">
        <v>0.64450373526415727</v>
      </c>
      <c r="X21" s="279">
        <v>0.64450373526415727</v>
      </c>
      <c r="Y21" s="279">
        <v>0.64450373526415727</v>
      </c>
      <c r="Z21" s="279">
        <v>0.64450373526415727</v>
      </c>
      <c r="AA21" s="279">
        <v>0.64450373526415727</v>
      </c>
      <c r="AB21" s="279">
        <v>0.64450373526415727</v>
      </c>
      <c r="AC21" s="279">
        <v>0.64450373526415727</v>
      </c>
      <c r="AD21" s="279">
        <v>0.64450373526415727</v>
      </c>
      <c r="AE21" s="279">
        <v>0.64450373526415727</v>
      </c>
      <c r="AF21" s="279">
        <v>0.64450373526415727</v>
      </c>
      <c r="AG21" s="279">
        <v>0.64450373526415727</v>
      </c>
    </row>
    <row r="22" spans="1:33" x14ac:dyDescent="0.25">
      <c r="A22" s="277" t="s">
        <v>30</v>
      </c>
      <c r="B22" s="277" t="s">
        <v>18</v>
      </c>
      <c r="C22" s="277" t="s">
        <v>115</v>
      </c>
      <c r="D22" s="277" t="s">
        <v>100</v>
      </c>
      <c r="E22" s="277" t="s">
        <v>17</v>
      </c>
      <c r="F22" s="278" t="s">
        <v>131</v>
      </c>
      <c r="G22" s="279">
        <v>0.42966915684277152</v>
      </c>
      <c r="H22" s="279">
        <v>0.42966915684277152</v>
      </c>
      <c r="I22" s="279">
        <v>0.42966915684277152</v>
      </c>
      <c r="J22" s="279">
        <v>0.42966915684277152</v>
      </c>
      <c r="K22" s="279">
        <v>0.42966915684277152</v>
      </c>
      <c r="L22" s="279">
        <v>0.42966915684277152</v>
      </c>
      <c r="M22" s="279">
        <v>0.42966915684277152</v>
      </c>
      <c r="N22" s="279">
        <v>0.42966915684277152</v>
      </c>
      <c r="O22" s="279">
        <v>0.42966915684277152</v>
      </c>
      <c r="P22" s="279">
        <v>0.42966915684277152</v>
      </c>
      <c r="Q22" s="279">
        <v>0.42966915684277152</v>
      </c>
      <c r="R22" s="279">
        <v>0.42966915684277152</v>
      </c>
      <c r="S22" s="279">
        <v>0.42966915684277152</v>
      </c>
      <c r="T22" s="279">
        <v>0.42966915684277152</v>
      </c>
      <c r="U22" s="279">
        <v>0.42966915684277152</v>
      </c>
      <c r="V22" s="279">
        <v>0.42966915684277152</v>
      </c>
      <c r="W22" s="279">
        <v>0.42966915684277152</v>
      </c>
      <c r="X22" s="279">
        <v>0.42966915684277152</v>
      </c>
      <c r="Y22" s="279">
        <v>0.42966915684277152</v>
      </c>
      <c r="Z22" s="279">
        <v>0.42966915684277152</v>
      </c>
      <c r="AA22" s="279">
        <v>0.42966915684277152</v>
      </c>
      <c r="AB22" s="279">
        <v>0.42966915684277152</v>
      </c>
      <c r="AC22" s="279">
        <v>0.42966915684277152</v>
      </c>
      <c r="AD22" s="279">
        <v>0.42966915684277152</v>
      </c>
      <c r="AE22" s="279">
        <v>0.42966915684277152</v>
      </c>
      <c r="AF22" s="279">
        <v>0.42966915684277152</v>
      </c>
      <c r="AG22" s="279">
        <v>0.42966915684277152</v>
      </c>
    </row>
    <row r="23" spans="1:33" x14ac:dyDescent="0.25">
      <c r="A23" s="277" t="s">
        <v>30</v>
      </c>
      <c r="B23" s="277" t="s">
        <v>18</v>
      </c>
      <c r="C23" s="277" t="s">
        <v>115</v>
      </c>
      <c r="D23" s="277" t="s">
        <v>95</v>
      </c>
      <c r="E23" s="277" t="s">
        <v>17</v>
      </c>
      <c r="F23" s="278" t="s">
        <v>333</v>
      </c>
      <c r="G23" s="279">
        <v>5.1775133399553974</v>
      </c>
      <c r="H23" s="279">
        <v>5.1775133399553974</v>
      </c>
      <c r="I23" s="279">
        <v>5.1775133399553974</v>
      </c>
      <c r="J23" s="279">
        <v>5.1775133399553974</v>
      </c>
      <c r="K23" s="279">
        <v>5.1775133399553974</v>
      </c>
      <c r="L23" s="279">
        <v>5.1775133399553974</v>
      </c>
      <c r="M23" s="279">
        <v>5.1775133399553974</v>
      </c>
      <c r="N23" s="279">
        <v>5.1775133399553974</v>
      </c>
      <c r="O23" s="279">
        <v>5.1775133399553974</v>
      </c>
      <c r="P23" s="279">
        <v>5.1775133399553974</v>
      </c>
      <c r="Q23" s="279">
        <v>5.1775133399553974</v>
      </c>
      <c r="R23" s="279">
        <v>5.1775133399553974</v>
      </c>
      <c r="S23" s="279">
        <v>5.1775133399553974</v>
      </c>
      <c r="T23" s="279">
        <v>5.1775133399553974</v>
      </c>
      <c r="U23" s="279">
        <v>5.1775133399553974</v>
      </c>
      <c r="V23" s="279">
        <v>5.1775133399553974</v>
      </c>
      <c r="W23" s="279">
        <v>5.1775133399553974</v>
      </c>
      <c r="X23" s="279">
        <v>5.1775133399553974</v>
      </c>
      <c r="Y23" s="279">
        <v>5.1775133399553974</v>
      </c>
      <c r="Z23" s="279">
        <v>5.1775133399553974</v>
      </c>
      <c r="AA23" s="279">
        <v>5.1775133399553974</v>
      </c>
      <c r="AB23" s="279">
        <v>5.1775133399553974</v>
      </c>
      <c r="AC23" s="279">
        <v>5.1775133399553974</v>
      </c>
      <c r="AD23" s="279">
        <v>5.1775133399553974</v>
      </c>
      <c r="AE23" s="279">
        <v>5.1775133399553974</v>
      </c>
      <c r="AF23" s="279">
        <v>5.1775133399553974</v>
      </c>
      <c r="AG23" s="279">
        <v>5.1775133399553974</v>
      </c>
    </row>
    <row r="24" spans="1:33" x14ac:dyDescent="0.25">
      <c r="A24" s="277" t="s">
        <v>30</v>
      </c>
      <c r="B24" s="277" t="s">
        <v>18</v>
      </c>
      <c r="C24" s="277" t="s">
        <v>115</v>
      </c>
      <c r="D24" s="277" t="s">
        <v>102</v>
      </c>
      <c r="E24" s="277" t="s">
        <v>17</v>
      </c>
      <c r="F24" s="278" t="s">
        <v>168</v>
      </c>
      <c r="G24" s="279">
        <v>1.525325506791839</v>
      </c>
      <c r="H24" s="279">
        <v>1.525325506791839</v>
      </c>
      <c r="I24" s="279">
        <v>1.525325506791839</v>
      </c>
      <c r="J24" s="279">
        <v>1.525325506791839</v>
      </c>
      <c r="K24" s="279">
        <v>1.525325506791839</v>
      </c>
      <c r="L24" s="279">
        <v>1.525325506791839</v>
      </c>
      <c r="M24" s="279">
        <v>1.525325506791839</v>
      </c>
      <c r="N24" s="279">
        <v>1.525325506791839</v>
      </c>
      <c r="O24" s="279">
        <v>1.525325506791839</v>
      </c>
      <c r="P24" s="279">
        <v>1.525325506791839</v>
      </c>
      <c r="Q24" s="279">
        <v>1.525325506791839</v>
      </c>
      <c r="R24" s="279">
        <v>1.525325506791839</v>
      </c>
      <c r="S24" s="279">
        <v>1.525325506791839</v>
      </c>
      <c r="T24" s="279">
        <v>1.525325506791839</v>
      </c>
      <c r="U24" s="279">
        <v>1.525325506791839</v>
      </c>
      <c r="V24" s="279">
        <v>1.525325506791839</v>
      </c>
      <c r="W24" s="279">
        <v>1.525325506791839</v>
      </c>
      <c r="X24" s="279">
        <v>1.525325506791839</v>
      </c>
      <c r="Y24" s="279">
        <v>1.525325506791839</v>
      </c>
      <c r="Z24" s="279">
        <v>1.525325506791839</v>
      </c>
      <c r="AA24" s="279">
        <v>1.525325506791839</v>
      </c>
      <c r="AB24" s="279">
        <v>1.525325506791839</v>
      </c>
      <c r="AC24" s="279">
        <v>1.525325506791839</v>
      </c>
      <c r="AD24" s="279">
        <v>1.525325506791839</v>
      </c>
      <c r="AE24" s="279">
        <v>1.525325506791839</v>
      </c>
      <c r="AF24" s="279">
        <v>1.525325506791839</v>
      </c>
      <c r="AG24" s="279">
        <v>1.525325506791839</v>
      </c>
    </row>
    <row r="25" spans="1:33" x14ac:dyDescent="0.25">
      <c r="A25" s="277" t="s">
        <v>30</v>
      </c>
      <c r="B25" s="277" t="s">
        <v>18</v>
      </c>
      <c r="C25" s="277" t="s">
        <v>115</v>
      </c>
      <c r="D25" s="277" t="s">
        <v>39</v>
      </c>
      <c r="E25" s="277" t="s">
        <v>17</v>
      </c>
      <c r="F25" s="278" t="s">
        <v>139</v>
      </c>
      <c r="G25" s="279">
        <v>13.57754535623158</v>
      </c>
      <c r="H25" s="279">
        <v>13.57754535623158</v>
      </c>
      <c r="I25" s="279">
        <v>13.57754535623158</v>
      </c>
      <c r="J25" s="279">
        <v>13.57754535623158</v>
      </c>
      <c r="K25" s="279">
        <v>13.57754535623158</v>
      </c>
      <c r="L25" s="279">
        <v>13.57754535623158</v>
      </c>
      <c r="M25" s="279">
        <v>13.57754535623158</v>
      </c>
      <c r="N25" s="279">
        <v>13.57754535623158</v>
      </c>
      <c r="O25" s="279">
        <v>13.57754535623158</v>
      </c>
      <c r="P25" s="279">
        <v>13.57754535623158</v>
      </c>
      <c r="Q25" s="279">
        <v>13.57754535623158</v>
      </c>
      <c r="R25" s="279">
        <v>13.57754535623158</v>
      </c>
      <c r="S25" s="279">
        <v>13.57754535623158</v>
      </c>
      <c r="T25" s="279">
        <v>13.57754535623158</v>
      </c>
      <c r="U25" s="279">
        <v>13.57754535623158</v>
      </c>
      <c r="V25" s="279">
        <v>13.57754535623158</v>
      </c>
      <c r="W25" s="279">
        <v>13.57754535623158</v>
      </c>
      <c r="X25" s="279">
        <v>13.57754535623158</v>
      </c>
      <c r="Y25" s="279">
        <v>13.57754535623158</v>
      </c>
      <c r="Z25" s="279">
        <v>13.57754535623158</v>
      </c>
      <c r="AA25" s="279">
        <v>13.57754535623158</v>
      </c>
      <c r="AB25" s="279">
        <v>13.57754535623158</v>
      </c>
      <c r="AC25" s="279">
        <v>13.57754535623158</v>
      </c>
      <c r="AD25" s="279">
        <v>13.57754535623158</v>
      </c>
      <c r="AE25" s="279">
        <v>13.57754535623158</v>
      </c>
      <c r="AF25" s="279">
        <v>13.57754535623158</v>
      </c>
      <c r="AG25" s="279">
        <v>13.57754535623158</v>
      </c>
    </row>
    <row r="26" spans="1:33" x14ac:dyDescent="0.25">
      <c r="A26" s="280" t="s">
        <v>30</v>
      </c>
      <c r="B26" s="280" t="s">
        <v>18</v>
      </c>
      <c r="C26" s="280" t="s">
        <v>115</v>
      </c>
      <c r="D26" s="280" t="s">
        <v>480</v>
      </c>
      <c r="E26" s="280" t="s">
        <v>17</v>
      </c>
      <c r="F26" s="280" t="s">
        <v>481</v>
      </c>
      <c r="G26" s="280">
        <v>4.5115261468491017</v>
      </c>
      <c r="H26" s="280">
        <v>4.5115261468491017</v>
      </c>
      <c r="I26" s="280">
        <v>4.5115261468491017</v>
      </c>
      <c r="J26" s="280">
        <v>4.5115261468491017</v>
      </c>
      <c r="K26" s="280">
        <v>4.5115261468491017</v>
      </c>
      <c r="L26" s="280">
        <v>4.5115261468491017</v>
      </c>
      <c r="M26" s="280">
        <v>4.5115261468491017</v>
      </c>
      <c r="N26" s="280">
        <v>4.5115261468491017</v>
      </c>
      <c r="O26" s="280">
        <v>4.5115261468491017</v>
      </c>
      <c r="P26" s="280">
        <v>4.5115261468491017</v>
      </c>
      <c r="Q26" s="280">
        <v>4.5115261468491017</v>
      </c>
      <c r="R26" s="280">
        <v>4.5115261468491017</v>
      </c>
      <c r="S26" s="280">
        <v>4.5115261468491017</v>
      </c>
      <c r="T26" s="280">
        <v>4.5115261468491017</v>
      </c>
      <c r="U26" s="280">
        <v>4.5115261468491017</v>
      </c>
      <c r="V26" s="280">
        <v>4.5115261468491017</v>
      </c>
      <c r="W26" s="280">
        <v>4.5115261468491017</v>
      </c>
      <c r="X26" s="280">
        <v>4.5115261468491017</v>
      </c>
      <c r="Y26" s="280">
        <v>4.5115261468491017</v>
      </c>
      <c r="Z26" s="280">
        <v>4.5115261468491017</v>
      </c>
      <c r="AA26" s="280">
        <v>4.5115261468491017</v>
      </c>
      <c r="AB26" s="280">
        <v>4.5115261468491017</v>
      </c>
      <c r="AC26" s="280">
        <v>4.5115261468491017</v>
      </c>
      <c r="AD26" s="280">
        <v>4.5115261468491017</v>
      </c>
      <c r="AE26" s="280">
        <v>4.5115261468491017</v>
      </c>
      <c r="AF26" s="280">
        <v>4.5115261468491017</v>
      </c>
      <c r="AG26" s="280">
        <v>4.5115261468491017</v>
      </c>
    </row>
    <row r="27" spans="1:33" x14ac:dyDescent="0.25">
      <c r="A27" s="280" t="s">
        <v>30</v>
      </c>
      <c r="B27" s="280" t="s">
        <v>18</v>
      </c>
      <c r="C27" s="280" t="s">
        <v>115</v>
      </c>
      <c r="D27" s="280" t="s">
        <v>515</v>
      </c>
      <c r="E27" s="280" t="s">
        <v>17</v>
      </c>
      <c r="F27" s="280" t="s">
        <v>516</v>
      </c>
      <c r="G27" s="280">
        <v>3.3729028812157562</v>
      </c>
      <c r="H27" s="280">
        <v>3.3729028812157562</v>
      </c>
      <c r="I27" s="280">
        <v>3.3729028812157562</v>
      </c>
      <c r="J27" s="280">
        <v>3.3729028812157562</v>
      </c>
      <c r="K27" s="280">
        <v>3.3729028812157562</v>
      </c>
      <c r="L27" s="280">
        <v>3.3729028812157562</v>
      </c>
      <c r="M27" s="280">
        <v>3.3729028812157562</v>
      </c>
      <c r="N27" s="280">
        <v>3.3729028812157562</v>
      </c>
      <c r="O27" s="280">
        <v>3.3729028812157562</v>
      </c>
      <c r="P27" s="280">
        <v>3.3729028812157562</v>
      </c>
      <c r="Q27" s="280">
        <v>3.3729028812157562</v>
      </c>
      <c r="R27" s="280">
        <v>3.3729028812157562</v>
      </c>
      <c r="S27" s="280">
        <v>3.3729028812157562</v>
      </c>
      <c r="T27" s="280">
        <v>3.3729028812157562</v>
      </c>
      <c r="U27" s="280">
        <v>3.3729028812157562</v>
      </c>
      <c r="V27" s="280">
        <v>3.3729028812157562</v>
      </c>
      <c r="W27" s="280">
        <v>3.3729028812157562</v>
      </c>
      <c r="X27" s="280">
        <v>3.3729028812157562</v>
      </c>
      <c r="Y27" s="280">
        <v>3.3729028812157562</v>
      </c>
      <c r="Z27" s="280">
        <v>3.3729028812157562</v>
      </c>
      <c r="AA27" s="280">
        <v>3.3729028812157562</v>
      </c>
      <c r="AB27" s="280">
        <v>3.3729028812157562</v>
      </c>
      <c r="AC27" s="280">
        <v>3.3729028812157562</v>
      </c>
      <c r="AD27" s="280">
        <v>3.3729028812157562</v>
      </c>
      <c r="AE27" s="280">
        <v>3.3729028812157562</v>
      </c>
      <c r="AF27" s="280">
        <v>3.3729028812157562</v>
      </c>
      <c r="AG27" s="280">
        <v>3.3729028812157562</v>
      </c>
    </row>
    <row r="28" spans="1:33" x14ac:dyDescent="0.25">
      <c r="A28" s="277" t="s">
        <v>30</v>
      </c>
      <c r="B28" s="277" t="s">
        <v>18</v>
      </c>
      <c r="C28" s="277" t="s">
        <v>115</v>
      </c>
      <c r="D28" s="277" t="s">
        <v>222</v>
      </c>
      <c r="E28" s="277" t="s">
        <v>17</v>
      </c>
      <c r="F28" s="278" t="s">
        <v>223</v>
      </c>
      <c r="G28" s="279">
        <v>34.889135535633052</v>
      </c>
      <c r="H28" s="279">
        <v>34.889135535633052</v>
      </c>
      <c r="I28" s="279">
        <v>34.889135535633052</v>
      </c>
      <c r="J28" s="279">
        <v>34.889135535633052</v>
      </c>
      <c r="K28" s="279">
        <v>34.889135535633052</v>
      </c>
      <c r="L28" s="279">
        <v>34.889135535633052</v>
      </c>
      <c r="M28" s="279">
        <v>34.889135535633052</v>
      </c>
      <c r="N28" s="279">
        <v>34.889135535633052</v>
      </c>
      <c r="O28" s="279">
        <v>34.889135535633052</v>
      </c>
      <c r="P28" s="279">
        <v>34.889135535633052</v>
      </c>
      <c r="Q28" s="279">
        <v>34.889135535633052</v>
      </c>
      <c r="R28" s="279">
        <v>34.889135535633052</v>
      </c>
      <c r="S28" s="279">
        <v>34.889135535633052</v>
      </c>
      <c r="T28" s="279">
        <v>34.889135535633052</v>
      </c>
      <c r="U28" s="279">
        <v>34.889135535633052</v>
      </c>
      <c r="V28" s="279">
        <v>34.889135535633052</v>
      </c>
      <c r="W28" s="279">
        <v>34.889135535633052</v>
      </c>
      <c r="X28" s="279">
        <v>34.889135535633052</v>
      </c>
      <c r="Y28" s="279">
        <v>34.889135535633052</v>
      </c>
      <c r="Z28" s="279">
        <v>34.889135535633052</v>
      </c>
      <c r="AA28" s="279">
        <v>34.889135535633052</v>
      </c>
      <c r="AB28" s="279">
        <v>34.889135535633052</v>
      </c>
      <c r="AC28" s="279">
        <v>34.889135535633052</v>
      </c>
      <c r="AD28" s="279">
        <v>34.889135535633052</v>
      </c>
      <c r="AE28" s="279">
        <v>34.889135535633052</v>
      </c>
      <c r="AF28" s="279">
        <v>34.889135535633052</v>
      </c>
      <c r="AG28" s="279">
        <v>34.889135535633052</v>
      </c>
    </row>
    <row r="29" spans="1:33" x14ac:dyDescent="0.25">
      <c r="A29" s="280" t="s">
        <v>30</v>
      </c>
      <c r="B29" s="280" t="s">
        <v>18</v>
      </c>
      <c r="C29" s="280" t="s">
        <v>115</v>
      </c>
      <c r="D29" s="280" t="s">
        <v>69</v>
      </c>
      <c r="E29" s="280" t="s">
        <v>17</v>
      </c>
      <c r="F29" s="280" t="s">
        <v>508</v>
      </c>
      <c r="G29" s="280">
        <v>25.221579506670693</v>
      </c>
      <c r="H29" s="280">
        <v>25.221579506670693</v>
      </c>
      <c r="I29" s="280">
        <v>25.221579506670693</v>
      </c>
      <c r="J29" s="280">
        <v>25.221579506670693</v>
      </c>
      <c r="K29" s="280">
        <v>25.221579506670693</v>
      </c>
      <c r="L29" s="280">
        <v>25.221579506670693</v>
      </c>
      <c r="M29" s="280">
        <v>25.221579506670693</v>
      </c>
      <c r="N29" s="280">
        <v>25.221579506670693</v>
      </c>
      <c r="O29" s="280">
        <v>25.221579506670693</v>
      </c>
      <c r="P29" s="280">
        <v>25.221579506670693</v>
      </c>
      <c r="Q29" s="280">
        <v>25.221579506670693</v>
      </c>
      <c r="R29" s="280">
        <v>25.221579506670693</v>
      </c>
      <c r="S29" s="280">
        <v>25.221579506670693</v>
      </c>
      <c r="T29" s="280">
        <v>25.221579506670693</v>
      </c>
      <c r="U29" s="280">
        <v>25.221579506670693</v>
      </c>
      <c r="V29" s="280">
        <v>25.221579506670693</v>
      </c>
      <c r="W29" s="280">
        <v>25.221579506670693</v>
      </c>
      <c r="X29" s="280">
        <v>25.221579506670693</v>
      </c>
      <c r="Y29" s="280">
        <v>25.221579506670693</v>
      </c>
      <c r="Z29" s="280">
        <v>25.221579506670693</v>
      </c>
      <c r="AA29" s="280">
        <v>25.221579506670693</v>
      </c>
      <c r="AB29" s="280">
        <v>25.221579506670693</v>
      </c>
      <c r="AC29" s="280">
        <v>25.221579506670693</v>
      </c>
      <c r="AD29" s="280">
        <v>25.221579506670693</v>
      </c>
      <c r="AE29" s="280">
        <v>25.221579506670693</v>
      </c>
      <c r="AF29" s="280">
        <v>25.221579506670693</v>
      </c>
      <c r="AG29" s="280">
        <v>25.221579506670693</v>
      </c>
    </row>
    <row r="30" spans="1:33" x14ac:dyDescent="0.25">
      <c r="A30" s="280" t="s">
        <v>30</v>
      </c>
      <c r="B30" s="280" t="s">
        <v>18</v>
      </c>
      <c r="C30" s="280" t="s">
        <v>115</v>
      </c>
      <c r="D30" s="280" t="s">
        <v>430</v>
      </c>
      <c r="E30" s="280" t="s">
        <v>17</v>
      </c>
      <c r="F30" s="280" t="s">
        <v>431</v>
      </c>
      <c r="G30" s="280">
        <v>3.5447705439528656</v>
      </c>
      <c r="H30" s="280">
        <v>3.5447705439528656</v>
      </c>
      <c r="I30" s="280">
        <v>3.5447705439528656</v>
      </c>
      <c r="J30" s="280">
        <v>3.5447705439528656</v>
      </c>
      <c r="K30" s="280">
        <v>3.5447705439528656</v>
      </c>
      <c r="L30" s="280">
        <v>3.5447705439528656</v>
      </c>
      <c r="M30" s="280">
        <v>3.5447705439528656</v>
      </c>
      <c r="N30" s="280">
        <v>3.5447705439528656</v>
      </c>
      <c r="O30" s="280">
        <v>3.5447705439528656</v>
      </c>
      <c r="P30" s="280">
        <v>3.5447705439528656</v>
      </c>
      <c r="Q30" s="280">
        <v>3.5447705439528656</v>
      </c>
      <c r="R30" s="280">
        <v>3.5447705439528656</v>
      </c>
      <c r="S30" s="280">
        <v>3.5447705439528656</v>
      </c>
      <c r="T30" s="280">
        <v>3.5447705439528656</v>
      </c>
      <c r="U30" s="280">
        <v>3.5447705439528656</v>
      </c>
      <c r="V30" s="280">
        <v>3.5447705439528656</v>
      </c>
      <c r="W30" s="280">
        <v>3.5447705439528656</v>
      </c>
      <c r="X30" s="280">
        <v>3.5447705439528656</v>
      </c>
      <c r="Y30" s="280">
        <v>3.5447705439528656</v>
      </c>
      <c r="Z30" s="280">
        <v>3.5447705439528656</v>
      </c>
      <c r="AA30" s="280">
        <v>3.5447705439528656</v>
      </c>
      <c r="AB30" s="280">
        <v>3.5447705439528656</v>
      </c>
      <c r="AC30" s="280">
        <v>3.5447705439528656</v>
      </c>
      <c r="AD30" s="280">
        <v>3.5447705439528656</v>
      </c>
      <c r="AE30" s="280">
        <v>3.5447705439528656</v>
      </c>
      <c r="AF30" s="280">
        <v>3.5447705439528656</v>
      </c>
      <c r="AG30" s="280">
        <v>3.5447705439528656</v>
      </c>
    </row>
    <row r="31" spans="1:33" x14ac:dyDescent="0.25">
      <c r="A31" s="280" t="s">
        <v>30</v>
      </c>
      <c r="B31" s="280" t="s">
        <v>18</v>
      </c>
      <c r="C31" s="280" t="s">
        <v>115</v>
      </c>
      <c r="D31" s="280" t="s">
        <v>75</v>
      </c>
      <c r="E31" s="280" t="s">
        <v>17</v>
      </c>
      <c r="F31" s="280" t="s">
        <v>386</v>
      </c>
      <c r="G31" s="280">
        <v>12.675240126861762</v>
      </c>
      <c r="H31" s="280">
        <v>12.675240126861762</v>
      </c>
      <c r="I31" s="280">
        <v>12.675240126861762</v>
      </c>
      <c r="J31" s="280">
        <v>12.675240126861762</v>
      </c>
      <c r="K31" s="280">
        <v>12.675240126861762</v>
      </c>
      <c r="L31" s="280">
        <v>12.675240126861762</v>
      </c>
      <c r="M31" s="280">
        <v>12.675240126861762</v>
      </c>
      <c r="N31" s="280">
        <v>12.675240126861762</v>
      </c>
      <c r="O31" s="280">
        <v>12.675240126861762</v>
      </c>
      <c r="P31" s="280">
        <v>12.675240126861762</v>
      </c>
      <c r="Q31" s="280">
        <v>12.675240126861762</v>
      </c>
      <c r="R31" s="280">
        <v>12.675240126861762</v>
      </c>
      <c r="S31" s="280">
        <v>12.675240126861762</v>
      </c>
      <c r="T31" s="280">
        <v>12.675240126861762</v>
      </c>
      <c r="U31" s="280">
        <v>12.675240126861762</v>
      </c>
      <c r="V31" s="280">
        <v>12.675240126861762</v>
      </c>
      <c r="W31" s="280">
        <v>12.675240126861762</v>
      </c>
      <c r="X31" s="280">
        <v>12.675240126861762</v>
      </c>
      <c r="Y31" s="280">
        <v>12.675240126861762</v>
      </c>
      <c r="Z31" s="280">
        <v>12.675240126861762</v>
      </c>
      <c r="AA31" s="280">
        <v>12.675240126861762</v>
      </c>
      <c r="AB31" s="280">
        <v>12.675240126861762</v>
      </c>
      <c r="AC31" s="280">
        <v>12.675240126861762</v>
      </c>
      <c r="AD31" s="280">
        <v>12.675240126861762</v>
      </c>
      <c r="AE31" s="280">
        <v>12.675240126861762</v>
      </c>
      <c r="AF31" s="280">
        <v>12.675240126861762</v>
      </c>
      <c r="AG31" s="280">
        <v>12.675240126861762</v>
      </c>
    </row>
    <row r="32" spans="1:33" x14ac:dyDescent="0.25">
      <c r="A32" s="280" t="s">
        <v>30</v>
      </c>
      <c r="B32" s="280" t="s">
        <v>18</v>
      </c>
      <c r="C32" s="280" t="s">
        <v>115</v>
      </c>
      <c r="D32" s="280" t="s">
        <v>114</v>
      </c>
      <c r="E32" s="280" t="s">
        <v>17</v>
      </c>
      <c r="F32" s="280" t="s">
        <v>358</v>
      </c>
      <c r="G32" s="280">
        <v>0.49411953036918727</v>
      </c>
      <c r="H32" s="280">
        <v>0.49411953036918727</v>
      </c>
      <c r="I32" s="280">
        <v>0.49411953036918727</v>
      </c>
      <c r="J32" s="280">
        <v>0.49411953036918727</v>
      </c>
      <c r="K32" s="280">
        <v>0.49411953036918727</v>
      </c>
      <c r="L32" s="280">
        <v>0.49411953036918727</v>
      </c>
      <c r="M32" s="280">
        <v>0.49411953036918727</v>
      </c>
      <c r="N32" s="280">
        <v>0.49411953036918727</v>
      </c>
      <c r="O32" s="280">
        <v>0.49411953036918727</v>
      </c>
      <c r="P32" s="280">
        <v>0.49411953036918727</v>
      </c>
      <c r="Q32" s="280">
        <v>0.49411953036918727</v>
      </c>
      <c r="R32" s="280">
        <v>0.49411953036918727</v>
      </c>
      <c r="S32" s="280">
        <v>0.49411953036918727</v>
      </c>
      <c r="T32" s="280">
        <v>0.49411953036918727</v>
      </c>
      <c r="U32" s="280">
        <v>0.49411953036918727</v>
      </c>
      <c r="V32" s="280">
        <v>0.49411953036918727</v>
      </c>
      <c r="W32" s="280">
        <v>0.49411953036918727</v>
      </c>
      <c r="X32" s="280">
        <v>0.49411953036918727</v>
      </c>
      <c r="Y32" s="280">
        <v>0.49411953036918727</v>
      </c>
      <c r="Z32" s="280">
        <v>0.49411953036918727</v>
      </c>
      <c r="AA32" s="280">
        <v>0.49411953036918727</v>
      </c>
      <c r="AB32" s="280">
        <v>0.49411953036918727</v>
      </c>
      <c r="AC32" s="280">
        <v>0.49411953036918727</v>
      </c>
      <c r="AD32" s="280">
        <v>0.49411953036918727</v>
      </c>
      <c r="AE32" s="280">
        <v>0.49411953036918727</v>
      </c>
      <c r="AF32" s="280">
        <v>0.49411953036918727</v>
      </c>
      <c r="AG32" s="280">
        <v>0.49411953036918727</v>
      </c>
    </row>
    <row r="33" spans="1:33" x14ac:dyDescent="0.25">
      <c r="A33" s="280" t="s">
        <v>30</v>
      </c>
      <c r="B33" s="280" t="s">
        <v>18</v>
      </c>
      <c r="C33" s="280" t="s">
        <v>115</v>
      </c>
      <c r="D33" s="280" t="s">
        <v>421</v>
      </c>
      <c r="E33" s="280" t="s">
        <v>17</v>
      </c>
      <c r="F33" s="280" t="s">
        <v>422</v>
      </c>
      <c r="G33" s="280">
        <v>13.362710777810197</v>
      </c>
      <c r="H33" s="280">
        <v>13.362710777810197</v>
      </c>
      <c r="I33" s="280">
        <v>13.362710777810197</v>
      </c>
      <c r="J33" s="280">
        <v>13.362710777810197</v>
      </c>
      <c r="K33" s="280">
        <v>13.362710777810197</v>
      </c>
      <c r="L33" s="280">
        <v>13.362710777810197</v>
      </c>
      <c r="M33" s="280">
        <v>13.362710777810197</v>
      </c>
      <c r="N33" s="280">
        <v>13.362710777810197</v>
      </c>
      <c r="O33" s="280">
        <v>13.362710777810197</v>
      </c>
      <c r="P33" s="280">
        <v>13.362710777810197</v>
      </c>
      <c r="Q33" s="280">
        <v>13.362710777810197</v>
      </c>
      <c r="R33" s="280">
        <v>13.362710777810197</v>
      </c>
      <c r="S33" s="280">
        <v>13.362710777810197</v>
      </c>
      <c r="T33" s="280">
        <v>13.362710777810197</v>
      </c>
      <c r="U33" s="280">
        <v>13.362710777810197</v>
      </c>
      <c r="V33" s="280">
        <v>13.362710777810197</v>
      </c>
      <c r="W33" s="280">
        <v>13.362710777810197</v>
      </c>
      <c r="X33" s="280">
        <v>13.362710777810197</v>
      </c>
      <c r="Y33" s="280">
        <v>13.362710777810197</v>
      </c>
      <c r="Z33" s="280">
        <v>13.362710777810197</v>
      </c>
      <c r="AA33" s="280">
        <v>13.362710777810197</v>
      </c>
      <c r="AB33" s="280">
        <v>13.362710777810197</v>
      </c>
      <c r="AC33" s="280">
        <v>13.362710777810197</v>
      </c>
      <c r="AD33" s="280">
        <v>13.362710777810197</v>
      </c>
      <c r="AE33" s="280">
        <v>13.362710777810197</v>
      </c>
      <c r="AF33" s="280">
        <v>13.362710777810197</v>
      </c>
      <c r="AG33" s="280">
        <v>13.362710777810197</v>
      </c>
    </row>
    <row r="34" spans="1:33" x14ac:dyDescent="0.25">
      <c r="A34" s="280" t="s">
        <v>30</v>
      </c>
      <c r="B34" s="280" t="s">
        <v>18</v>
      </c>
      <c r="C34" s="280" t="s">
        <v>115</v>
      </c>
      <c r="D34" s="280" t="s">
        <v>469</v>
      </c>
      <c r="E34" s="280" t="s">
        <v>17</v>
      </c>
      <c r="F34" s="280" t="s">
        <v>470</v>
      </c>
      <c r="G34" s="280">
        <v>4.4900426890069625</v>
      </c>
      <c r="H34" s="280">
        <v>4.4900426890069625</v>
      </c>
      <c r="I34" s="280">
        <v>4.4900426890069625</v>
      </c>
      <c r="J34" s="280">
        <v>4.4900426890069625</v>
      </c>
      <c r="K34" s="280">
        <v>4.4900426890069625</v>
      </c>
      <c r="L34" s="280">
        <v>4.4900426890069625</v>
      </c>
      <c r="M34" s="280">
        <v>4.4900426890069625</v>
      </c>
      <c r="N34" s="280">
        <v>4.4900426890069625</v>
      </c>
      <c r="O34" s="280">
        <v>4.4900426890069625</v>
      </c>
      <c r="P34" s="280">
        <v>4.4900426890069625</v>
      </c>
      <c r="Q34" s="280">
        <v>4.4900426890069625</v>
      </c>
      <c r="R34" s="280">
        <v>4.4900426890069625</v>
      </c>
      <c r="S34" s="280">
        <v>4.4900426890069625</v>
      </c>
      <c r="T34" s="280">
        <v>4.4900426890069625</v>
      </c>
      <c r="U34" s="280">
        <v>4.4900426890069625</v>
      </c>
      <c r="V34" s="280">
        <v>4.4900426890069625</v>
      </c>
      <c r="W34" s="280">
        <v>4.4900426890069625</v>
      </c>
      <c r="X34" s="280">
        <v>4.4900426890069625</v>
      </c>
      <c r="Y34" s="280">
        <v>4.4900426890069625</v>
      </c>
      <c r="Z34" s="280">
        <v>4.4900426890069625</v>
      </c>
      <c r="AA34" s="280">
        <v>4.4900426890069625</v>
      </c>
      <c r="AB34" s="280">
        <v>4.4900426890069625</v>
      </c>
      <c r="AC34" s="280">
        <v>4.4900426890069625</v>
      </c>
      <c r="AD34" s="280">
        <v>4.4900426890069625</v>
      </c>
      <c r="AE34" s="280">
        <v>4.4900426890069625</v>
      </c>
      <c r="AF34" s="280">
        <v>4.4900426890069625</v>
      </c>
      <c r="AG34" s="280">
        <v>4.4900426890069625</v>
      </c>
    </row>
    <row r="35" spans="1:33" x14ac:dyDescent="0.25">
      <c r="A35" s="277" t="s">
        <v>30</v>
      </c>
      <c r="B35" s="277" t="s">
        <v>18</v>
      </c>
      <c r="C35" s="277" t="s">
        <v>115</v>
      </c>
      <c r="D35" s="277" t="s">
        <v>94</v>
      </c>
      <c r="E35" s="277" t="s">
        <v>17</v>
      </c>
      <c r="F35" s="278" t="s">
        <v>217</v>
      </c>
      <c r="G35" s="279">
        <v>1.8260939165817793</v>
      </c>
      <c r="H35" s="279">
        <v>1.8260939165817793</v>
      </c>
      <c r="I35" s="279">
        <v>1.8260939165817793</v>
      </c>
      <c r="J35" s="279">
        <v>1.8260939165817793</v>
      </c>
      <c r="K35" s="279">
        <v>1.8260939165817793</v>
      </c>
      <c r="L35" s="279">
        <v>1.8260939165817793</v>
      </c>
      <c r="M35" s="279">
        <v>1.8260939165817793</v>
      </c>
      <c r="N35" s="279">
        <v>1.8260939165817793</v>
      </c>
      <c r="O35" s="279">
        <v>1.8260939165817793</v>
      </c>
      <c r="P35" s="279">
        <v>1.8260939165817793</v>
      </c>
      <c r="Q35" s="279">
        <v>1.8260939165817793</v>
      </c>
      <c r="R35" s="279">
        <v>1.8260939165817793</v>
      </c>
      <c r="S35" s="279">
        <v>1.8260939165817793</v>
      </c>
      <c r="T35" s="279">
        <v>1.8260939165817793</v>
      </c>
      <c r="U35" s="279">
        <v>1.8260939165817793</v>
      </c>
      <c r="V35" s="279">
        <v>1.8260939165817793</v>
      </c>
      <c r="W35" s="279">
        <v>1.8260939165817793</v>
      </c>
      <c r="X35" s="279">
        <v>1.8260939165817793</v>
      </c>
      <c r="Y35" s="279">
        <v>1.8260939165817793</v>
      </c>
      <c r="Z35" s="279">
        <v>1.8260939165817793</v>
      </c>
      <c r="AA35" s="279">
        <v>1.8260939165817793</v>
      </c>
      <c r="AB35" s="279">
        <v>1.8260939165817793</v>
      </c>
      <c r="AC35" s="279">
        <v>1.8260939165817793</v>
      </c>
      <c r="AD35" s="279">
        <v>1.8260939165817793</v>
      </c>
      <c r="AE35" s="279">
        <v>1.8260939165817793</v>
      </c>
      <c r="AF35" s="279">
        <v>1.8260939165817793</v>
      </c>
      <c r="AG35" s="279">
        <v>1.8260939165817793</v>
      </c>
    </row>
    <row r="36" spans="1:33" x14ac:dyDescent="0.25">
      <c r="A36" s="277" t="s">
        <v>30</v>
      </c>
      <c r="B36" s="277" t="s">
        <v>18</v>
      </c>
      <c r="C36" s="277" t="s">
        <v>115</v>
      </c>
      <c r="D36" s="277" t="s">
        <v>323</v>
      </c>
      <c r="E36" s="277" t="s">
        <v>17</v>
      </c>
      <c r="F36" s="278" t="s">
        <v>324</v>
      </c>
      <c r="G36" s="279">
        <v>3.6307043753214199</v>
      </c>
      <c r="H36" s="279">
        <v>3.6307043753214199</v>
      </c>
      <c r="I36" s="279">
        <v>3.6307043753214199</v>
      </c>
      <c r="J36" s="279">
        <v>3.6307043753214199</v>
      </c>
      <c r="K36" s="279">
        <v>3.6307043753214199</v>
      </c>
      <c r="L36" s="279">
        <v>3.6307043753214199</v>
      </c>
      <c r="M36" s="279">
        <v>3.6307043753214199</v>
      </c>
      <c r="N36" s="279">
        <v>3.6307043753214199</v>
      </c>
      <c r="O36" s="279">
        <v>3.6307043753214199</v>
      </c>
      <c r="P36" s="279">
        <v>3.6307043753214199</v>
      </c>
      <c r="Q36" s="279">
        <v>3.6307043753214199</v>
      </c>
      <c r="R36" s="279">
        <v>3.6307043753214199</v>
      </c>
      <c r="S36" s="279">
        <v>3.6307043753214199</v>
      </c>
      <c r="T36" s="279">
        <v>3.6307043753214199</v>
      </c>
      <c r="U36" s="279">
        <v>3.6307043753214199</v>
      </c>
      <c r="V36" s="279">
        <v>3.6307043753214199</v>
      </c>
      <c r="W36" s="279">
        <v>3.6307043753214199</v>
      </c>
      <c r="X36" s="279">
        <v>3.6307043753214199</v>
      </c>
      <c r="Y36" s="279">
        <v>3.6307043753214199</v>
      </c>
      <c r="Z36" s="279">
        <v>3.6307043753214199</v>
      </c>
      <c r="AA36" s="279">
        <v>3.6307043753214199</v>
      </c>
      <c r="AB36" s="279">
        <v>3.6307043753214199</v>
      </c>
      <c r="AC36" s="279">
        <v>3.6307043753214199</v>
      </c>
      <c r="AD36" s="279">
        <v>3.6307043753214199</v>
      </c>
      <c r="AE36" s="279">
        <v>3.6307043753214199</v>
      </c>
      <c r="AF36" s="279">
        <v>3.6307043753214199</v>
      </c>
      <c r="AG36" s="279">
        <v>3.6307043753214199</v>
      </c>
    </row>
    <row r="37" spans="1:33" x14ac:dyDescent="0.25">
      <c r="A37" s="280" t="s">
        <v>30</v>
      </c>
      <c r="B37" s="280" t="s">
        <v>18</v>
      </c>
      <c r="C37" s="280" t="s">
        <v>115</v>
      </c>
      <c r="D37" s="280" t="s">
        <v>415</v>
      </c>
      <c r="E37" s="280" t="s">
        <v>17</v>
      </c>
      <c r="F37" s="280" t="s">
        <v>416</v>
      </c>
      <c r="G37" s="280">
        <v>50.572059760394211</v>
      </c>
      <c r="H37" s="280">
        <v>50.572059760394211</v>
      </c>
      <c r="I37" s="280">
        <v>50.572059760394211</v>
      </c>
      <c r="J37" s="280">
        <v>50.572059760394211</v>
      </c>
      <c r="K37" s="280">
        <v>50.572059760394211</v>
      </c>
      <c r="L37" s="280">
        <v>50.572059760394211</v>
      </c>
      <c r="M37" s="280">
        <v>50.572059760394211</v>
      </c>
      <c r="N37" s="280">
        <v>50.572059760394211</v>
      </c>
      <c r="O37" s="280">
        <v>50.572059760394211</v>
      </c>
      <c r="P37" s="280">
        <v>50.572059760394211</v>
      </c>
      <c r="Q37" s="280">
        <v>50.572059760394211</v>
      </c>
      <c r="R37" s="280">
        <v>50.572059760394211</v>
      </c>
      <c r="S37" s="280">
        <v>50.572059760394211</v>
      </c>
      <c r="T37" s="280">
        <v>50.572059760394211</v>
      </c>
      <c r="U37" s="280">
        <v>50.572059760394211</v>
      </c>
      <c r="V37" s="280">
        <v>50.572059760394211</v>
      </c>
      <c r="W37" s="280">
        <v>50.572059760394211</v>
      </c>
      <c r="X37" s="280">
        <v>50.572059760394211</v>
      </c>
      <c r="Y37" s="280">
        <v>50.572059760394211</v>
      </c>
      <c r="Z37" s="280">
        <v>50.572059760394211</v>
      </c>
      <c r="AA37" s="280">
        <v>50.572059760394211</v>
      </c>
      <c r="AB37" s="280">
        <v>50.572059760394211</v>
      </c>
      <c r="AC37" s="280">
        <v>50.572059760394211</v>
      </c>
      <c r="AD37" s="280">
        <v>50.572059760394211</v>
      </c>
      <c r="AE37" s="280">
        <v>50.572059760394211</v>
      </c>
      <c r="AF37" s="280">
        <v>50.572059760394211</v>
      </c>
      <c r="AG37" s="280">
        <v>50.572059760394211</v>
      </c>
    </row>
    <row r="38" spans="1:33" x14ac:dyDescent="0.25">
      <c r="A38" s="277" t="s">
        <v>30</v>
      </c>
      <c r="B38" s="277" t="s">
        <v>18</v>
      </c>
      <c r="C38" s="277" t="s">
        <v>115</v>
      </c>
      <c r="D38" s="277" t="s">
        <v>273</v>
      </c>
      <c r="E38" s="277" t="s">
        <v>17</v>
      </c>
      <c r="F38" s="278" t="s">
        <v>274</v>
      </c>
      <c r="G38" s="279">
        <v>0.83785485584340436</v>
      </c>
      <c r="H38" s="279">
        <v>0.83785485584340436</v>
      </c>
      <c r="I38" s="279">
        <v>0.83785485584340436</v>
      </c>
      <c r="J38" s="279">
        <v>0.83785485584340436</v>
      </c>
      <c r="K38" s="279">
        <v>0.83785485584340436</v>
      </c>
      <c r="L38" s="279">
        <v>0.83785485584340436</v>
      </c>
      <c r="M38" s="279">
        <v>0.83785485584340436</v>
      </c>
      <c r="N38" s="279">
        <v>0.83785485584340436</v>
      </c>
      <c r="O38" s="279">
        <v>0.83785485584340436</v>
      </c>
      <c r="P38" s="279">
        <v>0.83785485584340436</v>
      </c>
      <c r="Q38" s="279">
        <v>0.83785485584340436</v>
      </c>
      <c r="R38" s="279">
        <v>0.83785485584340436</v>
      </c>
      <c r="S38" s="279">
        <v>0.83785485584340436</v>
      </c>
      <c r="T38" s="279">
        <v>0.83785485584340436</v>
      </c>
      <c r="U38" s="279">
        <v>0.83785485584340436</v>
      </c>
      <c r="V38" s="279">
        <v>0.83785485584340436</v>
      </c>
      <c r="W38" s="279">
        <v>0.83785485584340436</v>
      </c>
      <c r="X38" s="279">
        <v>0.83785485584340436</v>
      </c>
      <c r="Y38" s="279">
        <v>0.83785485584340436</v>
      </c>
      <c r="Z38" s="279">
        <v>0.83785485584340436</v>
      </c>
      <c r="AA38" s="279">
        <v>0.83785485584340436</v>
      </c>
      <c r="AB38" s="279">
        <v>0.83785485584340436</v>
      </c>
      <c r="AC38" s="279">
        <v>0.83785485584340436</v>
      </c>
      <c r="AD38" s="279">
        <v>0.83785485584340436</v>
      </c>
      <c r="AE38" s="279">
        <v>0.83785485584340436</v>
      </c>
      <c r="AF38" s="279">
        <v>0.83785485584340436</v>
      </c>
      <c r="AG38" s="279">
        <v>0.83785485584340436</v>
      </c>
    </row>
    <row r="39" spans="1:33" x14ac:dyDescent="0.25">
      <c r="A39" s="277" t="s">
        <v>30</v>
      </c>
      <c r="B39" s="277" t="s">
        <v>18</v>
      </c>
      <c r="C39" s="277" t="s">
        <v>115</v>
      </c>
      <c r="D39" s="277" t="s">
        <v>284</v>
      </c>
      <c r="E39" s="277" t="s">
        <v>17</v>
      </c>
      <c r="F39" s="278" t="s">
        <v>285</v>
      </c>
      <c r="G39" s="279">
        <v>3.3084525076893412</v>
      </c>
      <c r="H39" s="279">
        <v>3.3084525076893412</v>
      </c>
      <c r="I39" s="279">
        <v>3.3084525076893412</v>
      </c>
      <c r="J39" s="279">
        <v>3.3084525076893412</v>
      </c>
      <c r="K39" s="279">
        <v>3.3084525076893412</v>
      </c>
      <c r="L39" s="279">
        <v>3.3084525076893412</v>
      </c>
      <c r="M39" s="279">
        <v>3.3084525076893412</v>
      </c>
      <c r="N39" s="279">
        <v>3.3084525076893412</v>
      </c>
      <c r="O39" s="279">
        <v>3.3084525076893412</v>
      </c>
      <c r="P39" s="279">
        <v>3.3084525076893412</v>
      </c>
      <c r="Q39" s="279">
        <v>3.3084525076893412</v>
      </c>
      <c r="R39" s="279">
        <v>3.3084525076893412</v>
      </c>
      <c r="S39" s="279">
        <v>3.3084525076893412</v>
      </c>
      <c r="T39" s="279">
        <v>3.3084525076893412</v>
      </c>
      <c r="U39" s="279">
        <v>3.3084525076893412</v>
      </c>
      <c r="V39" s="279">
        <v>3.3084525076893412</v>
      </c>
      <c r="W39" s="279">
        <v>3.3084525076893412</v>
      </c>
      <c r="X39" s="279">
        <v>3.3084525076893412</v>
      </c>
      <c r="Y39" s="279">
        <v>3.3084525076893412</v>
      </c>
      <c r="Z39" s="279">
        <v>3.3084525076893412</v>
      </c>
      <c r="AA39" s="279">
        <v>3.3084525076893412</v>
      </c>
      <c r="AB39" s="279">
        <v>3.3084525076893412</v>
      </c>
      <c r="AC39" s="279">
        <v>3.3084525076893412</v>
      </c>
      <c r="AD39" s="279">
        <v>3.3084525076893412</v>
      </c>
      <c r="AE39" s="279">
        <v>3.3084525076893412</v>
      </c>
      <c r="AF39" s="279">
        <v>3.3084525076893412</v>
      </c>
      <c r="AG39" s="279">
        <v>3.3084525076893412</v>
      </c>
    </row>
    <row r="40" spans="1:33" x14ac:dyDescent="0.25">
      <c r="A40" s="277" t="s">
        <v>30</v>
      </c>
      <c r="B40" s="277" t="s">
        <v>18</v>
      </c>
      <c r="C40" s="277" t="s">
        <v>115</v>
      </c>
      <c r="D40" s="277" t="s">
        <v>50</v>
      </c>
      <c r="E40" s="277" t="s">
        <v>17</v>
      </c>
      <c r="F40" s="278" t="s">
        <v>227</v>
      </c>
      <c r="G40" s="279">
        <v>8.9156350044875108</v>
      </c>
      <c r="H40" s="279">
        <v>8.9156350044875108</v>
      </c>
      <c r="I40" s="279">
        <v>8.9156350044875108</v>
      </c>
      <c r="J40" s="279">
        <v>8.9156350044875108</v>
      </c>
      <c r="K40" s="279">
        <v>8.9156350044875108</v>
      </c>
      <c r="L40" s="279">
        <v>8.9156350044875108</v>
      </c>
      <c r="M40" s="279">
        <v>8.9156350044875108</v>
      </c>
      <c r="N40" s="279">
        <v>8.9156350044875108</v>
      </c>
      <c r="O40" s="279">
        <v>8.9156350044875108</v>
      </c>
      <c r="P40" s="279">
        <v>8.9156350044875108</v>
      </c>
      <c r="Q40" s="279">
        <v>8.9156350044875108</v>
      </c>
      <c r="R40" s="279">
        <v>8.9156350044875108</v>
      </c>
      <c r="S40" s="279">
        <v>8.9156350044875108</v>
      </c>
      <c r="T40" s="279">
        <v>8.9156350044875108</v>
      </c>
      <c r="U40" s="279">
        <v>8.9156350044875108</v>
      </c>
      <c r="V40" s="279">
        <v>8.9156350044875108</v>
      </c>
      <c r="W40" s="279">
        <v>8.9156350044875108</v>
      </c>
      <c r="X40" s="279">
        <v>8.9156350044875108</v>
      </c>
      <c r="Y40" s="279">
        <v>8.9156350044875108</v>
      </c>
      <c r="Z40" s="279">
        <v>8.9156350044875108</v>
      </c>
      <c r="AA40" s="279">
        <v>8.9156350044875108</v>
      </c>
      <c r="AB40" s="279">
        <v>8.9156350044875108</v>
      </c>
      <c r="AC40" s="279">
        <v>8.9156350044875108</v>
      </c>
      <c r="AD40" s="279">
        <v>8.9156350044875108</v>
      </c>
      <c r="AE40" s="279">
        <v>8.9156350044875108</v>
      </c>
      <c r="AF40" s="279">
        <v>8.9156350044875108</v>
      </c>
      <c r="AG40" s="279">
        <v>8.9156350044875108</v>
      </c>
    </row>
    <row r="41" spans="1:33" x14ac:dyDescent="0.25">
      <c r="A41" s="280" t="s">
        <v>30</v>
      </c>
      <c r="B41" s="280" t="s">
        <v>18</v>
      </c>
      <c r="C41" s="280" t="s">
        <v>115</v>
      </c>
      <c r="D41" s="280" t="s">
        <v>356</v>
      </c>
      <c r="E41" s="280" t="s">
        <v>17</v>
      </c>
      <c r="F41" s="280" t="s">
        <v>357</v>
      </c>
      <c r="G41" s="280">
        <v>0.51560298821132577</v>
      </c>
      <c r="H41" s="280">
        <v>0.51560298821132577</v>
      </c>
      <c r="I41" s="280">
        <v>0.51560298821132577</v>
      </c>
      <c r="J41" s="280">
        <v>0.51560298821132577</v>
      </c>
      <c r="K41" s="280">
        <v>0.51560298821132577</v>
      </c>
      <c r="L41" s="280">
        <v>0.51560298821132577</v>
      </c>
      <c r="M41" s="280">
        <v>0.51560298821132577</v>
      </c>
      <c r="N41" s="280">
        <v>0.51560298821132577</v>
      </c>
      <c r="O41" s="280">
        <v>0.51560298821132577</v>
      </c>
      <c r="P41" s="280">
        <v>0.51560298821132577</v>
      </c>
      <c r="Q41" s="280">
        <v>0.51560298821132577</v>
      </c>
      <c r="R41" s="280">
        <v>0.51560298821132577</v>
      </c>
      <c r="S41" s="280">
        <v>0.51560298821132577</v>
      </c>
      <c r="T41" s="280">
        <v>0.51560298821132577</v>
      </c>
      <c r="U41" s="280">
        <v>0.51560298821132577</v>
      </c>
      <c r="V41" s="280">
        <v>0.51560298821132577</v>
      </c>
      <c r="W41" s="280">
        <v>0.51560298821132577</v>
      </c>
      <c r="X41" s="280">
        <v>0.51560298821132577</v>
      </c>
      <c r="Y41" s="280">
        <v>0.51560298821132577</v>
      </c>
      <c r="Z41" s="280">
        <v>0.51560298821132577</v>
      </c>
      <c r="AA41" s="280">
        <v>0.51560298821132577</v>
      </c>
      <c r="AB41" s="280">
        <v>0.51560298821132577</v>
      </c>
      <c r="AC41" s="280">
        <v>0.51560298821132577</v>
      </c>
      <c r="AD41" s="280">
        <v>0.51560298821132577</v>
      </c>
      <c r="AE41" s="280">
        <v>0.51560298821132577</v>
      </c>
      <c r="AF41" s="280">
        <v>0.51560298821132577</v>
      </c>
      <c r="AG41" s="280">
        <v>0.51560298821132577</v>
      </c>
    </row>
    <row r="42" spans="1:33" x14ac:dyDescent="0.25">
      <c r="A42" s="277" t="s">
        <v>30</v>
      </c>
      <c r="B42" s="277" t="s">
        <v>18</v>
      </c>
      <c r="C42" s="277" t="s">
        <v>115</v>
      </c>
      <c r="D42" s="277" t="s">
        <v>278</v>
      </c>
      <c r="E42" s="277" t="s">
        <v>17</v>
      </c>
      <c r="F42" s="278" t="s">
        <v>279</v>
      </c>
      <c r="G42" s="279">
        <v>4.3611419419541315</v>
      </c>
      <c r="H42" s="279">
        <v>4.3611419419541315</v>
      </c>
      <c r="I42" s="279">
        <v>4.3611419419541315</v>
      </c>
      <c r="J42" s="279">
        <v>4.3611419419541315</v>
      </c>
      <c r="K42" s="279">
        <v>4.3611419419541315</v>
      </c>
      <c r="L42" s="279">
        <v>4.3611419419541315</v>
      </c>
      <c r="M42" s="279">
        <v>4.3611419419541315</v>
      </c>
      <c r="N42" s="279">
        <v>4.3611419419541315</v>
      </c>
      <c r="O42" s="279">
        <v>4.3611419419541315</v>
      </c>
      <c r="P42" s="279">
        <v>4.3611419419541315</v>
      </c>
      <c r="Q42" s="279">
        <v>4.3611419419541315</v>
      </c>
      <c r="R42" s="279">
        <v>4.3611419419541315</v>
      </c>
      <c r="S42" s="279">
        <v>4.3611419419541315</v>
      </c>
      <c r="T42" s="279">
        <v>4.3611419419541315</v>
      </c>
      <c r="U42" s="279">
        <v>4.3611419419541315</v>
      </c>
      <c r="V42" s="279">
        <v>4.3611419419541315</v>
      </c>
      <c r="W42" s="279">
        <v>4.3611419419541315</v>
      </c>
      <c r="X42" s="279">
        <v>4.3611419419541315</v>
      </c>
      <c r="Y42" s="279">
        <v>4.3611419419541315</v>
      </c>
      <c r="Z42" s="279">
        <v>4.3611419419541315</v>
      </c>
      <c r="AA42" s="279">
        <v>4.3611419419541315</v>
      </c>
      <c r="AB42" s="279">
        <v>4.3611419419541315</v>
      </c>
      <c r="AC42" s="279">
        <v>4.3611419419541315</v>
      </c>
      <c r="AD42" s="279">
        <v>4.3611419419541315</v>
      </c>
      <c r="AE42" s="279">
        <v>4.3611419419541315</v>
      </c>
      <c r="AF42" s="279">
        <v>4.3611419419541315</v>
      </c>
      <c r="AG42" s="279">
        <v>4.3611419419541315</v>
      </c>
    </row>
    <row r="43" spans="1:33" x14ac:dyDescent="0.25">
      <c r="A43" s="277" t="s">
        <v>30</v>
      </c>
      <c r="B43" s="277" t="s">
        <v>18</v>
      </c>
      <c r="C43" s="277" t="s">
        <v>115</v>
      </c>
      <c r="D43" s="277" t="s">
        <v>233</v>
      </c>
      <c r="E43" s="277" t="s">
        <v>17</v>
      </c>
      <c r="F43" s="278" t="s">
        <v>234</v>
      </c>
      <c r="G43" s="279">
        <v>0.38670224115849439</v>
      </c>
      <c r="H43" s="279">
        <v>0.38670224115849439</v>
      </c>
      <c r="I43" s="279">
        <v>0.38670224115849439</v>
      </c>
      <c r="J43" s="279">
        <v>0.38670224115849439</v>
      </c>
      <c r="K43" s="279">
        <v>0.38670224115849439</v>
      </c>
      <c r="L43" s="279">
        <v>0.38670224115849439</v>
      </c>
      <c r="M43" s="279">
        <v>0.38670224115849439</v>
      </c>
      <c r="N43" s="279">
        <v>0.38670224115849439</v>
      </c>
      <c r="O43" s="279">
        <v>0.38670224115849439</v>
      </c>
      <c r="P43" s="279">
        <v>0.38670224115849439</v>
      </c>
      <c r="Q43" s="279">
        <v>0.38670224115849439</v>
      </c>
      <c r="R43" s="279">
        <v>0.38670224115849439</v>
      </c>
      <c r="S43" s="279">
        <v>0.38670224115849439</v>
      </c>
      <c r="T43" s="279">
        <v>0.38670224115849439</v>
      </c>
      <c r="U43" s="279">
        <v>0.38670224115849439</v>
      </c>
      <c r="V43" s="279">
        <v>0.38670224115849439</v>
      </c>
      <c r="W43" s="279">
        <v>0.38670224115849439</v>
      </c>
      <c r="X43" s="279">
        <v>0.38670224115849439</v>
      </c>
      <c r="Y43" s="279">
        <v>0.38670224115849439</v>
      </c>
      <c r="Z43" s="279">
        <v>0.38670224115849439</v>
      </c>
      <c r="AA43" s="279">
        <v>0.38670224115849439</v>
      </c>
      <c r="AB43" s="279">
        <v>0.38670224115849439</v>
      </c>
      <c r="AC43" s="279">
        <v>0.38670224115849439</v>
      </c>
      <c r="AD43" s="279">
        <v>0.38670224115849439</v>
      </c>
      <c r="AE43" s="279">
        <v>0.38670224115849439</v>
      </c>
      <c r="AF43" s="279">
        <v>0.38670224115849439</v>
      </c>
      <c r="AG43" s="279">
        <v>0.38670224115849439</v>
      </c>
    </row>
    <row r="44" spans="1:33" x14ac:dyDescent="0.25">
      <c r="A44" s="277" t="s">
        <v>30</v>
      </c>
      <c r="B44" s="277" t="s">
        <v>18</v>
      </c>
      <c r="C44" s="277" t="s">
        <v>115</v>
      </c>
      <c r="D44" s="277" t="s">
        <v>47</v>
      </c>
      <c r="E44" s="277" t="s">
        <v>17</v>
      </c>
      <c r="F44" s="278" t="s">
        <v>213</v>
      </c>
      <c r="G44" s="279">
        <v>57.747534679668497</v>
      </c>
      <c r="H44" s="279">
        <v>57.747534679668497</v>
      </c>
      <c r="I44" s="279">
        <v>57.747534679668497</v>
      </c>
      <c r="J44" s="279">
        <v>57.747534679668497</v>
      </c>
      <c r="K44" s="279">
        <v>57.747534679668497</v>
      </c>
      <c r="L44" s="279">
        <v>57.747534679668497</v>
      </c>
      <c r="M44" s="279">
        <v>57.747534679668497</v>
      </c>
      <c r="N44" s="279">
        <v>57.747534679668497</v>
      </c>
      <c r="O44" s="279">
        <v>57.747534679668497</v>
      </c>
      <c r="P44" s="279">
        <v>57.747534679668497</v>
      </c>
      <c r="Q44" s="279">
        <v>57.747534679668497</v>
      </c>
      <c r="R44" s="279">
        <v>57.747534679668497</v>
      </c>
      <c r="S44" s="279">
        <v>57.747534679668497</v>
      </c>
      <c r="T44" s="279">
        <v>57.747534679668497</v>
      </c>
      <c r="U44" s="279">
        <v>57.747534679668497</v>
      </c>
      <c r="V44" s="279">
        <v>57.747534679668497</v>
      </c>
      <c r="W44" s="279">
        <v>57.747534679668497</v>
      </c>
      <c r="X44" s="279">
        <v>57.747534679668497</v>
      </c>
      <c r="Y44" s="279">
        <v>57.747534679668497</v>
      </c>
      <c r="Z44" s="279">
        <v>57.747534679668497</v>
      </c>
      <c r="AA44" s="279">
        <v>57.747534679668497</v>
      </c>
      <c r="AB44" s="279">
        <v>57.747534679668497</v>
      </c>
      <c r="AC44" s="279">
        <v>57.747534679668497</v>
      </c>
      <c r="AD44" s="279">
        <v>57.747534679668497</v>
      </c>
      <c r="AE44" s="279">
        <v>57.747534679668497</v>
      </c>
      <c r="AF44" s="279">
        <v>57.747534679668497</v>
      </c>
      <c r="AG44" s="279">
        <v>57.747534679668497</v>
      </c>
    </row>
    <row r="45" spans="1:33" x14ac:dyDescent="0.25">
      <c r="A45" s="280" t="s">
        <v>30</v>
      </c>
      <c r="B45" s="280" t="s">
        <v>18</v>
      </c>
      <c r="C45" s="280" t="s">
        <v>115</v>
      </c>
      <c r="D45" s="280" t="s">
        <v>366</v>
      </c>
      <c r="E45" s="280" t="s">
        <v>17</v>
      </c>
      <c r="F45" s="280" t="s">
        <v>367</v>
      </c>
      <c r="G45" s="280">
        <v>0.66598719310629595</v>
      </c>
      <c r="H45" s="280">
        <v>0.66598719310629595</v>
      </c>
      <c r="I45" s="280">
        <v>0.66598719310629595</v>
      </c>
      <c r="J45" s="280">
        <v>0.66598719310629595</v>
      </c>
      <c r="K45" s="280">
        <v>0.66598719310629595</v>
      </c>
      <c r="L45" s="280">
        <v>0.66598719310629595</v>
      </c>
      <c r="M45" s="280">
        <v>0.66598719310629595</v>
      </c>
      <c r="N45" s="280">
        <v>0.66598719310629595</v>
      </c>
      <c r="O45" s="280">
        <v>0.66598719310629595</v>
      </c>
      <c r="P45" s="280">
        <v>0.66598719310629595</v>
      </c>
      <c r="Q45" s="280">
        <v>0.66598719310629595</v>
      </c>
      <c r="R45" s="280">
        <v>0.66598719310629595</v>
      </c>
      <c r="S45" s="280">
        <v>0.66598719310629595</v>
      </c>
      <c r="T45" s="280">
        <v>0.66598719310629595</v>
      </c>
      <c r="U45" s="280">
        <v>0.66598719310629595</v>
      </c>
      <c r="V45" s="280">
        <v>0.66598719310629595</v>
      </c>
      <c r="W45" s="280">
        <v>0.66598719310629595</v>
      </c>
      <c r="X45" s="280">
        <v>0.66598719310629595</v>
      </c>
      <c r="Y45" s="280">
        <v>0.66598719310629595</v>
      </c>
      <c r="Z45" s="280">
        <v>0.66598719310629595</v>
      </c>
      <c r="AA45" s="280">
        <v>0.66598719310629595</v>
      </c>
      <c r="AB45" s="280">
        <v>0.66598719310629595</v>
      </c>
      <c r="AC45" s="280">
        <v>0.66598719310629595</v>
      </c>
      <c r="AD45" s="280">
        <v>0.66598719310629595</v>
      </c>
      <c r="AE45" s="280">
        <v>0.66598719310629595</v>
      </c>
      <c r="AF45" s="280">
        <v>0.66598719310629595</v>
      </c>
      <c r="AG45" s="280">
        <v>0.66598719310629595</v>
      </c>
    </row>
    <row r="46" spans="1:33" x14ac:dyDescent="0.25">
      <c r="A46" s="280" t="s">
        <v>30</v>
      </c>
      <c r="B46" s="280" t="s">
        <v>18</v>
      </c>
      <c r="C46" s="280" t="s">
        <v>115</v>
      </c>
      <c r="D46" s="280" t="s">
        <v>366</v>
      </c>
      <c r="E46" s="280" t="s">
        <v>17</v>
      </c>
      <c r="F46" s="280" t="s">
        <v>425</v>
      </c>
      <c r="G46" s="280">
        <v>5.4353148340610602</v>
      </c>
      <c r="H46" s="280">
        <v>5.4353148340610602</v>
      </c>
      <c r="I46" s="280">
        <v>5.4353148340610602</v>
      </c>
      <c r="J46" s="280">
        <v>5.4353148340610602</v>
      </c>
      <c r="K46" s="280">
        <v>5.4353148340610602</v>
      </c>
      <c r="L46" s="280">
        <v>5.4353148340610602</v>
      </c>
      <c r="M46" s="280">
        <v>5.4353148340610602</v>
      </c>
      <c r="N46" s="280">
        <v>5.4353148340610602</v>
      </c>
      <c r="O46" s="280">
        <v>5.4353148340610602</v>
      </c>
      <c r="P46" s="280">
        <v>5.4353148340610602</v>
      </c>
      <c r="Q46" s="280">
        <v>5.4353148340610602</v>
      </c>
      <c r="R46" s="280">
        <v>5.4353148340610602</v>
      </c>
      <c r="S46" s="280">
        <v>5.4353148340610602</v>
      </c>
      <c r="T46" s="280">
        <v>5.4353148340610602</v>
      </c>
      <c r="U46" s="280">
        <v>5.4353148340610602</v>
      </c>
      <c r="V46" s="280">
        <v>5.4353148340610602</v>
      </c>
      <c r="W46" s="280">
        <v>5.4353148340610602</v>
      </c>
      <c r="X46" s="280">
        <v>5.4353148340610602</v>
      </c>
      <c r="Y46" s="280">
        <v>5.4353148340610602</v>
      </c>
      <c r="Z46" s="280">
        <v>5.4353148340610602</v>
      </c>
      <c r="AA46" s="280">
        <v>5.4353148340610602</v>
      </c>
      <c r="AB46" s="280">
        <v>5.4353148340610602</v>
      </c>
      <c r="AC46" s="280">
        <v>5.4353148340610602</v>
      </c>
      <c r="AD46" s="280">
        <v>5.4353148340610602</v>
      </c>
      <c r="AE46" s="280">
        <v>5.4353148340610602</v>
      </c>
      <c r="AF46" s="280">
        <v>5.4353148340610602</v>
      </c>
      <c r="AG46" s="280">
        <v>5.4353148340610602</v>
      </c>
    </row>
    <row r="47" spans="1:33" x14ac:dyDescent="0.25">
      <c r="A47" s="277" t="s">
        <v>30</v>
      </c>
      <c r="B47" s="277" t="s">
        <v>18</v>
      </c>
      <c r="C47" s="277" t="s">
        <v>115</v>
      </c>
      <c r="D47" s="277" t="s">
        <v>291</v>
      </c>
      <c r="E47" s="277" t="s">
        <v>17</v>
      </c>
      <c r="F47" s="278" t="s">
        <v>292</v>
      </c>
      <c r="G47" s="279">
        <v>0.68747065094843451</v>
      </c>
      <c r="H47" s="279">
        <v>0.68747065094843451</v>
      </c>
      <c r="I47" s="279">
        <v>0.68747065094843451</v>
      </c>
      <c r="J47" s="279">
        <v>0.68747065094843451</v>
      </c>
      <c r="K47" s="279">
        <v>0.68747065094843451</v>
      </c>
      <c r="L47" s="279">
        <v>0.68747065094843451</v>
      </c>
      <c r="M47" s="279">
        <v>0.68747065094843451</v>
      </c>
      <c r="N47" s="279">
        <v>0.68747065094843451</v>
      </c>
      <c r="O47" s="279">
        <v>0.68747065094843451</v>
      </c>
      <c r="P47" s="279">
        <v>0.68747065094843451</v>
      </c>
      <c r="Q47" s="279">
        <v>0.68747065094843451</v>
      </c>
      <c r="R47" s="279">
        <v>0.68747065094843451</v>
      </c>
      <c r="S47" s="279">
        <v>0.68747065094843451</v>
      </c>
      <c r="T47" s="279">
        <v>0.68747065094843451</v>
      </c>
      <c r="U47" s="279">
        <v>0.68747065094843451</v>
      </c>
      <c r="V47" s="279">
        <v>0.68747065094843451</v>
      </c>
      <c r="W47" s="279">
        <v>0.68747065094843451</v>
      </c>
      <c r="X47" s="279">
        <v>0.68747065094843451</v>
      </c>
      <c r="Y47" s="279">
        <v>0.68747065094843451</v>
      </c>
      <c r="Z47" s="279">
        <v>0.68747065094843451</v>
      </c>
      <c r="AA47" s="279">
        <v>0.68747065094843451</v>
      </c>
      <c r="AB47" s="279">
        <v>0.68747065094843451</v>
      </c>
      <c r="AC47" s="279">
        <v>0.68747065094843451</v>
      </c>
      <c r="AD47" s="279">
        <v>0.68747065094843451</v>
      </c>
      <c r="AE47" s="279">
        <v>0.68747065094843451</v>
      </c>
      <c r="AF47" s="279">
        <v>0.68747065094843451</v>
      </c>
      <c r="AG47" s="279">
        <v>0.68747065094843451</v>
      </c>
    </row>
    <row r="48" spans="1:33" x14ac:dyDescent="0.25">
      <c r="A48" s="277" t="s">
        <v>30</v>
      </c>
      <c r="B48" s="277" t="s">
        <v>18</v>
      </c>
      <c r="C48" s="277" t="s">
        <v>115</v>
      </c>
      <c r="D48" s="277" t="s">
        <v>340</v>
      </c>
      <c r="E48" s="277" t="s">
        <v>17</v>
      </c>
      <c r="F48" s="278" t="s">
        <v>341</v>
      </c>
      <c r="G48" s="279">
        <v>0.94527214505409751</v>
      </c>
      <c r="H48" s="279">
        <v>0.94527214505409751</v>
      </c>
      <c r="I48" s="279">
        <v>0.94527214505409751</v>
      </c>
      <c r="J48" s="279">
        <v>0.94527214505409751</v>
      </c>
      <c r="K48" s="279">
        <v>0.94527214505409751</v>
      </c>
      <c r="L48" s="279">
        <v>0.94527214505409751</v>
      </c>
      <c r="M48" s="279">
        <v>0.94527214505409751</v>
      </c>
      <c r="N48" s="279">
        <v>0.94527214505409751</v>
      </c>
      <c r="O48" s="279">
        <v>0.94527214505409751</v>
      </c>
      <c r="P48" s="279">
        <v>0.94527214505409751</v>
      </c>
      <c r="Q48" s="279">
        <v>0.94527214505409751</v>
      </c>
      <c r="R48" s="279">
        <v>0.94527214505409751</v>
      </c>
      <c r="S48" s="279">
        <v>0.94527214505409751</v>
      </c>
      <c r="T48" s="279">
        <v>0.94527214505409751</v>
      </c>
      <c r="U48" s="279">
        <v>0.94527214505409751</v>
      </c>
      <c r="V48" s="279">
        <v>0.94527214505409751</v>
      </c>
      <c r="W48" s="279">
        <v>0.94527214505409751</v>
      </c>
      <c r="X48" s="279">
        <v>0.94527214505409751</v>
      </c>
      <c r="Y48" s="279">
        <v>0.94527214505409751</v>
      </c>
      <c r="Z48" s="279">
        <v>0.94527214505409751</v>
      </c>
      <c r="AA48" s="279">
        <v>0.94527214505409751</v>
      </c>
      <c r="AB48" s="279">
        <v>0.94527214505409751</v>
      </c>
      <c r="AC48" s="279">
        <v>0.94527214505409751</v>
      </c>
      <c r="AD48" s="279">
        <v>0.94527214505409751</v>
      </c>
      <c r="AE48" s="279">
        <v>0.94527214505409751</v>
      </c>
      <c r="AF48" s="279">
        <v>0.94527214505409751</v>
      </c>
      <c r="AG48" s="279">
        <v>0.94527214505409751</v>
      </c>
    </row>
    <row r="49" spans="1:33" x14ac:dyDescent="0.25">
      <c r="A49" s="277" t="s">
        <v>30</v>
      </c>
      <c r="B49" s="277" t="s">
        <v>18</v>
      </c>
      <c r="C49" s="277" t="s">
        <v>115</v>
      </c>
      <c r="D49" s="277" t="s">
        <v>11</v>
      </c>
      <c r="E49" s="277" t="s">
        <v>17</v>
      </c>
      <c r="F49" s="278" t="s">
        <v>322</v>
      </c>
      <c r="G49" s="279">
        <v>7.3043756663271173</v>
      </c>
      <c r="H49" s="279">
        <v>7.3043756663271173</v>
      </c>
      <c r="I49" s="279">
        <v>7.3043756663271173</v>
      </c>
      <c r="J49" s="279">
        <v>7.3043756663271173</v>
      </c>
      <c r="K49" s="279">
        <v>7.3043756663271173</v>
      </c>
      <c r="L49" s="279">
        <v>7.3043756663271173</v>
      </c>
      <c r="M49" s="279">
        <v>7.3043756663271173</v>
      </c>
      <c r="N49" s="279">
        <v>7.3043756663271173</v>
      </c>
      <c r="O49" s="279">
        <v>7.3043756663271173</v>
      </c>
      <c r="P49" s="279">
        <v>7.3043756663271173</v>
      </c>
      <c r="Q49" s="279">
        <v>7.3043756663271173</v>
      </c>
      <c r="R49" s="279">
        <v>7.3043756663271173</v>
      </c>
      <c r="S49" s="279">
        <v>7.3043756663271173</v>
      </c>
      <c r="T49" s="279">
        <v>7.3043756663271173</v>
      </c>
      <c r="U49" s="279">
        <v>7.3043756663271173</v>
      </c>
      <c r="V49" s="279">
        <v>7.3043756663271173</v>
      </c>
      <c r="W49" s="279">
        <v>7.3043756663271173</v>
      </c>
      <c r="X49" s="279">
        <v>7.3043756663271173</v>
      </c>
      <c r="Y49" s="279">
        <v>7.3043756663271173</v>
      </c>
      <c r="Z49" s="279">
        <v>7.3043756663271173</v>
      </c>
      <c r="AA49" s="279">
        <v>7.3043756663271173</v>
      </c>
      <c r="AB49" s="279">
        <v>7.3043756663271173</v>
      </c>
      <c r="AC49" s="279">
        <v>7.3043756663271173</v>
      </c>
      <c r="AD49" s="279">
        <v>7.3043756663271173</v>
      </c>
      <c r="AE49" s="279">
        <v>7.3043756663271173</v>
      </c>
      <c r="AF49" s="279">
        <v>7.3043756663271173</v>
      </c>
      <c r="AG49" s="279">
        <v>7.3043756663271173</v>
      </c>
    </row>
    <row r="50" spans="1:33" x14ac:dyDescent="0.25">
      <c r="A50" s="280" t="s">
        <v>30</v>
      </c>
      <c r="B50" s="280" t="s">
        <v>18</v>
      </c>
      <c r="C50" s="280" t="s">
        <v>115</v>
      </c>
      <c r="D50" s="280" t="s">
        <v>90</v>
      </c>
      <c r="E50" s="280" t="s">
        <v>17</v>
      </c>
      <c r="F50" s="280" t="s">
        <v>414</v>
      </c>
      <c r="G50" s="280">
        <v>1.0741728921069289</v>
      </c>
      <c r="H50" s="280">
        <v>1.0741728921069289</v>
      </c>
      <c r="I50" s="280">
        <v>1.0741728921069289</v>
      </c>
      <c r="J50" s="280">
        <v>1.0741728921069289</v>
      </c>
      <c r="K50" s="280">
        <v>1.0741728921069289</v>
      </c>
      <c r="L50" s="280">
        <v>1.0741728921069289</v>
      </c>
      <c r="M50" s="280">
        <v>1.0741728921069289</v>
      </c>
      <c r="N50" s="280">
        <v>1.0741728921069289</v>
      </c>
      <c r="O50" s="280">
        <v>1.0741728921069289</v>
      </c>
      <c r="P50" s="280">
        <v>1.0741728921069289</v>
      </c>
      <c r="Q50" s="280">
        <v>1.0741728921069289</v>
      </c>
      <c r="R50" s="280">
        <v>1.0741728921069289</v>
      </c>
      <c r="S50" s="280">
        <v>1.0741728921069289</v>
      </c>
      <c r="T50" s="280">
        <v>1.0741728921069289</v>
      </c>
      <c r="U50" s="280">
        <v>1.0741728921069289</v>
      </c>
      <c r="V50" s="280">
        <v>1.0741728921069289</v>
      </c>
      <c r="W50" s="280">
        <v>1.0741728921069289</v>
      </c>
      <c r="X50" s="280">
        <v>1.0741728921069289</v>
      </c>
      <c r="Y50" s="280">
        <v>1.0741728921069289</v>
      </c>
      <c r="Z50" s="280">
        <v>1.0741728921069289</v>
      </c>
      <c r="AA50" s="280">
        <v>1.0741728921069289</v>
      </c>
      <c r="AB50" s="280">
        <v>1.0741728921069289</v>
      </c>
      <c r="AC50" s="280">
        <v>1.0741728921069289</v>
      </c>
      <c r="AD50" s="280">
        <v>1.0741728921069289</v>
      </c>
      <c r="AE50" s="280">
        <v>1.0741728921069289</v>
      </c>
      <c r="AF50" s="280">
        <v>1.0741728921069289</v>
      </c>
      <c r="AG50" s="280">
        <v>1.0741728921069289</v>
      </c>
    </row>
    <row r="51" spans="1:33" x14ac:dyDescent="0.25">
      <c r="A51" s="280" t="s">
        <v>30</v>
      </c>
      <c r="B51" s="280" t="s">
        <v>18</v>
      </c>
      <c r="C51" s="280" t="s">
        <v>115</v>
      </c>
      <c r="D51" s="280" t="s">
        <v>395</v>
      </c>
      <c r="E51" s="280" t="s">
        <v>17</v>
      </c>
      <c r="F51" s="280" t="s">
        <v>396</v>
      </c>
      <c r="G51" s="280">
        <v>1.267524012686176</v>
      </c>
      <c r="H51" s="280">
        <v>1.267524012686176</v>
      </c>
      <c r="I51" s="280">
        <v>1.267524012686176</v>
      </c>
      <c r="J51" s="280">
        <v>1.267524012686176</v>
      </c>
      <c r="K51" s="280">
        <v>1.267524012686176</v>
      </c>
      <c r="L51" s="280">
        <v>1.267524012686176</v>
      </c>
      <c r="M51" s="280">
        <v>1.267524012686176</v>
      </c>
      <c r="N51" s="280">
        <v>1.267524012686176</v>
      </c>
      <c r="O51" s="280">
        <v>1.267524012686176</v>
      </c>
      <c r="P51" s="280">
        <v>1.267524012686176</v>
      </c>
      <c r="Q51" s="280">
        <v>1.267524012686176</v>
      </c>
      <c r="R51" s="280">
        <v>1.267524012686176</v>
      </c>
      <c r="S51" s="280">
        <v>1.267524012686176</v>
      </c>
      <c r="T51" s="280">
        <v>1.267524012686176</v>
      </c>
      <c r="U51" s="280">
        <v>1.267524012686176</v>
      </c>
      <c r="V51" s="280">
        <v>1.267524012686176</v>
      </c>
      <c r="W51" s="280">
        <v>1.267524012686176</v>
      </c>
      <c r="X51" s="280">
        <v>1.267524012686176</v>
      </c>
      <c r="Y51" s="280">
        <v>1.267524012686176</v>
      </c>
      <c r="Z51" s="280">
        <v>1.267524012686176</v>
      </c>
      <c r="AA51" s="280">
        <v>1.267524012686176</v>
      </c>
      <c r="AB51" s="280">
        <v>1.267524012686176</v>
      </c>
      <c r="AC51" s="280">
        <v>1.267524012686176</v>
      </c>
      <c r="AD51" s="280">
        <v>1.267524012686176</v>
      </c>
      <c r="AE51" s="280">
        <v>1.267524012686176</v>
      </c>
      <c r="AF51" s="280">
        <v>1.267524012686176</v>
      </c>
      <c r="AG51" s="280">
        <v>1.267524012686176</v>
      </c>
    </row>
    <row r="52" spans="1:33" x14ac:dyDescent="0.25">
      <c r="A52" s="277" t="s">
        <v>30</v>
      </c>
      <c r="B52" s="277" t="s">
        <v>18</v>
      </c>
      <c r="C52" s="277" t="s">
        <v>115</v>
      </c>
      <c r="D52" s="277" t="s">
        <v>206</v>
      </c>
      <c r="E52" s="277" t="s">
        <v>17</v>
      </c>
      <c r="F52" s="278" t="s">
        <v>207</v>
      </c>
      <c r="G52" s="279">
        <v>5.1775133399553974</v>
      </c>
      <c r="H52" s="279">
        <v>5.1775133399553974</v>
      </c>
      <c r="I52" s="279">
        <v>5.1775133399553974</v>
      </c>
      <c r="J52" s="279">
        <v>5.1775133399553974</v>
      </c>
      <c r="K52" s="279">
        <v>5.1775133399553974</v>
      </c>
      <c r="L52" s="279">
        <v>5.1775133399553974</v>
      </c>
      <c r="M52" s="279">
        <v>5.1775133399553974</v>
      </c>
      <c r="N52" s="279">
        <v>5.1775133399553974</v>
      </c>
      <c r="O52" s="279">
        <v>5.1775133399553974</v>
      </c>
      <c r="P52" s="279">
        <v>5.1775133399553974</v>
      </c>
      <c r="Q52" s="279">
        <v>5.1775133399553974</v>
      </c>
      <c r="R52" s="279">
        <v>5.1775133399553974</v>
      </c>
      <c r="S52" s="279">
        <v>5.1775133399553974</v>
      </c>
      <c r="T52" s="279">
        <v>5.1775133399553974</v>
      </c>
      <c r="U52" s="279">
        <v>5.1775133399553974</v>
      </c>
      <c r="V52" s="279">
        <v>5.1775133399553974</v>
      </c>
      <c r="W52" s="279">
        <v>5.1775133399553974</v>
      </c>
      <c r="X52" s="279">
        <v>5.1775133399553974</v>
      </c>
      <c r="Y52" s="279">
        <v>5.1775133399553974</v>
      </c>
      <c r="Z52" s="279">
        <v>5.1775133399553974</v>
      </c>
      <c r="AA52" s="279">
        <v>5.1775133399553974</v>
      </c>
      <c r="AB52" s="279">
        <v>5.1775133399553974</v>
      </c>
      <c r="AC52" s="279">
        <v>5.1775133399553974</v>
      </c>
      <c r="AD52" s="279">
        <v>5.1775133399553974</v>
      </c>
      <c r="AE52" s="279">
        <v>5.1775133399553974</v>
      </c>
      <c r="AF52" s="279">
        <v>5.1775133399553974</v>
      </c>
      <c r="AG52" s="279">
        <v>5.1775133399553974</v>
      </c>
    </row>
    <row r="53" spans="1:33" x14ac:dyDescent="0.25">
      <c r="A53" s="280" t="s">
        <v>30</v>
      </c>
      <c r="B53" s="280" t="s">
        <v>18</v>
      </c>
      <c r="C53" s="280" t="s">
        <v>115</v>
      </c>
      <c r="D53" s="280" t="s">
        <v>350</v>
      </c>
      <c r="E53" s="280" t="s">
        <v>17</v>
      </c>
      <c r="F53" s="280" t="s">
        <v>351</v>
      </c>
      <c r="G53" s="280">
        <v>4.1463073635327454</v>
      </c>
      <c r="H53" s="280">
        <v>4.1463073635327454</v>
      </c>
      <c r="I53" s="280">
        <v>4.1463073635327454</v>
      </c>
      <c r="J53" s="280">
        <v>4.1463073635327454</v>
      </c>
      <c r="K53" s="280">
        <v>4.1463073635327454</v>
      </c>
      <c r="L53" s="280">
        <v>4.1463073635327454</v>
      </c>
      <c r="M53" s="280">
        <v>4.1463073635327454</v>
      </c>
      <c r="N53" s="280">
        <v>4.1463073635327454</v>
      </c>
      <c r="O53" s="280">
        <v>4.1463073635327454</v>
      </c>
      <c r="P53" s="280">
        <v>4.1463073635327454</v>
      </c>
      <c r="Q53" s="280">
        <v>4.1463073635327454</v>
      </c>
      <c r="R53" s="280">
        <v>4.1463073635327454</v>
      </c>
      <c r="S53" s="280">
        <v>4.1463073635327454</v>
      </c>
      <c r="T53" s="280">
        <v>4.1463073635327454</v>
      </c>
      <c r="U53" s="280">
        <v>4.1463073635327454</v>
      </c>
      <c r="V53" s="280">
        <v>4.1463073635327454</v>
      </c>
      <c r="W53" s="280">
        <v>4.1463073635327454</v>
      </c>
      <c r="X53" s="280">
        <v>4.1463073635327454</v>
      </c>
      <c r="Y53" s="280">
        <v>4.1463073635327454</v>
      </c>
      <c r="Z53" s="280">
        <v>4.1463073635327454</v>
      </c>
      <c r="AA53" s="280">
        <v>4.1463073635327454</v>
      </c>
      <c r="AB53" s="280">
        <v>4.1463073635327454</v>
      </c>
      <c r="AC53" s="280">
        <v>4.1463073635327454</v>
      </c>
      <c r="AD53" s="280">
        <v>4.1463073635327454</v>
      </c>
      <c r="AE53" s="280">
        <v>4.1463073635327454</v>
      </c>
      <c r="AF53" s="280">
        <v>4.1463073635327454</v>
      </c>
      <c r="AG53" s="280">
        <v>4.1463073635327454</v>
      </c>
    </row>
    <row r="54" spans="1:33" x14ac:dyDescent="0.25">
      <c r="A54" s="277" t="s">
        <v>30</v>
      </c>
      <c r="B54" s="277" t="s">
        <v>18</v>
      </c>
      <c r="C54" s="277" t="s">
        <v>115</v>
      </c>
      <c r="D54" s="277" t="s">
        <v>113</v>
      </c>
      <c r="E54" s="277" t="s">
        <v>17</v>
      </c>
      <c r="F54" s="278" t="s">
        <v>124</v>
      </c>
      <c r="G54" s="279">
        <v>3.2869690498472028</v>
      </c>
      <c r="H54" s="279">
        <v>3.2869690498472028</v>
      </c>
      <c r="I54" s="279">
        <v>3.2869690498472028</v>
      </c>
      <c r="J54" s="279">
        <v>3.2869690498472028</v>
      </c>
      <c r="K54" s="279">
        <v>3.2869690498472028</v>
      </c>
      <c r="L54" s="279">
        <v>3.2869690498472028</v>
      </c>
      <c r="M54" s="279">
        <v>3.2869690498472028</v>
      </c>
      <c r="N54" s="279">
        <v>3.2869690498472028</v>
      </c>
      <c r="O54" s="279">
        <v>3.2869690498472028</v>
      </c>
      <c r="P54" s="279">
        <v>3.2869690498472028</v>
      </c>
      <c r="Q54" s="279">
        <v>3.2869690498472028</v>
      </c>
      <c r="R54" s="279">
        <v>3.2869690498472028</v>
      </c>
      <c r="S54" s="279">
        <v>3.2869690498472028</v>
      </c>
      <c r="T54" s="279">
        <v>3.2869690498472028</v>
      </c>
      <c r="U54" s="279">
        <v>3.2869690498472028</v>
      </c>
      <c r="V54" s="279">
        <v>3.2869690498472028</v>
      </c>
      <c r="W54" s="279">
        <v>3.2869690498472028</v>
      </c>
      <c r="X54" s="279">
        <v>3.2869690498472028</v>
      </c>
      <c r="Y54" s="279">
        <v>3.2869690498472028</v>
      </c>
      <c r="Z54" s="279">
        <v>3.2869690498472028</v>
      </c>
      <c r="AA54" s="279">
        <v>3.2869690498472028</v>
      </c>
      <c r="AB54" s="279">
        <v>3.2869690498472028</v>
      </c>
      <c r="AC54" s="279">
        <v>3.2869690498472028</v>
      </c>
      <c r="AD54" s="279">
        <v>3.2869690498472028</v>
      </c>
      <c r="AE54" s="279">
        <v>3.2869690498472028</v>
      </c>
      <c r="AF54" s="279">
        <v>3.2869690498472028</v>
      </c>
      <c r="AG54" s="279">
        <v>3.2869690498472028</v>
      </c>
    </row>
    <row r="55" spans="1:33" x14ac:dyDescent="0.25">
      <c r="A55" s="280" t="s">
        <v>30</v>
      </c>
      <c r="B55" s="280" t="s">
        <v>18</v>
      </c>
      <c r="C55" s="280" t="s">
        <v>115</v>
      </c>
      <c r="D55" s="280" t="s">
        <v>384</v>
      </c>
      <c r="E55" s="280" t="s">
        <v>17</v>
      </c>
      <c r="F55" s="280" t="s">
        <v>385</v>
      </c>
      <c r="G55" s="280">
        <v>2.2772465312666892</v>
      </c>
      <c r="H55" s="280">
        <v>2.2772465312666892</v>
      </c>
      <c r="I55" s="280">
        <v>2.2772465312666892</v>
      </c>
      <c r="J55" s="280">
        <v>2.2772465312666892</v>
      </c>
      <c r="K55" s="280">
        <v>2.2772465312666892</v>
      </c>
      <c r="L55" s="280">
        <v>2.2772465312666892</v>
      </c>
      <c r="M55" s="280">
        <v>2.2772465312666892</v>
      </c>
      <c r="N55" s="280">
        <v>2.2772465312666892</v>
      </c>
      <c r="O55" s="280">
        <v>2.2772465312666892</v>
      </c>
      <c r="P55" s="280">
        <v>2.2772465312666892</v>
      </c>
      <c r="Q55" s="280">
        <v>2.2772465312666892</v>
      </c>
      <c r="R55" s="280">
        <v>2.2772465312666892</v>
      </c>
      <c r="S55" s="280">
        <v>2.2772465312666892</v>
      </c>
      <c r="T55" s="280">
        <v>2.2772465312666892</v>
      </c>
      <c r="U55" s="280">
        <v>2.2772465312666892</v>
      </c>
      <c r="V55" s="280">
        <v>2.2772465312666892</v>
      </c>
      <c r="W55" s="280">
        <v>2.2772465312666892</v>
      </c>
      <c r="X55" s="280">
        <v>2.2772465312666892</v>
      </c>
      <c r="Y55" s="280">
        <v>2.2772465312666892</v>
      </c>
      <c r="Z55" s="280">
        <v>2.2772465312666892</v>
      </c>
      <c r="AA55" s="280">
        <v>2.2772465312666892</v>
      </c>
      <c r="AB55" s="280">
        <v>2.2772465312666892</v>
      </c>
      <c r="AC55" s="280">
        <v>2.2772465312666892</v>
      </c>
      <c r="AD55" s="280">
        <v>2.2772465312666892</v>
      </c>
      <c r="AE55" s="280">
        <v>2.2772465312666892</v>
      </c>
      <c r="AF55" s="280">
        <v>2.2772465312666892</v>
      </c>
      <c r="AG55" s="280">
        <v>2.2772465312666892</v>
      </c>
    </row>
    <row r="56" spans="1:33" x14ac:dyDescent="0.25">
      <c r="A56" s="280" t="s">
        <v>30</v>
      </c>
      <c r="B56" s="280" t="s">
        <v>18</v>
      </c>
      <c r="C56" s="280" t="s">
        <v>115</v>
      </c>
      <c r="D56" s="280" t="s">
        <v>68</v>
      </c>
      <c r="E56" s="280" t="s">
        <v>17</v>
      </c>
      <c r="F56" s="280" t="s">
        <v>524</v>
      </c>
      <c r="G56" s="280">
        <v>46.318335107650782</v>
      </c>
      <c r="H56" s="280">
        <v>46.318335107650782</v>
      </c>
      <c r="I56" s="280">
        <v>46.318335107650782</v>
      </c>
      <c r="J56" s="280">
        <v>46.318335107650782</v>
      </c>
      <c r="K56" s="280">
        <v>46.318335107650782</v>
      </c>
      <c r="L56" s="280">
        <v>46.318335107650782</v>
      </c>
      <c r="M56" s="280">
        <v>46.318335107650782</v>
      </c>
      <c r="N56" s="280">
        <v>46.318335107650782</v>
      </c>
      <c r="O56" s="280">
        <v>46.318335107650782</v>
      </c>
      <c r="P56" s="280">
        <v>46.318335107650782</v>
      </c>
      <c r="Q56" s="280">
        <v>46.318335107650782</v>
      </c>
      <c r="R56" s="280">
        <v>46.318335107650782</v>
      </c>
      <c r="S56" s="280">
        <v>46.318335107650782</v>
      </c>
      <c r="T56" s="280">
        <v>46.318335107650782</v>
      </c>
      <c r="U56" s="280">
        <v>46.318335107650782</v>
      </c>
      <c r="V56" s="280">
        <v>46.318335107650782</v>
      </c>
      <c r="W56" s="280">
        <v>46.318335107650782</v>
      </c>
      <c r="X56" s="280">
        <v>46.318335107650782</v>
      </c>
      <c r="Y56" s="280">
        <v>46.318335107650782</v>
      </c>
      <c r="Z56" s="280">
        <v>46.318335107650782</v>
      </c>
      <c r="AA56" s="280">
        <v>46.318335107650782</v>
      </c>
      <c r="AB56" s="280">
        <v>46.318335107650782</v>
      </c>
      <c r="AC56" s="280">
        <v>46.318335107650782</v>
      </c>
      <c r="AD56" s="280">
        <v>46.318335107650782</v>
      </c>
      <c r="AE56" s="280">
        <v>46.318335107650782</v>
      </c>
      <c r="AF56" s="280">
        <v>46.318335107650782</v>
      </c>
      <c r="AG56" s="280">
        <v>46.318335107650782</v>
      </c>
    </row>
    <row r="57" spans="1:33" x14ac:dyDescent="0.25">
      <c r="A57" s="277" t="s">
        <v>30</v>
      </c>
      <c r="B57" s="277" t="s">
        <v>18</v>
      </c>
      <c r="C57" s="277" t="s">
        <v>115</v>
      </c>
      <c r="D57" s="277" t="s">
        <v>37</v>
      </c>
      <c r="E57" s="277" t="s">
        <v>17</v>
      </c>
      <c r="F57" s="278" t="s">
        <v>133</v>
      </c>
      <c r="G57" s="279">
        <v>2.6209818567409067</v>
      </c>
      <c r="H57" s="279">
        <v>2.6209818567409067</v>
      </c>
      <c r="I57" s="279">
        <v>2.6209818567409067</v>
      </c>
      <c r="J57" s="279">
        <v>2.6209818567409067</v>
      </c>
      <c r="K57" s="279">
        <v>2.6209818567409067</v>
      </c>
      <c r="L57" s="279">
        <v>2.6209818567409067</v>
      </c>
      <c r="M57" s="279">
        <v>2.6209818567409067</v>
      </c>
      <c r="N57" s="279">
        <v>2.6209818567409067</v>
      </c>
      <c r="O57" s="279">
        <v>2.6209818567409067</v>
      </c>
      <c r="P57" s="279">
        <v>2.6209818567409067</v>
      </c>
      <c r="Q57" s="279">
        <v>2.6209818567409067</v>
      </c>
      <c r="R57" s="279">
        <v>2.6209818567409067</v>
      </c>
      <c r="S57" s="279">
        <v>2.6209818567409067</v>
      </c>
      <c r="T57" s="279">
        <v>2.6209818567409067</v>
      </c>
      <c r="U57" s="279">
        <v>2.6209818567409067</v>
      </c>
      <c r="V57" s="279">
        <v>2.6209818567409067</v>
      </c>
      <c r="W57" s="279">
        <v>2.6209818567409067</v>
      </c>
      <c r="X57" s="279">
        <v>2.6209818567409067</v>
      </c>
      <c r="Y57" s="279">
        <v>2.6209818567409067</v>
      </c>
      <c r="Z57" s="279">
        <v>2.6209818567409067</v>
      </c>
      <c r="AA57" s="279">
        <v>2.6209818567409067</v>
      </c>
      <c r="AB57" s="279">
        <v>2.6209818567409067</v>
      </c>
      <c r="AC57" s="279">
        <v>2.6209818567409067</v>
      </c>
      <c r="AD57" s="279">
        <v>2.6209818567409067</v>
      </c>
      <c r="AE57" s="279">
        <v>2.6209818567409067</v>
      </c>
      <c r="AF57" s="279">
        <v>2.6209818567409067</v>
      </c>
      <c r="AG57" s="279">
        <v>2.6209818567409067</v>
      </c>
    </row>
    <row r="58" spans="1:33" x14ac:dyDescent="0.25">
      <c r="A58" s="277" t="s">
        <v>30</v>
      </c>
      <c r="B58" s="277" t="s">
        <v>18</v>
      </c>
      <c r="C58" s="277" t="s">
        <v>115</v>
      </c>
      <c r="D58" s="277" t="s">
        <v>78</v>
      </c>
      <c r="E58" s="277" t="s">
        <v>17</v>
      </c>
      <c r="F58" s="278" t="s">
        <v>237</v>
      </c>
      <c r="G58" s="279">
        <v>7.4117929555378099</v>
      </c>
      <c r="H58" s="279">
        <v>7.4117929555378099</v>
      </c>
      <c r="I58" s="279">
        <v>7.4117929555378099</v>
      </c>
      <c r="J58" s="279">
        <v>7.4117929555378099</v>
      </c>
      <c r="K58" s="279">
        <v>7.4117929555378099</v>
      </c>
      <c r="L58" s="279">
        <v>7.4117929555378099</v>
      </c>
      <c r="M58" s="279">
        <v>7.4117929555378099</v>
      </c>
      <c r="N58" s="279">
        <v>7.4117929555378099</v>
      </c>
      <c r="O58" s="279">
        <v>7.4117929555378099</v>
      </c>
      <c r="P58" s="279">
        <v>7.4117929555378099</v>
      </c>
      <c r="Q58" s="279">
        <v>7.4117929555378099</v>
      </c>
      <c r="R58" s="279">
        <v>7.4117929555378099</v>
      </c>
      <c r="S58" s="279">
        <v>7.4117929555378099</v>
      </c>
      <c r="T58" s="279">
        <v>7.4117929555378099</v>
      </c>
      <c r="U58" s="279">
        <v>7.4117929555378099</v>
      </c>
      <c r="V58" s="279">
        <v>7.4117929555378099</v>
      </c>
      <c r="W58" s="279">
        <v>7.4117929555378099</v>
      </c>
      <c r="X58" s="279">
        <v>7.4117929555378099</v>
      </c>
      <c r="Y58" s="279">
        <v>7.4117929555378099</v>
      </c>
      <c r="Z58" s="279">
        <v>7.4117929555378099</v>
      </c>
      <c r="AA58" s="279">
        <v>7.4117929555378099</v>
      </c>
      <c r="AB58" s="279">
        <v>7.4117929555378099</v>
      </c>
      <c r="AC58" s="279">
        <v>7.4117929555378099</v>
      </c>
      <c r="AD58" s="279">
        <v>7.4117929555378099</v>
      </c>
      <c r="AE58" s="279">
        <v>7.4117929555378099</v>
      </c>
      <c r="AF58" s="279">
        <v>7.4117929555378099</v>
      </c>
      <c r="AG58" s="279">
        <v>7.4117929555378099</v>
      </c>
    </row>
    <row r="59" spans="1:33" x14ac:dyDescent="0.25">
      <c r="A59" s="280" t="s">
        <v>30</v>
      </c>
      <c r="B59" s="280" t="s">
        <v>18</v>
      </c>
      <c r="C59" s="280" t="s">
        <v>115</v>
      </c>
      <c r="D59" s="280" t="s">
        <v>471</v>
      </c>
      <c r="E59" s="280" t="s">
        <v>17</v>
      </c>
      <c r="F59" s="280" t="s">
        <v>472</v>
      </c>
      <c r="G59" s="280">
        <v>1.525325506791839</v>
      </c>
      <c r="H59" s="280">
        <v>1.525325506791839</v>
      </c>
      <c r="I59" s="280">
        <v>1.525325506791839</v>
      </c>
      <c r="J59" s="280">
        <v>1.525325506791839</v>
      </c>
      <c r="K59" s="280">
        <v>1.525325506791839</v>
      </c>
      <c r="L59" s="280">
        <v>1.525325506791839</v>
      </c>
      <c r="M59" s="280">
        <v>1.525325506791839</v>
      </c>
      <c r="N59" s="280">
        <v>1.525325506791839</v>
      </c>
      <c r="O59" s="280">
        <v>1.525325506791839</v>
      </c>
      <c r="P59" s="280">
        <v>1.525325506791839</v>
      </c>
      <c r="Q59" s="280">
        <v>1.525325506791839</v>
      </c>
      <c r="R59" s="280">
        <v>1.525325506791839</v>
      </c>
      <c r="S59" s="280">
        <v>1.525325506791839</v>
      </c>
      <c r="T59" s="280">
        <v>1.525325506791839</v>
      </c>
      <c r="U59" s="280">
        <v>1.525325506791839</v>
      </c>
      <c r="V59" s="280">
        <v>1.525325506791839</v>
      </c>
      <c r="W59" s="280">
        <v>1.525325506791839</v>
      </c>
      <c r="X59" s="280">
        <v>1.525325506791839</v>
      </c>
      <c r="Y59" s="280">
        <v>1.525325506791839</v>
      </c>
      <c r="Z59" s="280">
        <v>1.525325506791839</v>
      </c>
      <c r="AA59" s="280">
        <v>1.525325506791839</v>
      </c>
      <c r="AB59" s="280">
        <v>1.525325506791839</v>
      </c>
      <c r="AC59" s="280">
        <v>1.525325506791839</v>
      </c>
      <c r="AD59" s="280">
        <v>1.525325506791839</v>
      </c>
      <c r="AE59" s="280">
        <v>1.525325506791839</v>
      </c>
      <c r="AF59" s="280">
        <v>1.525325506791839</v>
      </c>
      <c r="AG59" s="280">
        <v>1.525325506791839</v>
      </c>
    </row>
    <row r="60" spans="1:33" x14ac:dyDescent="0.25">
      <c r="A60" s="277" t="s">
        <v>30</v>
      </c>
      <c r="B60" s="277" t="s">
        <v>18</v>
      </c>
      <c r="C60" s="277" t="s">
        <v>115</v>
      </c>
      <c r="D60" s="277" t="s">
        <v>137</v>
      </c>
      <c r="E60" s="277" t="s">
        <v>17</v>
      </c>
      <c r="F60" s="278" t="s">
        <v>138</v>
      </c>
      <c r="G60" s="279">
        <v>1.0526894342647903</v>
      </c>
      <c r="H60" s="279">
        <v>1.0526894342647903</v>
      </c>
      <c r="I60" s="279">
        <v>1.0526894342647903</v>
      </c>
      <c r="J60" s="279">
        <v>1.0526894342647903</v>
      </c>
      <c r="K60" s="279">
        <v>1.0526894342647903</v>
      </c>
      <c r="L60" s="279">
        <v>1.0526894342647903</v>
      </c>
      <c r="M60" s="279">
        <v>1.0526894342647903</v>
      </c>
      <c r="N60" s="279">
        <v>1.0526894342647903</v>
      </c>
      <c r="O60" s="279">
        <v>1.0526894342647903</v>
      </c>
      <c r="P60" s="279">
        <v>1.0526894342647903</v>
      </c>
      <c r="Q60" s="279">
        <v>1.0526894342647903</v>
      </c>
      <c r="R60" s="279">
        <v>1.0526894342647903</v>
      </c>
      <c r="S60" s="279">
        <v>1.0526894342647903</v>
      </c>
      <c r="T60" s="279">
        <v>1.0526894342647903</v>
      </c>
      <c r="U60" s="279">
        <v>1.0526894342647903</v>
      </c>
      <c r="V60" s="279">
        <v>1.0526894342647903</v>
      </c>
      <c r="W60" s="279">
        <v>1.0526894342647903</v>
      </c>
      <c r="X60" s="279">
        <v>1.0526894342647903</v>
      </c>
      <c r="Y60" s="279">
        <v>1.0526894342647903</v>
      </c>
      <c r="Z60" s="279">
        <v>1.0526894342647903</v>
      </c>
      <c r="AA60" s="279">
        <v>1.0526894342647903</v>
      </c>
      <c r="AB60" s="279">
        <v>1.0526894342647903</v>
      </c>
      <c r="AC60" s="279">
        <v>1.0526894342647903</v>
      </c>
      <c r="AD60" s="279">
        <v>1.0526894342647903</v>
      </c>
      <c r="AE60" s="279">
        <v>1.0526894342647903</v>
      </c>
      <c r="AF60" s="279">
        <v>1.0526894342647903</v>
      </c>
      <c r="AG60" s="279">
        <v>1.0526894342647903</v>
      </c>
    </row>
    <row r="61" spans="1:33" x14ac:dyDescent="0.25">
      <c r="A61" s="277" t="s">
        <v>30</v>
      </c>
      <c r="B61" s="277" t="s">
        <v>18</v>
      </c>
      <c r="C61" s="277" t="s">
        <v>115</v>
      </c>
      <c r="D61" s="277" t="s">
        <v>101</v>
      </c>
      <c r="E61" s="277" t="s">
        <v>17</v>
      </c>
      <c r="F61" s="278" t="s">
        <v>325</v>
      </c>
      <c r="G61" s="279">
        <v>24.082956241037348</v>
      </c>
      <c r="H61" s="279">
        <v>24.082956241037348</v>
      </c>
      <c r="I61" s="279">
        <v>24.082956241037348</v>
      </c>
      <c r="J61" s="279">
        <v>24.082956241037348</v>
      </c>
      <c r="K61" s="279">
        <v>24.082956241037348</v>
      </c>
      <c r="L61" s="279">
        <v>24.082956241037348</v>
      </c>
      <c r="M61" s="279">
        <v>24.082956241037348</v>
      </c>
      <c r="N61" s="279">
        <v>24.082956241037348</v>
      </c>
      <c r="O61" s="279">
        <v>24.082956241037348</v>
      </c>
      <c r="P61" s="279">
        <v>24.082956241037348</v>
      </c>
      <c r="Q61" s="279">
        <v>24.082956241037348</v>
      </c>
      <c r="R61" s="279">
        <v>24.082956241037348</v>
      </c>
      <c r="S61" s="279">
        <v>24.082956241037348</v>
      </c>
      <c r="T61" s="279">
        <v>24.082956241037348</v>
      </c>
      <c r="U61" s="279">
        <v>24.082956241037348</v>
      </c>
      <c r="V61" s="279">
        <v>24.082956241037348</v>
      </c>
      <c r="W61" s="279">
        <v>24.082956241037348</v>
      </c>
      <c r="X61" s="279">
        <v>24.082956241037348</v>
      </c>
      <c r="Y61" s="279">
        <v>24.082956241037348</v>
      </c>
      <c r="Z61" s="279">
        <v>24.082956241037348</v>
      </c>
      <c r="AA61" s="279">
        <v>24.082956241037348</v>
      </c>
      <c r="AB61" s="279">
        <v>24.082956241037348</v>
      </c>
      <c r="AC61" s="279">
        <v>24.082956241037348</v>
      </c>
      <c r="AD61" s="279">
        <v>24.082956241037348</v>
      </c>
      <c r="AE61" s="279">
        <v>24.082956241037348</v>
      </c>
      <c r="AF61" s="279">
        <v>24.082956241037348</v>
      </c>
      <c r="AG61" s="279">
        <v>24.082956241037348</v>
      </c>
    </row>
    <row r="62" spans="1:33" x14ac:dyDescent="0.25">
      <c r="A62" s="280" t="s">
        <v>30</v>
      </c>
      <c r="B62" s="280" t="s">
        <v>18</v>
      </c>
      <c r="C62" s="280" t="s">
        <v>115</v>
      </c>
      <c r="D62" s="280" t="s">
        <v>450</v>
      </c>
      <c r="E62" s="280" t="s">
        <v>17</v>
      </c>
      <c r="F62" s="280" t="s">
        <v>451</v>
      </c>
      <c r="G62" s="280">
        <v>29.926456774099041</v>
      </c>
      <c r="H62" s="280">
        <v>29.926456774099041</v>
      </c>
      <c r="I62" s="280">
        <v>29.926456774099041</v>
      </c>
      <c r="J62" s="280">
        <v>29.926456774099041</v>
      </c>
      <c r="K62" s="280">
        <v>29.926456774099041</v>
      </c>
      <c r="L62" s="280">
        <v>29.926456774099041</v>
      </c>
      <c r="M62" s="280">
        <v>29.926456774099041</v>
      </c>
      <c r="N62" s="280">
        <v>29.926456774099041</v>
      </c>
      <c r="O62" s="280">
        <v>29.926456774099041</v>
      </c>
      <c r="P62" s="280">
        <v>29.926456774099041</v>
      </c>
      <c r="Q62" s="280">
        <v>29.926456774099041</v>
      </c>
      <c r="R62" s="280">
        <v>29.926456774099041</v>
      </c>
      <c r="S62" s="280">
        <v>29.926456774099041</v>
      </c>
      <c r="T62" s="280">
        <v>29.926456774099041</v>
      </c>
      <c r="U62" s="280">
        <v>29.926456774099041</v>
      </c>
      <c r="V62" s="280">
        <v>29.926456774099041</v>
      </c>
      <c r="W62" s="280">
        <v>29.926456774099041</v>
      </c>
      <c r="X62" s="280">
        <v>29.926456774099041</v>
      </c>
      <c r="Y62" s="280">
        <v>29.926456774099041</v>
      </c>
      <c r="Z62" s="280">
        <v>29.926456774099041</v>
      </c>
      <c r="AA62" s="280">
        <v>29.926456774099041</v>
      </c>
      <c r="AB62" s="280">
        <v>29.926456774099041</v>
      </c>
      <c r="AC62" s="280">
        <v>29.926456774099041</v>
      </c>
      <c r="AD62" s="280">
        <v>29.926456774099041</v>
      </c>
      <c r="AE62" s="280">
        <v>29.926456774099041</v>
      </c>
      <c r="AF62" s="280">
        <v>29.926456774099041</v>
      </c>
      <c r="AG62" s="280">
        <v>29.926456774099041</v>
      </c>
    </row>
    <row r="63" spans="1:33" x14ac:dyDescent="0.25">
      <c r="A63" s="277" t="s">
        <v>30</v>
      </c>
      <c r="B63" s="277" t="s">
        <v>18</v>
      </c>
      <c r="C63" s="277" t="s">
        <v>115</v>
      </c>
      <c r="D63" s="277" t="s">
        <v>267</v>
      </c>
      <c r="E63" s="277" t="s">
        <v>17</v>
      </c>
      <c r="F63" s="278" t="s">
        <v>268</v>
      </c>
      <c r="G63" s="279">
        <v>0.55856990389560301</v>
      </c>
      <c r="H63" s="279">
        <v>0.55856990389560301</v>
      </c>
      <c r="I63" s="279">
        <v>0.55856990389560301</v>
      </c>
      <c r="J63" s="279">
        <v>0.55856990389560301</v>
      </c>
      <c r="K63" s="279">
        <v>0.55856990389560301</v>
      </c>
      <c r="L63" s="279">
        <v>0.55856990389560301</v>
      </c>
      <c r="M63" s="279">
        <v>0.55856990389560301</v>
      </c>
      <c r="N63" s="279">
        <v>0.55856990389560301</v>
      </c>
      <c r="O63" s="279">
        <v>0.55856990389560301</v>
      </c>
      <c r="P63" s="279">
        <v>0.55856990389560301</v>
      </c>
      <c r="Q63" s="279">
        <v>0.55856990389560301</v>
      </c>
      <c r="R63" s="279">
        <v>0.55856990389560301</v>
      </c>
      <c r="S63" s="279">
        <v>0.55856990389560301</v>
      </c>
      <c r="T63" s="279">
        <v>0.55856990389560301</v>
      </c>
      <c r="U63" s="279">
        <v>0.55856990389560301</v>
      </c>
      <c r="V63" s="279">
        <v>0.55856990389560301</v>
      </c>
      <c r="W63" s="279">
        <v>0.55856990389560301</v>
      </c>
      <c r="X63" s="279">
        <v>0.55856990389560301</v>
      </c>
      <c r="Y63" s="279">
        <v>0.55856990389560301</v>
      </c>
      <c r="Z63" s="279">
        <v>0.55856990389560301</v>
      </c>
      <c r="AA63" s="279">
        <v>0.55856990389560301</v>
      </c>
      <c r="AB63" s="279">
        <v>0.55856990389560301</v>
      </c>
      <c r="AC63" s="279">
        <v>0.55856990389560301</v>
      </c>
      <c r="AD63" s="279">
        <v>0.55856990389560301</v>
      </c>
      <c r="AE63" s="279">
        <v>0.55856990389560301</v>
      </c>
      <c r="AF63" s="279">
        <v>0.55856990389560301</v>
      </c>
      <c r="AG63" s="279">
        <v>0.55856990389560301</v>
      </c>
    </row>
    <row r="64" spans="1:33" x14ac:dyDescent="0.25">
      <c r="A64" s="277" t="s">
        <v>30</v>
      </c>
      <c r="B64" s="277" t="s">
        <v>18</v>
      </c>
      <c r="C64" s="277" t="s">
        <v>115</v>
      </c>
      <c r="D64" s="277" t="s">
        <v>202</v>
      </c>
      <c r="E64" s="277" t="s">
        <v>17</v>
      </c>
      <c r="F64" s="278" t="s">
        <v>203</v>
      </c>
      <c r="G64" s="279">
        <v>0.25780149410566289</v>
      </c>
      <c r="H64" s="279">
        <v>0.25780149410566289</v>
      </c>
      <c r="I64" s="279">
        <v>0.25780149410566289</v>
      </c>
      <c r="J64" s="279">
        <v>0.25780149410566289</v>
      </c>
      <c r="K64" s="279">
        <v>0.25780149410566289</v>
      </c>
      <c r="L64" s="279">
        <v>0.25780149410566289</v>
      </c>
      <c r="M64" s="279">
        <v>0.25780149410566289</v>
      </c>
      <c r="N64" s="279">
        <v>0.25780149410566289</v>
      </c>
      <c r="O64" s="279">
        <v>0.25780149410566289</v>
      </c>
      <c r="P64" s="279">
        <v>0.25780149410566289</v>
      </c>
      <c r="Q64" s="279">
        <v>0.25780149410566289</v>
      </c>
      <c r="R64" s="279">
        <v>0.25780149410566289</v>
      </c>
      <c r="S64" s="279">
        <v>0.25780149410566289</v>
      </c>
      <c r="T64" s="279">
        <v>0.25780149410566289</v>
      </c>
      <c r="U64" s="279">
        <v>0.25780149410566289</v>
      </c>
      <c r="V64" s="279">
        <v>0.25780149410566289</v>
      </c>
      <c r="W64" s="279">
        <v>0.25780149410566289</v>
      </c>
      <c r="X64" s="279">
        <v>0.25780149410566289</v>
      </c>
      <c r="Y64" s="279">
        <v>0.25780149410566289</v>
      </c>
      <c r="Z64" s="279">
        <v>0.25780149410566289</v>
      </c>
      <c r="AA64" s="279">
        <v>0.25780149410566289</v>
      </c>
      <c r="AB64" s="279">
        <v>0.25780149410566289</v>
      </c>
      <c r="AC64" s="279">
        <v>0.25780149410566289</v>
      </c>
      <c r="AD64" s="279">
        <v>0.25780149410566289</v>
      </c>
      <c r="AE64" s="279">
        <v>0.25780149410566289</v>
      </c>
      <c r="AF64" s="279">
        <v>0.25780149410566289</v>
      </c>
      <c r="AG64" s="279">
        <v>0.25780149410566289</v>
      </c>
    </row>
    <row r="65" spans="1:33" x14ac:dyDescent="0.25">
      <c r="A65" s="280" t="s">
        <v>30</v>
      </c>
      <c r="B65" s="280" t="s">
        <v>18</v>
      </c>
      <c r="C65" s="280" t="s">
        <v>115</v>
      </c>
      <c r="D65" s="280" t="s">
        <v>509</v>
      </c>
      <c r="E65" s="280" t="s">
        <v>17</v>
      </c>
      <c r="F65" s="280" t="s">
        <v>510</v>
      </c>
      <c r="G65" s="280">
        <v>0.27928495194780151</v>
      </c>
      <c r="H65" s="280">
        <v>0.27928495194780151</v>
      </c>
      <c r="I65" s="280">
        <v>0.27928495194780151</v>
      </c>
      <c r="J65" s="280">
        <v>0.27928495194780151</v>
      </c>
      <c r="K65" s="280">
        <v>0.27928495194780151</v>
      </c>
      <c r="L65" s="280">
        <v>0.27928495194780151</v>
      </c>
      <c r="M65" s="280">
        <v>0.27928495194780151</v>
      </c>
      <c r="N65" s="280">
        <v>0.27928495194780151</v>
      </c>
      <c r="O65" s="280">
        <v>0.27928495194780151</v>
      </c>
      <c r="P65" s="280">
        <v>0.27928495194780151</v>
      </c>
      <c r="Q65" s="280">
        <v>0.27928495194780151</v>
      </c>
      <c r="R65" s="280">
        <v>0.27928495194780151</v>
      </c>
      <c r="S65" s="280">
        <v>0.27928495194780151</v>
      </c>
      <c r="T65" s="280">
        <v>0.27928495194780151</v>
      </c>
      <c r="U65" s="280">
        <v>0.27928495194780151</v>
      </c>
      <c r="V65" s="280">
        <v>0.27928495194780151</v>
      </c>
      <c r="W65" s="280">
        <v>0.27928495194780151</v>
      </c>
      <c r="X65" s="280">
        <v>0.27928495194780151</v>
      </c>
      <c r="Y65" s="280">
        <v>0.27928495194780151</v>
      </c>
      <c r="Z65" s="280">
        <v>0.27928495194780151</v>
      </c>
      <c r="AA65" s="280">
        <v>0.27928495194780151</v>
      </c>
      <c r="AB65" s="280">
        <v>0.27928495194780151</v>
      </c>
      <c r="AC65" s="280">
        <v>0.27928495194780151</v>
      </c>
      <c r="AD65" s="280">
        <v>0.27928495194780151</v>
      </c>
      <c r="AE65" s="280">
        <v>0.27928495194780151</v>
      </c>
      <c r="AF65" s="280">
        <v>0.27928495194780151</v>
      </c>
      <c r="AG65" s="280">
        <v>0.27928495194780151</v>
      </c>
    </row>
    <row r="66" spans="1:33" x14ac:dyDescent="0.25">
      <c r="A66" s="280" t="s">
        <v>30</v>
      </c>
      <c r="B66" s="280" t="s">
        <v>18</v>
      </c>
      <c r="C66" s="280" t="s">
        <v>115</v>
      </c>
      <c r="D66" s="280" t="s">
        <v>15</v>
      </c>
      <c r="E66" s="280" t="s">
        <v>17</v>
      </c>
      <c r="F66" s="280" t="s">
        <v>466</v>
      </c>
      <c r="G66" s="280">
        <v>0.92378868721195895</v>
      </c>
      <c r="H66" s="280">
        <v>0.92378868721195895</v>
      </c>
      <c r="I66" s="280">
        <v>0.92378868721195895</v>
      </c>
      <c r="J66" s="280">
        <v>0.92378868721195895</v>
      </c>
      <c r="K66" s="280">
        <v>0.92378868721195895</v>
      </c>
      <c r="L66" s="280">
        <v>0.92378868721195895</v>
      </c>
      <c r="M66" s="280">
        <v>0.92378868721195895</v>
      </c>
      <c r="N66" s="280">
        <v>0.92378868721195895</v>
      </c>
      <c r="O66" s="280">
        <v>0.92378868721195895</v>
      </c>
      <c r="P66" s="280">
        <v>0.92378868721195895</v>
      </c>
      <c r="Q66" s="280">
        <v>0.92378868721195895</v>
      </c>
      <c r="R66" s="280">
        <v>0.92378868721195895</v>
      </c>
      <c r="S66" s="280">
        <v>0.92378868721195895</v>
      </c>
      <c r="T66" s="280">
        <v>0.92378868721195895</v>
      </c>
      <c r="U66" s="280">
        <v>0.92378868721195895</v>
      </c>
      <c r="V66" s="280">
        <v>0.92378868721195895</v>
      </c>
      <c r="W66" s="280">
        <v>0.92378868721195895</v>
      </c>
      <c r="X66" s="280">
        <v>0.92378868721195895</v>
      </c>
      <c r="Y66" s="280">
        <v>0.92378868721195895</v>
      </c>
      <c r="Z66" s="280">
        <v>0.92378868721195895</v>
      </c>
      <c r="AA66" s="280">
        <v>0.92378868721195895</v>
      </c>
      <c r="AB66" s="280">
        <v>0.92378868721195895</v>
      </c>
      <c r="AC66" s="280">
        <v>0.92378868721195895</v>
      </c>
      <c r="AD66" s="280">
        <v>0.92378868721195895</v>
      </c>
      <c r="AE66" s="280">
        <v>0.92378868721195895</v>
      </c>
      <c r="AF66" s="280">
        <v>0.92378868721195895</v>
      </c>
      <c r="AG66" s="280">
        <v>0.92378868721195895</v>
      </c>
    </row>
    <row r="67" spans="1:33" x14ac:dyDescent="0.25">
      <c r="A67" s="280" t="s">
        <v>30</v>
      </c>
      <c r="B67" s="280" t="s">
        <v>18</v>
      </c>
      <c r="C67" s="280" t="s">
        <v>115</v>
      </c>
      <c r="D67" s="280" t="s">
        <v>56</v>
      </c>
      <c r="E67" s="280" t="s">
        <v>17</v>
      </c>
      <c r="F67" s="280" t="s">
        <v>458</v>
      </c>
      <c r="G67" s="280">
        <v>4.1033404478484696</v>
      </c>
      <c r="H67" s="280">
        <v>4.1033404478484696</v>
      </c>
      <c r="I67" s="280">
        <v>4.1033404478484696</v>
      </c>
      <c r="J67" s="280">
        <v>4.1033404478484696</v>
      </c>
      <c r="K67" s="280">
        <v>4.1033404478484696</v>
      </c>
      <c r="L67" s="280">
        <v>4.1033404478484696</v>
      </c>
      <c r="M67" s="280">
        <v>4.1033404478484696</v>
      </c>
      <c r="N67" s="280">
        <v>4.1033404478484696</v>
      </c>
      <c r="O67" s="280">
        <v>4.1033404478484696</v>
      </c>
      <c r="P67" s="280">
        <v>4.1033404478484696</v>
      </c>
      <c r="Q67" s="280">
        <v>4.1033404478484696</v>
      </c>
      <c r="R67" s="280">
        <v>4.1033404478484696</v>
      </c>
      <c r="S67" s="280">
        <v>4.1033404478484696</v>
      </c>
      <c r="T67" s="280">
        <v>4.1033404478484696</v>
      </c>
      <c r="U67" s="280">
        <v>4.1033404478484696</v>
      </c>
      <c r="V67" s="280">
        <v>4.1033404478484696</v>
      </c>
      <c r="W67" s="280">
        <v>4.1033404478484696</v>
      </c>
      <c r="X67" s="280">
        <v>4.1033404478484696</v>
      </c>
      <c r="Y67" s="280">
        <v>4.1033404478484696</v>
      </c>
      <c r="Z67" s="280">
        <v>4.1033404478484696</v>
      </c>
      <c r="AA67" s="280">
        <v>4.1033404478484696</v>
      </c>
      <c r="AB67" s="280">
        <v>4.1033404478484696</v>
      </c>
      <c r="AC67" s="280">
        <v>4.1033404478484696</v>
      </c>
      <c r="AD67" s="280">
        <v>4.1033404478484696</v>
      </c>
      <c r="AE67" s="280">
        <v>4.1033404478484696</v>
      </c>
      <c r="AF67" s="280">
        <v>4.1033404478484696</v>
      </c>
      <c r="AG67" s="280">
        <v>4.1033404478484696</v>
      </c>
    </row>
    <row r="68" spans="1:33" x14ac:dyDescent="0.25">
      <c r="A68" s="280" t="s">
        <v>30</v>
      </c>
      <c r="B68" s="280" t="s">
        <v>18</v>
      </c>
      <c r="C68" s="280" t="s">
        <v>115</v>
      </c>
      <c r="D68" s="280" t="s">
        <v>370</v>
      </c>
      <c r="E68" s="280" t="s">
        <v>17</v>
      </c>
      <c r="F68" s="280" t="s">
        <v>371</v>
      </c>
      <c r="G68" s="280">
        <v>6.4235538947994346</v>
      </c>
      <c r="H68" s="280">
        <v>6.4235538947994346</v>
      </c>
      <c r="I68" s="280">
        <v>6.4235538947994346</v>
      </c>
      <c r="J68" s="280">
        <v>6.4235538947994346</v>
      </c>
      <c r="K68" s="280">
        <v>6.4235538947994346</v>
      </c>
      <c r="L68" s="280">
        <v>6.4235538947994346</v>
      </c>
      <c r="M68" s="280">
        <v>6.4235538947994346</v>
      </c>
      <c r="N68" s="280">
        <v>6.4235538947994346</v>
      </c>
      <c r="O68" s="280">
        <v>6.4235538947994346</v>
      </c>
      <c r="P68" s="280">
        <v>6.4235538947994346</v>
      </c>
      <c r="Q68" s="280">
        <v>6.4235538947994346</v>
      </c>
      <c r="R68" s="280">
        <v>6.4235538947994346</v>
      </c>
      <c r="S68" s="280">
        <v>6.4235538947994346</v>
      </c>
      <c r="T68" s="280">
        <v>6.4235538947994346</v>
      </c>
      <c r="U68" s="280">
        <v>6.4235538947994346</v>
      </c>
      <c r="V68" s="280">
        <v>6.4235538947994346</v>
      </c>
      <c r="W68" s="280">
        <v>6.4235538947994346</v>
      </c>
      <c r="X68" s="280">
        <v>6.4235538947994346</v>
      </c>
      <c r="Y68" s="280">
        <v>6.4235538947994346</v>
      </c>
      <c r="Z68" s="280">
        <v>6.4235538947994346</v>
      </c>
      <c r="AA68" s="280">
        <v>6.4235538947994346</v>
      </c>
      <c r="AB68" s="280">
        <v>6.4235538947994346</v>
      </c>
      <c r="AC68" s="280">
        <v>6.4235538947994346</v>
      </c>
      <c r="AD68" s="280">
        <v>6.4235538947994346</v>
      </c>
      <c r="AE68" s="280">
        <v>6.4235538947994346</v>
      </c>
      <c r="AF68" s="280">
        <v>6.4235538947994346</v>
      </c>
      <c r="AG68" s="280">
        <v>6.4235538947994346</v>
      </c>
    </row>
    <row r="69" spans="1:33" x14ac:dyDescent="0.25">
      <c r="A69" s="277" t="s">
        <v>30</v>
      </c>
      <c r="B69" s="277" t="s">
        <v>18</v>
      </c>
      <c r="C69" s="277" t="s">
        <v>115</v>
      </c>
      <c r="D69" s="277" t="s">
        <v>169</v>
      </c>
      <c r="E69" s="277" t="s">
        <v>17</v>
      </c>
      <c r="F69" s="278" t="s">
        <v>170</v>
      </c>
      <c r="G69" s="279">
        <v>0.45115261468491014</v>
      </c>
      <c r="H69" s="279">
        <v>0.45115261468491014</v>
      </c>
      <c r="I69" s="279">
        <v>0.45115261468491014</v>
      </c>
      <c r="J69" s="279">
        <v>0.45115261468491014</v>
      </c>
      <c r="K69" s="279">
        <v>0.45115261468491014</v>
      </c>
      <c r="L69" s="279">
        <v>0.45115261468491014</v>
      </c>
      <c r="M69" s="279">
        <v>0.45115261468491014</v>
      </c>
      <c r="N69" s="279">
        <v>0.45115261468491014</v>
      </c>
      <c r="O69" s="279">
        <v>0.45115261468491014</v>
      </c>
      <c r="P69" s="279">
        <v>0.45115261468491014</v>
      </c>
      <c r="Q69" s="279">
        <v>0.45115261468491014</v>
      </c>
      <c r="R69" s="279">
        <v>0.45115261468491014</v>
      </c>
      <c r="S69" s="279">
        <v>0.45115261468491014</v>
      </c>
      <c r="T69" s="279">
        <v>0.45115261468491014</v>
      </c>
      <c r="U69" s="279">
        <v>0.45115261468491014</v>
      </c>
      <c r="V69" s="279">
        <v>0.45115261468491014</v>
      </c>
      <c r="W69" s="279">
        <v>0.45115261468491014</v>
      </c>
      <c r="X69" s="279">
        <v>0.45115261468491014</v>
      </c>
      <c r="Y69" s="279">
        <v>0.45115261468491014</v>
      </c>
      <c r="Z69" s="279">
        <v>0.45115261468491014</v>
      </c>
      <c r="AA69" s="279">
        <v>0.45115261468491014</v>
      </c>
      <c r="AB69" s="279">
        <v>0.45115261468491014</v>
      </c>
      <c r="AC69" s="279">
        <v>0.45115261468491014</v>
      </c>
      <c r="AD69" s="279">
        <v>0.45115261468491014</v>
      </c>
      <c r="AE69" s="279">
        <v>0.45115261468491014</v>
      </c>
      <c r="AF69" s="279">
        <v>0.45115261468491014</v>
      </c>
      <c r="AG69" s="279">
        <v>0.45115261468491014</v>
      </c>
    </row>
    <row r="70" spans="1:33" x14ac:dyDescent="0.25">
      <c r="A70" s="277" t="s">
        <v>30</v>
      </c>
      <c r="B70" s="277" t="s">
        <v>18</v>
      </c>
      <c r="C70" s="277" t="s">
        <v>115</v>
      </c>
      <c r="D70" s="277" t="s">
        <v>41</v>
      </c>
      <c r="E70" s="277" t="s">
        <v>17</v>
      </c>
      <c r="F70" s="278" t="s">
        <v>173</v>
      </c>
      <c r="G70" s="279">
        <v>11.794418355334079</v>
      </c>
      <c r="H70" s="279">
        <v>11.794418355334079</v>
      </c>
      <c r="I70" s="279">
        <v>11.794418355334079</v>
      </c>
      <c r="J70" s="279">
        <v>11.794418355334079</v>
      </c>
      <c r="K70" s="279">
        <v>11.794418355334079</v>
      </c>
      <c r="L70" s="279">
        <v>11.794418355334079</v>
      </c>
      <c r="M70" s="279">
        <v>11.794418355334079</v>
      </c>
      <c r="N70" s="279">
        <v>11.794418355334079</v>
      </c>
      <c r="O70" s="279">
        <v>11.794418355334079</v>
      </c>
      <c r="P70" s="279">
        <v>11.794418355334079</v>
      </c>
      <c r="Q70" s="279">
        <v>11.794418355334079</v>
      </c>
      <c r="R70" s="279">
        <v>11.794418355334079</v>
      </c>
      <c r="S70" s="279">
        <v>11.794418355334079</v>
      </c>
      <c r="T70" s="279">
        <v>11.794418355334079</v>
      </c>
      <c r="U70" s="279">
        <v>11.794418355334079</v>
      </c>
      <c r="V70" s="279">
        <v>11.794418355334079</v>
      </c>
      <c r="W70" s="279">
        <v>11.794418355334079</v>
      </c>
      <c r="X70" s="279">
        <v>11.794418355334079</v>
      </c>
      <c r="Y70" s="279">
        <v>11.794418355334079</v>
      </c>
      <c r="Z70" s="279">
        <v>11.794418355334079</v>
      </c>
      <c r="AA70" s="279">
        <v>11.794418355334079</v>
      </c>
      <c r="AB70" s="279">
        <v>11.794418355334079</v>
      </c>
      <c r="AC70" s="279">
        <v>11.794418355334079</v>
      </c>
      <c r="AD70" s="279">
        <v>11.794418355334079</v>
      </c>
      <c r="AE70" s="279">
        <v>11.794418355334079</v>
      </c>
      <c r="AF70" s="279">
        <v>11.794418355334079</v>
      </c>
      <c r="AG70" s="279">
        <v>11.794418355334079</v>
      </c>
    </row>
    <row r="71" spans="1:33" x14ac:dyDescent="0.25">
      <c r="A71" s="280" t="s">
        <v>30</v>
      </c>
      <c r="B71" s="280" t="s">
        <v>18</v>
      </c>
      <c r="C71" s="280" t="s">
        <v>115</v>
      </c>
      <c r="D71" s="280" t="s">
        <v>434</v>
      </c>
      <c r="E71" s="280" t="s">
        <v>17</v>
      </c>
      <c r="F71" s="280" t="s">
        <v>435</v>
      </c>
      <c r="G71" s="280">
        <v>0.83785485584340436</v>
      </c>
      <c r="H71" s="280">
        <v>0.83785485584340436</v>
      </c>
      <c r="I71" s="280">
        <v>0.83785485584340436</v>
      </c>
      <c r="J71" s="280">
        <v>0.83785485584340436</v>
      </c>
      <c r="K71" s="280">
        <v>0.83785485584340436</v>
      </c>
      <c r="L71" s="280">
        <v>0.83785485584340436</v>
      </c>
      <c r="M71" s="280">
        <v>0.83785485584340436</v>
      </c>
      <c r="N71" s="280">
        <v>0.83785485584340436</v>
      </c>
      <c r="O71" s="280">
        <v>0.83785485584340436</v>
      </c>
      <c r="P71" s="280">
        <v>0.83785485584340436</v>
      </c>
      <c r="Q71" s="280">
        <v>0.83785485584340436</v>
      </c>
      <c r="R71" s="280">
        <v>0.83785485584340436</v>
      </c>
      <c r="S71" s="280">
        <v>0.83785485584340436</v>
      </c>
      <c r="T71" s="280">
        <v>0.83785485584340436</v>
      </c>
      <c r="U71" s="280">
        <v>0.83785485584340436</v>
      </c>
      <c r="V71" s="280">
        <v>0.83785485584340436</v>
      </c>
      <c r="W71" s="280">
        <v>0.83785485584340436</v>
      </c>
      <c r="X71" s="280">
        <v>0.83785485584340436</v>
      </c>
      <c r="Y71" s="280">
        <v>0.83785485584340436</v>
      </c>
      <c r="Z71" s="280">
        <v>0.83785485584340436</v>
      </c>
      <c r="AA71" s="280">
        <v>0.83785485584340436</v>
      </c>
      <c r="AB71" s="280">
        <v>0.83785485584340436</v>
      </c>
      <c r="AC71" s="280">
        <v>0.83785485584340436</v>
      </c>
      <c r="AD71" s="280">
        <v>0.83785485584340436</v>
      </c>
      <c r="AE71" s="280">
        <v>0.83785485584340436</v>
      </c>
      <c r="AF71" s="280">
        <v>0.83785485584340436</v>
      </c>
      <c r="AG71" s="280">
        <v>0.83785485584340436</v>
      </c>
    </row>
    <row r="72" spans="1:33" x14ac:dyDescent="0.25">
      <c r="A72" s="280" t="s">
        <v>30</v>
      </c>
      <c r="B72" s="280" t="s">
        <v>18</v>
      </c>
      <c r="C72" s="280" t="s">
        <v>115</v>
      </c>
      <c r="D72" s="280" t="s">
        <v>83</v>
      </c>
      <c r="E72" s="280" t="s">
        <v>17</v>
      </c>
      <c r="F72" s="280" t="s">
        <v>454</v>
      </c>
      <c r="G72" s="280">
        <v>1.4823585911075619</v>
      </c>
      <c r="H72" s="280">
        <v>1.4823585911075619</v>
      </c>
      <c r="I72" s="280">
        <v>1.4823585911075619</v>
      </c>
      <c r="J72" s="280">
        <v>1.4823585911075619</v>
      </c>
      <c r="K72" s="280">
        <v>1.4823585911075619</v>
      </c>
      <c r="L72" s="280">
        <v>1.4823585911075619</v>
      </c>
      <c r="M72" s="280">
        <v>1.4823585911075619</v>
      </c>
      <c r="N72" s="280">
        <v>1.4823585911075619</v>
      </c>
      <c r="O72" s="280">
        <v>1.4823585911075619</v>
      </c>
      <c r="P72" s="280">
        <v>1.4823585911075619</v>
      </c>
      <c r="Q72" s="280">
        <v>1.4823585911075619</v>
      </c>
      <c r="R72" s="280">
        <v>1.4823585911075619</v>
      </c>
      <c r="S72" s="280">
        <v>1.4823585911075619</v>
      </c>
      <c r="T72" s="280">
        <v>1.4823585911075619</v>
      </c>
      <c r="U72" s="280">
        <v>1.4823585911075619</v>
      </c>
      <c r="V72" s="280">
        <v>1.4823585911075619</v>
      </c>
      <c r="W72" s="280">
        <v>1.4823585911075619</v>
      </c>
      <c r="X72" s="280">
        <v>1.4823585911075619</v>
      </c>
      <c r="Y72" s="280">
        <v>1.4823585911075619</v>
      </c>
      <c r="Z72" s="280">
        <v>1.4823585911075619</v>
      </c>
      <c r="AA72" s="280">
        <v>1.4823585911075619</v>
      </c>
      <c r="AB72" s="280">
        <v>1.4823585911075619</v>
      </c>
      <c r="AC72" s="280">
        <v>1.4823585911075619</v>
      </c>
      <c r="AD72" s="280">
        <v>1.4823585911075619</v>
      </c>
      <c r="AE72" s="280">
        <v>1.4823585911075619</v>
      </c>
      <c r="AF72" s="280">
        <v>1.4823585911075619</v>
      </c>
      <c r="AG72" s="280">
        <v>1.4823585911075619</v>
      </c>
    </row>
    <row r="73" spans="1:33" x14ac:dyDescent="0.25">
      <c r="A73" s="277" t="s">
        <v>30</v>
      </c>
      <c r="B73" s="277" t="s">
        <v>18</v>
      </c>
      <c r="C73" s="277" t="s">
        <v>115</v>
      </c>
      <c r="D73" s="277" t="s">
        <v>38</v>
      </c>
      <c r="E73" s="277" t="s">
        <v>17</v>
      </c>
      <c r="F73" s="278" t="s">
        <v>136</v>
      </c>
      <c r="G73" s="279">
        <v>72.055517602532802</v>
      </c>
      <c r="H73" s="279">
        <v>72.055517602532802</v>
      </c>
      <c r="I73" s="279">
        <v>72.055517602532802</v>
      </c>
      <c r="J73" s="279">
        <v>72.055517602532802</v>
      </c>
      <c r="K73" s="279">
        <v>72.055517602532802</v>
      </c>
      <c r="L73" s="279">
        <v>72.055517602532802</v>
      </c>
      <c r="M73" s="279">
        <v>72.055517602532802</v>
      </c>
      <c r="N73" s="279">
        <v>72.055517602532802</v>
      </c>
      <c r="O73" s="279">
        <v>72.055517602532802</v>
      </c>
      <c r="P73" s="279">
        <v>72.055517602532802</v>
      </c>
      <c r="Q73" s="279">
        <v>72.055517602532802</v>
      </c>
      <c r="R73" s="279">
        <v>72.055517602532802</v>
      </c>
      <c r="S73" s="279">
        <v>72.055517602532802</v>
      </c>
      <c r="T73" s="279">
        <v>72.055517602532802</v>
      </c>
      <c r="U73" s="279">
        <v>72.055517602532802</v>
      </c>
      <c r="V73" s="279">
        <v>72.055517602532802</v>
      </c>
      <c r="W73" s="279">
        <v>72.055517602532802</v>
      </c>
      <c r="X73" s="279">
        <v>72.055517602532802</v>
      </c>
      <c r="Y73" s="279">
        <v>72.055517602532802</v>
      </c>
      <c r="Z73" s="279">
        <v>72.055517602532802</v>
      </c>
      <c r="AA73" s="279">
        <v>72.055517602532802</v>
      </c>
      <c r="AB73" s="279">
        <v>72.055517602532802</v>
      </c>
      <c r="AC73" s="279">
        <v>72.055517602532802</v>
      </c>
      <c r="AD73" s="279">
        <v>72.055517602532802</v>
      </c>
      <c r="AE73" s="279">
        <v>72.055517602532802</v>
      </c>
      <c r="AF73" s="279">
        <v>72.055517602532802</v>
      </c>
      <c r="AG73" s="279">
        <v>72.055517602532802</v>
      </c>
    </row>
    <row r="74" spans="1:33" x14ac:dyDescent="0.25">
      <c r="A74" s="280" t="s">
        <v>30</v>
      </c>
      <c r="B74" s="280" t="s">
        <v>18</v>
      </c>
      <c r="C74" s="280" t="s">
        <v>115</v>
      </c>
      <c r="D74" s="280" t="s">
        <v>374</v>
      </c>
      <c r="E74" s="280" t="s">
        <v>17</v>
      </c>
      <c r="F74" s="280" t="s">
        <v>375</v>
      </c>
      <c r="G74" s="280">
        <v>0.53708644605346445</v>
      </c>
      <c r="H74" s="280">
        <v>0.53708644605346445</v>
      </c>
      <c r="I74" s="280">
        <v>0.53708644605346445</v>
      </c>
      <c r="J74" s="280">
        <v>0.53708644605346445</v>
      </c>
      <c r="K74" s="280">
        <v>0.53708644605346445</v>
      </c>
      <c r="L74" s="280">
        <v>0.53708644605346445</v>
      </c>
      <c r="M74" s="280">
        <v>0.53708644605346445</v>
      </c>
      <c r="N74" s="280">
        <v>0.53708644605346445</v>
      </c>
      <c r="O74" s="280">
        <v>0.53708644605346445</v>
      </c>
      <c r="P74" s="280">
        <v>0.53708644605346445</v>
      </c>
      <c r="Q74" s="280">
        <v>0.53708644605346445</v>
      </c>
      <c r="R74" s="280">
        <v>0.53708644605346445</v>
      </c>
      <c r="S74" s="280">
        <v>0.53708644605346445</v>
      </c>
      <c r="T74" s="280">
        <v>0.53708644605346445</v>
      </c>
      <c r="U74" s="280">
        <v>0.53708644605346445</v>
      </c>
      <c r="V74" s="280">
        <v>0.53708644605346445</v>
      </c>
      <c r="W74" s="280">
        <v>0.53708644605346445</v>
      </c>
      <c r="X74" s="280">
        <v>0.53708644605346445</v>
      </c>
      <c r="Y74" s="280">
        <v>0.53708644605346445</v>
      </c>
      <c r="Z74" s="280">
        <v>0.53708644605346445</v>
      </c>
      <c r="AA74" s="280">
        <v>0.53708644605346445</v>
      </c>
      <c r="AB74" s="280">
        <v>0.53708644605346445</v>
      </c>
      <c r="AC74" s="280">
        <v>0.53708644605346445</v>
      </c>
      <c r="AD74" s="280">
        <v>0.53708644605346445</v>
      </c>
      <c r="AE74" s="280">
        <v>0.53708644605346445</v>
      </c>
      <c r="AF74" s="280">
        <v>0.53708644605346445</v>
      </c>
      <c r="AG74" s="280">
        <v>0.53708644605346445</v>
      </c>
    </row>
    <row r="75" spans="1:33" x14ac:dyDescent="0.25">
      <c r="A75" s="277" t="s">
        <v>30</v>
      </c>
      <c r="B75" s="277" t="s">
        <v>18</v>
      </c>
      <c r="C75" s="277" t="s">
        <v>115</v>
      </c>
      <c r="D75" s="277" t="s">
        <v>244</v>
      </c>
      <c r="E75" s="277" t="s">
        <v>17</v>
      </c>
      <c r="F75" s="278" t="s">
        <v>245</v>
      </c>
      <c r="G75" s="279">
        <v>0.34373532547421726</v>
      </c>
      <c r="H75" s="279">
        <v>0.34373532547421726</v>
      </c>
      <c r="I75" s="279">
        <v>0.34373532547421726</v>
      </c>
      <c r="J75" s="279">
        <v>0.34373532547421726</v>
      </c>
      <c r="K75" s="279">
        <v>0.34373532547421726</v>
      </c>
      <c r="L75" s="279">
        <v>0.34373532547421726</v>
      </c>
      <c r="M75" s="279">
        <v>0.34373532547421726</v>
      </c>
      <c r="N75" s="279">
        <v>0.34373532547421726</v>
      </c>
      <c r="O75" s="279">
        <v>0.34373532547421726</v>
      </c>
      <c r="P75" s="279">
        <v>0.34373532547421726</v>
      </c>
      <c r="Q75" s="279">
        <v>0.34373532547421726</v>
      </c>
      <c r="R75" s="279">
        <v>0.34373532547421726</v>
      </c>
      <c r="S75" s="279">
        <v>0.34373532547421726</v>
      </c>
      <c r="T75" s="279">
        <v>0.34373532547421726</v>
      </c>
      <c r="U75" s="279">
        <v>0.34373532547421726</v>
      </c>
      <c r="V75" s="279">
        <v>0.34373532547421726</v>
      </c>
      <c r="W75" s="279">
        <v>0.34373532547421726</v>
      </c>
      <c r="X75" s="279">
        <v>0.34373532547421726</v>
      </c>
      <c r="Y75" s="279">
        <v>0.34373532547421726</v>
      </c>
      <c r="Z75" s="279">
        <v>0.34373532547421726</v>
      </c>
      <c r="AA75" s="279">
        <v>0.34373532547421726</v>
      </c>
      <c r="AB75" s="279">
        <v>0.34373532547421726</v>
      </c>
      <c r="AC75" s="279">
        <v>0.34373532547421726</v>
      </c>
      <c r="AD75" s="279">
        <v>0.34373532547421726</v>
      </c>
      <c r="AE75" s="279">
        <v>0.34373532547421726</v>
      </c>
      <c r="AF75" s="279">
        <v>0.34373532547421726</v>
      </c>
      <c r="AG75" s="279">
        <v>0.34373532547421726</v>
      </c>
    </row>
    <row r="76" spans="1:33" x14ac:dyDescent="0.25">
      <c r="A76" s="277" t="s">
        <v>30</v>
      </c>
      <c r="B76" s="277" t="s">
        <v>18</v>
      </c>
      <c r="C76" s="277" t="s">
        <v>115</v>
      </c>
      <c r="D76" s="277" t="s">
        <v>120</v>
      </c>
      <c r="E76" s="277" t="s">
        <v>17</v>
      </c>
      <c r="F76" s="278" t="s">
        <v>121</v>
      </c>
      <c r="G76" s="279">
        <v>35.018036282685884</v>
      </c>
      <c r="H76" s="279">
        <v>35.018036282685884</v>
      </c>
      <c r="I76" s="279">
        <v>35.018036282685884</v>
      </c>
      <c r="J76" s="279">
        <v>35.018036282685884</v>
      </c>
      <c r="K76" s="279">
        <v>35.018036282685884</v>
      </c>
      <c r="L76" s="279">
        <v>35.018036282685884</v>
      </c>
      <c r="M76" s="279">
        <v>35.018036282685884</v>
      </c>
      <c r="N76" s="279">
        <v>35.018036282685884</v>
      </c>
      <c r="O76" s="279">
        <v>35.018036282685884</v>
      </c>
      <c r="P76" s="279">
        <v>35.018036282685884</v>
      </c>
      <c r="Q76" s="279">
        <v>35.018036282685884</v>
      </c>
      <c r="R76" s="279">
        <v>35.018036282685884</v>
      </c>
      <c r="S76" s="279">
        <v>35.018036282685884</v>
      </c>
      <c r="T76" s="279">
        <v>35.018036282685884</v>
      </c>
      <c r="U76" s="279">
        <v>35.018036282685884</v>
      </c>
      <c r="V76" s="279">
        <v>35.018036282685884</v>
      </c>
      <c r="W76" s="279">
        <v>35.018036282685884</v>
      </c>
      <c r="X76" s="279">
        <v>35.018036282685884</v>
      </c>
      <c r="Y76" s="279">
        <v>35.018036282685884</v>
      </c>
      <c r="Z76" s="279">
        <v>35.018036282685884</v>
      </c>
      <c r="AA76" s="279">
        <v>35.018036282685884</v>
      </c>
      <c r="AB76" s="279">
        <v>35.018036282685884</v>
      </c>
      <c r="AC76" s="279">
        <v>35.018036282685884</v>
      </c>
      <c r="AD76" s="279">
        <v>35.018036282685884</v>
      </c>
      <c r="AE76" s="279">
        <v>35.018036282685884</v>
      </c>
      <c r="AF76" s="279">
        <v>35.018036282685884</v>
      </c>
      <c r="AG76" s="279">
        <v>35.018036282685884</v>
      </c>
    </row>
    <row r="77" spans="1:33" x14ac:dyDescent="0.25">
      <c r="A77" s="277" t="s">
        <v>30</v>
      </c>
      <c r="B77" s="277" t="s">
        <v>18</v>
      </c>
      <c r="C77" s="277" t="s">
        <v>115</v>
      </c>
      <c r="D77" s="277" t="s">
        <v>96</v>
      </c>
      <c r="E77" s="277" t="s">
        <v>17</v>
      </c>
      <c r="F77" s="278" t="s">
        <v>281</v>
      </c>
      <c r="G77" s="279">
        <v>2.8572998930044311</v>
      </c>
      <c r="H77" s="279">
        <v>2.8572998930044311</v>
      </c>
      <c r="I77" s="279">
        <v>2.8572998930044311</v>
      </c>
      <c r="J77" s="279">
        <v>2.8572998930044311</v>
      </c>
      <c r="K77" s="279">
        <v>2.8572998930044311</v>
      </c>
      <c r="L77" s="279">
        <v>2.8572998930044311</v>
      </c>
      <c r="M77" s="279">
        <v>2.8572998930044311</v>
      </c>
      <c r="N77" s="279">
        <v>2.8572998930044311</v>
      </c>
      <c r="O77" s="279">
        <v>2.8572998930044311</v>
      </c>
      <c r="P77" s="279">
        <v>2.8572998930044311</v>
      </c>
      <c r="Q77" s="279">
        <v>2.8572998930044311</v>
      </c>
      <c r="R77" s="279">
        <v>2.8572998930044311</v>
      </c>
      <c r="S77" s="279">
        <v>2.8572998930044311</v>
      </c>
      <c r="T77" s="279">
        <v>2.8572998930044311</v>
      </c>
      <c r="U77" s="279">
        <v>2.8572998930044311</v>
      </c>
      <c r="V77" s="279">
        <v>2.8572998930044311</v>
      </c>
      <c r="W77" s="279">
        <v>2.8572998930044311</v>
      </c>
      <c r="X77" s="279">
        <v>2.8572998930044311</v>
      </c>
      <c r="Y77" s="279">
        <v>2.8572998930044311</v>
      </c>
      <c r="Z77" s="279">
        <v>2.8572998930044311</v>
      </c>
      <c r="AA77" s="279">
        <v>2.8572998930044311</v>
      </c>
      <c r="AB77" s="279">
        <v>2.8572998930044311</v>
      </c>
      <c r="AC77" s="279">
        <v>2.8572998930044311</v>
      </c>
      <c r="AD77" s="279">
        <v>2.8572998930044311</v>
      </c>
      <c r="AE77" s="279">
        <v>2.8572998930044311</v>
      </c>
      <c r="AF77" s="279">
        <v>2.8572998930044311</v>
      </c>
      <c r="AG77" s="279">
        <v>2.8572998930044311</v>
      </c>
    </row>
    <row r="78" spans="1:33" x14ac:dyDescent="0.25">
      <c r="A78" s="277" t="s">
        <v>30</v>
      </c>
      <c r="B78" s="277" t="s">
        <v>18</v>
      </c>
      <c r="C78" s="277" t="s">
        <v>115</v>
      </c>
      <c r="D78" s="277" t="s">
        <v>87</v>
      </c>
      <c r="E78" s="277" t="s">
        <v>17</v>
      </c>
      <c r="F78" s="278" t="s">
        <v>311</v>
      </c>
      <c r="G78" s="279">
        <v>24.46965848219584</v>
      </c>
      <c r="H78" s="279">
        <v>24.46965848219584</v>
      </c>
      <c r="I78" s="279">
        <v>24.46965848219584</v>
      </c>
      <c r="J78" s="279">
        <v>24.46965848219584</v>
      </c>
      <c r="K78" s="279">
        <v>24.46965848219584</v>
      </c>
      <c r="L78" s="279">
        <v>24.46965848219584</v>
      </c>
      <c r="M78" s="279">
        <v>24.46965848219584</v>
      </c>
      <c r="N78" s="279">
        <v>24.46965848219584</v>
      </c>
      <c r="O78" s="279">
        <v>24.46965848219584</v>
      </c>
      <c r="P78" s="279">
        <v>24.46965848219584</v>
      </c>
      <c r="Q78" s="279">
        <v>24.46965848219584</v>
      </c>
      <c r="R78" s="279">
        <v>24.46965848219584</v>
      </c>
      <c r="S78" s="279">
        <v>24.46965848219584</v>
      </c>
      <c r="T78" s="279">
        <v>24.46965848219584</v>
      </c>
      <c r="U78" s="279">
        <v>24.46965848219584</v>
      </c>
      <c r="V78" s="279">
        <v>24.46965848219584</v>
      </c>
      <c r="W78" s="279">
        <v>24.46965848219584</v>
      </c>
      <c r="X78" s="279">
        <v>24.46965848219584</v>
      </c>
      <c r="Y78" s="279">
        <v>24.46965848219584</v>
      </c>
      <c r="Z78" s="279">
        <v>24.46965848219584</v>
      </c>
      <c r="AA78" s="279">
        <v>24.46965848219584</v>
      </c>
      <c r="AB78" s="279">
        <v>24.46965848219584</v>
      </c>
      <c r="AC78" s="279">
        <v>24.46965848219584</v>
      </c>
      <c r="AD78" s="279">
        <v>24.46965848219584</v>
      </c>
      <c r="AE78" s="279">
        <v>24.46965848219584</v>
      </c>
      <c r="AF78" s="279">
        <v>24.46965848219584</v>
      </c>
      <c r="AG78" s="279">
        <v>24.46965848219584</v>
      </c>
    </row>
    <row r="79" spans="1:33" x14ac:dyDescent="0.25">
      <c r="A79" s="277" t="s">
        <v>30</v>
      </c>
      <c r="B79" s="277" t="s">
        <v>18</v>
      </c>
      <c r="C79" s="277" t="s">
        <v>115</v>
      </c>
      <c r="D79" s="277" t="s">
        <v>275</v>
      </c>
      <c r="E79" s="277" t="s">
        <v>17</v>
      </c>
      <c r="F79" s="278" t="s">
        <v>276</v>
      </c>
      <c r="G79" s="279">
        <v>0.92378868721195895</v>
      </c>
      <c r="H79" s="279">
        <v>0.92378868721195895</v>
      </c>
      <c r="I79" s="279">
        <v>0.92378868721195895</v>
      </c>
      <c r="J79" s="279">
        <v>0.92378868721195895</v>
      </c>
      <c r="K79" s="279">
        <v>0.92378868721195895</v>
      </c>
      <c r="L79" s="279">
        <v>0.92378868721195895</v>
      </c>
      <c r="M79" s="279">
        <v>0.92378868721195895</v>
      </c>
      <c r="N79" s="279">
        <v>0.92378868721195895</v>
      </c>
      <c r="O79" s="279">
        <v>0.92378868721195895</v>
      </c>
      <c r="P79" s="279">
        <v>0.92378868721195895</v>
      </c>
      <c r="Q79" s="279">
        <v>0.92378868721195895</v>
      </c>
      <c r="R79" s="279">
        <v>0.92378868721195895</v>
      </c>
      <c r="S79" s="279">
        <v>0.92378868721195895</v>
      </c>
      <c r="T79" s="279">
        <v>0.92378868721195895</v>
      </c>
      <c r="U79" s="279">
        <v>0.92378868721195895</v>
      </c>
      <c r="V79" s="279">
        <v>0.92378868721195895</v>
      </c>
      <c r="W79" s="279">
        <v>0.92378868721195895</v>
      </c>
      <c r="X79" s="279">
        <v>0.92378868721195895</v>
      </c>
      <c r="Y79" s="279">
        <v>0.92378868721195895</v>
      </c>
      <c r="Z79" s="279">
        <v>0.92378868721195895</v>
      </c>
      <c r="AA79" s="279">
        <v>0.92378868721195895</v>
      </c>
      <c r="AB79" s="279">
        <v>0.92378868721195895</v>
      </c>
      <c r="AC79" s="279">
        <v>0.92378868721195895</v>
      </c>
      <c r="AD79" s="279">
        <v>0.92378868721195895</v>
      </c>
      <c r="AE79" s="279">
        <v>0.92378868721195895</v>
      </c>
      <c r="AF79" s="279">
        <v>0.92378868721195895</v>
      </c>
      <c r="AG79" s="279">
        <v>0.92378868721195895</v>
      </c>
    </row>
    <row r="80" spans="1:33" x14ac:dyDescent="0.25">
      <c r="A80" s="277" t="s">
        <v>30</v>
      </c>
      <c r="B80" s="277" t="s">
        <v>18</v>
      </c>
      <c r="C80" s="277" t="s">
        <v>115</v>
      </c>
      <c r="D80" s="277" t="s">
        <v>265</v>
      </c>
      <c r="E80" s="277" t="s">
        <v>17</v>
      </c>
      <c r="F80" s="278" t="s">
        <v>266</v>
      </c>
      <c r="G80" s="279">
        <v>0.70895410879057319</v>
      </c>
      <c r="H80" s="279">
        <v>0.70895410879057319</v>
      </c>
      <c r="I80" s="279">
        <v>0.70895410879057319</v>
      </c>
      <c r="J80" s="279">
        <v>0.70895410879057319</v>
      </c>
      <c r="K80" s="279">
        <v>0.70895410879057319</v>
      </c>
      <c r="L80" s="279">
        <v>0.70895410879057319</v>
      </c>
      <c r="M80" s="279">
        <v>0.70895410879057319</v>
      </c>
      <c r="N80" s="279">
        <v>0.70895410879057319</v>
      </c>
      <c r="O80" s="279">
        <v>0.70895410879057319</v>
      </c>
      <c r="P80" s="279">
        <v>0.70895410879057319</v>
      </c>
      <c r="Q80" s="279">
        <v>0.70895410879057319</v>
      </c>
      <c r="R80" s="279">
        <v>0.70895410879057319</v>
      </c>
      <c r="S80" s="279">
        <v>0.70895410879057319</v>
      </c>
      <c r="T80" s="279">
        <v>0.70895410879057319</v>
      </c>
      <c r="U80" s="279">
        <v>0.70895410879057319</v>
      </c>
      <c r="V80" s="279">
        <v>0.70895410879057319</v>
      </c>
      <c r="W80" s="279">
        <v>0.70895410879057319</v>
      </c>
      <c r="X80" s="279">
        <v>0.70895410879057319</v>
      </c>
      <c r="Y80" s="279">
        <v>0.70895410879057319</v>
      </c>
      <c r="Z80" s="279">
        <v>0.70895410879057319</v>
      </c>
      <c r="AA80" s="279">
        <v>0.70895410879057319</v>
      </c>
      <c r="AB80" s="279">
        <v>0.70895410879057319</v>
      </c>
      <c r="AC80" s="279">
        <v>0.70895410879057319</v>
      </c>
      <c r="AD80" s="279">
        <v>0.70895410879057319</v>
      </c>
      <c r="AE80" s="279">
        <v>0.70895410879057319</v>
      </c>
      <c r="AF80" s="279">
        <v>0.70895410879057319</v>
      </c>
      <c r="AG80" s="279">
        <v>0.70895410879057319</v>
      </c>
    </row>
    <row r="81" spans="1:33" x14ac:dyDescent="0.25">
      <c r="A81" s="277" t="s">
        <v>30</v>
      </c>
      <c r="B81" s="277" t="s">
        <v>18</v>
      </c>
      <c r="C81" s="277" t="s">
        <v>115</v>
      </c>
      <c r="D81" s="277" t="s">
        <v>73</v>
      </c>
      <c r="E81" s="277" t="s">
        <v>17</v>
      </c>
      <c r="F81" s="278" t="s">
        <v>326</v>
      </c>
      <c r="G81" s="279">
        <v>11.558100319070556</v>
      </c>
      <c r="H81" s="279">
        <v>11.558100319070556</v>
      </c>
      <c r="I81" s="279">
        <v>11.558100319070556</v>
      </c>
      <c r="J81" s="279">
        <v>11.558100319070556</v>
      </c>
      <c r="K81" s="279">
        <v>11.558100319070556</v>
      </c>
      <c r="L81" s="279">
        <v>11.558100319070556</v>
      </c>
      <c r="M81" s="279">
        <v>11.558100319070556</v>
      </c>
      <c r="N81" s="279">
        <v>11.558100319070556</v>
      </c>
      <c r="O81" s="279">
        <v>11.558100319070556</v>
      </c>
      <c r="P81" s="279">
        <v>11.558100319070556</v>
      </c>
      <c r="Q81" s="279">
        <v>11.558100319070556</v>
      </c>
      <c r="R81" s="279">
        <v>11.558100319070556</v>
      </c>
      <c r="S81" s="279">
        <v>11.558100319070556</v>
      </c>
      <c r="T81" s="279">
        <v>11.558100319070556</v>
      </c>
      <c r="U81" s="279">
        <v>11.558100319070556</v>
      </c>
      <c r="V81" s="279">
        <v>11.558100319070556</v>
      </c>
      <c r="W81" s="279">
        <v>11.558100319070556</v>
      </c>
      <c r="X81" s="279">
        <v>11.558100319070556</v>
      </c>
      <c r="Y81" s="279">
        <v>11.558100319070556</v>
      </c>
      <c r="Z81" s="279">
        <v>11.558100319070556</v>
      </c>
      <c r="AA81" s="279">
        <v>11.558100319070556</v>
      </c>
      <c r="AB81" s="279">
        <v>11.558100319070556</v>
      </c>
      <c r="AC81" s="279">
        <v>11.558100319070556</v>
      </c>
      <c r="AD81" s="279">
        <v>11.558100319070556</v>
      </c>
      <c r="AE81" s="279">
        <v>11.558100319070556</v>
      </c>
      <c r="AF81" s="279">
        <v>11.558100319070556</v>
      </c>
      <c r="AG81" s="279">
        <v>11.558100319070556</v>
      </c>
    </row>
    <row r="82" spans="1:33" x14ac:dyDescent="0.25">
      <c r="A82" s="277" t="s">
        <v>30</v>
      </c>
      <c r="B82" s="277" t="s">
        <v>18</v>
      </c>
      <c r="C82" s="277" t="s">
        <v>115</v>
      </c>
      <c r="D82" s="277" t="s">
        <v>166</v>
      </c>
      <c r="E82" s="277" t="s">
        <v>17</v>
      </c>
      <c r="F82" s="278" t="s">
        <v>167</v>
      </c>
      <c r="G82" s="279">
        <v>0.66598719310629595</v>
      </c>
      <c r="H82" s="279">
        <v>0.66598719310629595</v>
      </c>
      <c r="I82" s="279">
        <v>0.66598719310629595</v>
      </c>
      <c r="J82" s="279">
        <v>0.66598719310629595</v>
      </c>
      <c r="K82" s="279">
        <v>0.66598719310629595</v>
      </c>
      <c r="L82" s="279">
        <v>0.66598719310629595</v>
      </c>
      <c r="M82" s="279">
        <v>0.66598719310629595</v>
      </c>
      <c r="N82" s="279">
        <v>0.66598719310629595</v>
      </c>
      <c r="O82" s="279">
        <v>0.66598719310629595</v>
      </c>
      <c r="P82" s="279">
        <v>0.66598719310629595</v>
      </c>
      <c r="Q82" s="279">
        <v>0.66598719310629595</v>
      </c>
      <c r="R82" s="279">
        <v>0.66598719310629595</v>
      </c>
      <c r="S82" s="279">
        <v>0.66598719310629595</v>
      </c>
      <c r="T82" s="279">
        <v>0.66598719310629595</v>
      </c>
      <c r="U82" s="279">
        <v>0.66598719310629595</v>
      </c>
      <c r="V82" s="279">
        <v>0.66598719310629595</v>
      </c>
      <c r="W82" s="279">
        <v>0.66598719310629595</v>
      </c>
      <c r="X82" s="279">
        <v>0.66598719310629595</v>
      </c>
      <c r="Y82" s="279">
        <v>0.66598719310629595</v>
      </c>
      <c r="Z82" s="279">
        <v>0.66598719310629595</v>
      </c>
      <c r="AA82" s="279">
        <v>0.66598719310629595</v>
      </c>
      <c r="AB82" s="279">
        <v>0.66598719310629595</v>
      </c>
      <c r="AC82" s="279">
        <v>0.66598719310629595</v>
      </c>
      <c r="AD82" s="279">
        <v>0.66598719310629595</v>
      </c>
      <c r="AE82" s="279">
        <v>0.66598719310629595</v>
      </c>
      <c r="AF82" s="279">
        <v>0.66598719310629595</v>
      </c>
      <c r="AG82" s="279">
        <v>0.66598719310629595</v>
      </c>
    </row>
    <row r="83" spans="1:33" x14ac:dyDescent="0.25">
      <c r="A83" s="277" t="s">
        <v>30</v>
      </c>
      <c r="B83" s="277" t="s">
        <v>18</v>
      </c>
      <c r="C83" s="277" t="s">
        <v>115</v>
      </c>
      <c r="D83" s="277" t="s">
        <v>194</v>
      </c>
      <c r="E83" s="277" t="s">
        <v>17</v>
      </c>
      <c r="F83" s="278" t="s">
        <v>195</v>
      </c>
      <c r="G83" s="279">
        <v>12.030736391597607</v>
      </c>
      <c r="H83" s="279">
        <v>12.030736391597607</v>
      </c>
      <c r="I83" s="279">
        <v>12.030736391597607</v>
      </c>
      <c r="J83" s="279">
        <v>12.030736391597607</v>
      </c>
      <c r="K83" s="279">
        <v>12.030736391597607</v>
      </c>
      <c r="L83" s="279">
        <v>12.030736391597607</v>
      </c>
      <c r="M83" s="279">
        <v>12.030736391597607</v>
      </c>
      <c r="N83" s="279">
        <v>12.030736391597607</v>
      </c>
      <c r="O83" s="279">
        <v>12.030736391597607</v>
      </c>
      <c r="P83" s="279">
        <v>12.030736391597607</v>
      </c>
      <c r="Q83" s="279">
        <v>12.030736391597607</v>
      </c>
      <c r="R83" s="279">
        <v>12.030736391597607</v>
      </c>
      <c r="S83" s="279">
        <v>12.030736391597607</v>
      </c>
      <c r="T83" s="279">
        <v>12.030736391597607</v>
      </c>
      <c r="U83" s="279">
        <v>12.030736391597607</v>
      </c>
      <c r="V83" s="279">
        <v>12.030736391597607</v>
      </c>
      <c r="W83" s="279">
        <v>12.030736391597607</v>
      </c>
      <c r="X83" s="279">
        <v>12.030736391597607</v>
      </c>
      <c r="Y83" s="279">
        <v>12.030736391597607</v>
      </c>
      <c r="Z83" s="279">
        <v>12.030736391597607</v>
      </c>
      <c r="AA83" s="279">
        <v>12.030736391597607</v>
      </c>
      <c r="AB83" s="279">
        <v>12.030736391597607</v>
      </c>
      <c r="AC83" s="279">
        <v>12.030736391597607</v>
      </c>
      <c r="AD83" s="279">
        <v>12.030736391597607</v>
      </c>
      <c r="AE83" s="279">
        <v>12.030736391597607</v>
      </c>
      <c r="AF83" s="279">
        <v>12.030736391597607</v>
      </c>
      <c r="AG83" s="279">
        <v>12.030736391597607</v>
      </c>
    </row>
    <row r="84" spans="1:33" x14ac:dyDescent="0.25">
      <c r="A84" s="277" t="s">
        <v>30</v>
      </c>
      <c r="B84" s="277" t="s">
        <v>18</v>
      </c>
      <c r="C84" s="277" t="s">
        <v>115</v>
      </c>
      <c r="D84" s="277" t="s">
        <v>271</v>
      </c>
      <c r="E84" s="277" t="s">
        <v>17</v>
      </c>
      <c r="F84" s="278" t="s">
        <v>272</v>
      </c>
      <c r="G84" s="279">
        <v>1.6327427960025322</v>
      </c>
      <c r="H84" s="279">
        <v>1.6327427960025322</v>
      </c>
      <c r="I84" s="279">
        <v>1.6327427960025322</v>
      </c>
      <c r="J84" s="279">
        <v>1.6327427960025322</v>
      </c>
      <c r="K84" s="279">
        <v>1.6327427960025322</v>
      </c>
      <c r="L84" s="279">
        <v>1.6327427960025322</v>
      </c>
      <c r="M84" s="279">
        <v>1.6327427960025322</v>
      </c>
      <c r="N84" s="279">
        <v>1.6327427960025322</v>
      </c>
      <c r="O84" s="279">
        <v>1.6327427960025322</v>
      </c>
      <c r="P84" s="279">
        <v>1.6327427960025322</v>
      </c>
      <c r="Q84" s="279">
        <v>1.6327427960025322</v>
      </c>
      <c r="R84" s="279">
        <v>1.6327427960025322</v>
      </c>
      <c r="S84" s="279">
        <v>1.6327427960025322</v>
      </c>
      <c r="T84" s="279">
        <v>1.6327427960025322</v>
      </c>
      <c r="U84" s="279">
        <v>1.6327427960025322</v>
      </c>
      <c r="V84" s="279">
        <v>1.6327427960025322</v>
      </c>
      <c r="W84" s="279">
        <v>1.6327427960025322</v>
      </c>
      <c r="X84" s="279">
        <v>1.6327427960025322</v>
      </c>
      <c r="Y84" s="279">
        <v>1.6327427960025322</v>
      </c>
      <c r="Z84" s="279">
        <v>1.6327427960025322</v>
      </c>
      <c r="AA84" s="279">
        <v>1.6327427960025322</v>
      </c>
      <c r="AB84" s="279">
        <v>1.6327427960025322</v>
      </c>
      <c r="AC84" s="279">
        <v>1.6327427960025322</v>
      </c>
      <c r="AD84" s="279">
        <v>1.6327427960025322</v>
      </c>
      <c r="AE84" s="279">
        <v>1.6327427960025322</v>
      </c>
      <c r="AF84" s="279">
        <v>1.6327427960025322</v>
      </c>
      <c r="AG84" s="279">
        <v>1.6327427960025322</v>
      </c>
    </row>
    <row r="85" spans="1:33" x14ac:dyDescent="0.25">
      <c r="A85" s="280" t="s">
        <v>30</v>
      </c>
      <c r="B85" s="280" t="s">
        <v>18</v>
      </c>
      <c r="C85" s="280" t="s">
        <v>115</v>
      </c>
      <c r="D85" s="280" t="s">
        <v>354</v>
      </c>
      <c r="E85" s="280" t="s">
        <v>17</v>
      </c>
      <c r="F85" s="280" t="s">
        <v>355</v>
      </c>
      <c r="G85" s="280">
        <v>3.050651013583678</v>
      </c>
      <c r="H85" s="280">
        <v>3.050651013583678</v>
      </c>
      <c r="I85" s="280">
        <v>3.050651013583678</v>
      </c>
      <c r="J85" s="280">
        <v>3.050651013583678</v>
      </c>
      <c r="K85" s="280">
        <v>3.050651013583678</v>
      </c>
      <c r="L85" s="280">
        <v>3.050651013583678</v>
      </c>
      <c r="M85" s="280">
        <v>3.050651013583678</v>
      </c>
      <c r="N85" s="280">
        <v>3.050651013583678</v>
      </c>
      <c r="O85" s="280">
        <v>3.050651013583678</v>
      </c>
      <c r="P85" s="280">
        <v>3.050651013583678</v>
      </c>
      <c r="Q85" s="280">
        <v>3.050651013583678</v>
      </c>
      <c r="R85" s="280">
        <v>3.050651013583678</v>
      </c>
      <c r="S85" s="280">
        <v>3.050651013583678</v>
      </c>
      <c r="T85" s="280">
        <v>3.050651013583678</v>
      </c>
      <c r="U85" s="280">
        <v>3.050651013583678</v>
      </c>
      <c r="V85" s="280">
        <v>3.050651013583678</v>
      </c>
      <c r="W85" s="280">
        <v>3.050651013583678</v>
      </c>
      <c r="X85" s="280">
        <v>3.050651013583678</v>
      </c>
      <c r="Y85" s="280">
        <v>3.050651013583678</v>
      </c>
      <c r="Z85" s="280">
        <v>3.050651013583678</v>
      </c>
      <c r="AA85" s="280">
        <v>3.050651013583678</v>
      </c>
      <c r="AB85" s="280">
        <v>3.050651013583678</v>
      </c>
      <c r="AC85" s="280">
        <v>3.050651013583678</v>
      </c>
      <c r="AD85" s="280">
        <v>3.050651013583678</v>
      </c>
      <c r="AE85" s="280">
        <v>3.050651013583678</v>
      </c>
      <c r="AF85" s="280">
        <v>3.050651013583678</v>
      </c>
      <c r="AG85" s="280">
        <v>3.050651013583678</v>
      </c>
    </row>
    <row r="86" spans="1:33" x14ac:dyDescent="0.25">
      <c r="A86" s="280" t="s">
        <v>30</v>
      </c>
      <c r="B86" s="280" t="s">
        <v>18</v>
      </c>
      <c r="C86" s="280" t="s">
        <v>115</v>
      </c>
      <c r="D86" s="280" t="s">
        <v>85</v>
      </c>
      <c r="E86" s="280" t="s">
        <v>17</v>
      </c>
      <c r="F86" s="280" t="s">
        <v>502</v>
      </c>
      <c r="G86" s="280">
        <v>6.1442689428516326</v>
      </c>
      <c r="H86" s="280">
        <v>6.1442689428516326</v>
      </c>
      <c r="I86" s="280">
        <v>6.1442689428516326</v>
      </c>
      <c r="J86" s="280">
        <v>6.1442689428516326</v>
      </c>
      <c r="K86" s="280">
        <v>6.1442689428516326</v>
      </c>
      <c r="L86" s="280">
        <v>6.1442689428516326</v>
      </c>
      <c r="M86" s="280">
        <v>6.1442689428516326</v>
      </c>
      <c r="N86" s="280">
        <v>6.1442689428516326</v>
      </c>
      <c r="O86" s="280">
        <v>6.1442689428516326</v>
      </c>
      <c r="P86" s="280">
        <v>6.1442689428516326</v>
      </c>
      <c r="Q86" s="280">
        <v>6.1442689428516326</v>
      </c>
      <c r="R86" s="280">
        <v>6.1442689428516326</v>
      </c>
      <c r="S86" s="280">
        <v>6.1442689428516326</v>
      </c>
      <c r="T86" s="280">
        <v>6.1442689428516326</v>
      </c>
      <c r="U86" s="280">
        <v>6.1442689428516326</v>
      </c>
      <c r="V86" s="280">
        <v>6.1442689428516326</v>
      </c>
      <c r="W86" s="280">
        <v>6.1442689428516326</v>
      </c>
      <c r="X86" s="280">
        <v>6.1442689428516326</v>
      </c>
      <c r="Y86" s="280">
        <v>6.1442689428516326</v>
      </c>
      <c r="Z86" s="280">
        <v>6.1442689428516326</v>
      </c>
      <c r="AA86" s="280">
        <v>6.1442689428516326</v>
      </c>
      <c r="AB86" s="280">
        <v>6.1442689428516326</v>
      </c>
      <c r="AC86" s="280">
        <v>6.1442689428516326</v>
      </c>
      <c r="AD86" s="280">
        <v>6.1442689428516326</v>
      </c>
      <c r="AE86" s="280">
        <v>6.1442689428516326</v>
      </c>
      <c r="AF86" s="280">
        <v>6.1442689428516326</v>
      </c>
      <c r="AG86" s="280">
        <v>6.1442689428516326</v>
      </c>
    </row>
    <row r="87" spans="1:33" x14ac:dyDescent="0.25">
      <c r="A87" s="277" t="s">
        <v>30</v>
      </c>
      <c r="B87" s="277" t="s">
        <v>18</v>
      </c>
      <c r="C87" s="277" t="s">
        <v>115</v>
      </c>
      <c r="D87" s="277" t="s">
        <v>86</v>
      </c>
      <c r="E87" s="277" t="s">
        <v>17</v>
      </c>
      <c r="F87" s="278" t="s">
        <v>280</v>
      </c>
      <c r="G87" s="279">
        <v>9.7749733181730534</v>
      </c>
      <c r="H87" s="279">
        <v>9.7749733181730534</v>
      </c>
      <c r="I87" s="279">
        <v>9.7749733181730534</v>
      </c>
      <c r="J87" s="279">
        <v>9.7749733181730534</v>
      </c>
      <c r="K87" s="279">
        <v>9.7749733181730534</v>
      </c>
      <c r="L87" s="279">
        <v>9.7749733181730534</v>
      </c>
      <c r="M87" s="279">
        <v>9.7749733181730534</v>
      </c>
      <c r="N87" s="279">
        <v>9.7749733181730534</v>
      </c>
      <c r="O87" s="279">
        <v>9.7749733181730534</v>
      </c>
      <c r="P87" s="279">
        <v>9.7749733181730534</v>
      </c>
      <c r="Q87" s="279">
        <v>9.7749733181730534</v>
      </c>
      <c r="R87" s="279">
        <v>9.7749733181730534</v>
      </c>
      <c r="S87" s="279">
        <v>9.7749733181730534</v>
      </c>
      <c r="T87" s="279">
        <v>9.7749733181730534</v>
      </c>
      <c r="U87" s="279">
        <v>9.7749733181730534</v>
      </c>
      <c r="V87" s="279">
        <v>9.7749733181730534</v>
      </c>
      <c r="W87" s="279">
        <v>9.7749733181730534</v>
      </c>
      <c r="X87" s="279">
        <v>9.7749733181730534</v>
      </c>
      <c r="Y87" s="279">
        <v>9.7749733181730534</v>
      </c>
      <c r="Z87" s="279">
        <v>9.7749733181730534</v>
      </c>
      <c r="AA87" s="279">
        <v>9.7749733181730534</v>
      </c>
      <c r="AB87" s="279">
        <v>9.7749733181730534</v>
      </c>
      <c r="AC87" s="279">
        <v>9.7749733181730534</v>
      </c>
      <c r="AD87" s="279">
        <v>9.7749733181730534</v>
      </c>
      <c r="AE87" s="279">
        <v>9.7749733181730534</v>
      </c>
      <c r="AF87" s="279">
        <v>9.7749733181730534</v>
      </c>
      <c r="AG87" s="279">
        <v>9.7749733181730534</v>
      </c>
    </row>
    <row r="88" spans="1:33" x14ac:dyDescent="0.25">
      <c r="A88" s="280" t="s">
        <v>30</v>
      </c>
      <c r="B88" s="280" t="s">
        <v>18</v>
      </c>
      <c r="C88" s="280" t="s">
        <v>115</v>
      </c>
      <c r="D88" s="280" t="s">
        <v>444</v>
      </c>
      <c r="E88" s="280" t="s">
        <v>17</v>
      </c>
      <c r="F88" s="280" t="s">
        <v>445</v>
      </c>
      <c r="G88" s="280">
        <v>0.62302027742201871</v>
      </c>
      <c r="H88" s="280">
        <v>0.62302027742201871</v>
      </c>
      <c r="I88" s="280">
        <v>0.62302027742201871</v>
      </c>
      <c r="J88" s="280">
        <v>0.62302027742201871</v>
      </c>
      <c r="K88" s="280">
        <v>0.62302027742201871</v>
      </c>
      <c r="L88" s="280">
        <v>0.62302027742201871</v>
      </c>
      <c r="M88" s="280">
        <v>0.62302027742201871</v>
      </c>
      <c r="N88" s="280">
        <v>0.62302027742201871</v>
      </c>
      <c r="O88" s="280">
        <v>0.62302027742201871</v>
      </c>
      <c r="P88" s="280">
        <v>0.62302027742201871</v>
      </c>
      <c r="Q88" s="280">
        <v>0.62302027742201871</v>
      </c>
      <c r="R88" s="280">
        <v>0.62302027742201871</v>
      </c>
      <c r="S88" s="280">
        <v>0.62302027742201871</v>
      </c>
      <c r="T88" s="280">
        <v>0.62302027742201871</v>
      </c>
      <c r="U88" s="280">
        <v>0.62302027742201871</v>
      </c>
      <c r="V88" s="280">
        <v>0.62302027742201871</v>
      </c>
      <c r="W88" s="280">
        <v>0.62302027742201871</v>
      </c>
      <c r="X88" s="280">
        <v>0.62302027742201871</v>
      </c>
      <c r="Y88" s="280">
        <v>0.62302027742201871</v>
      </c>
      <c r="Z88" s="280">
        <v>0.62302027742201871</v>
      </c>
      <c r="AA88" s="280">
        <v>0.62302027742201871</v>
      </c>
      <c r="AB88" s="280">
        <v>0.62302027742201871</v>
      </c>
      <c r="AC88" s="280">
        <v>0.62302027742201871</v>
      </c>
      <c r="AD88" s="280">
        <v>0.62302027742201871</v>
      </c>
      <c r="AE88" s="280">
        <v>0.62302027742201871</v>
      </c>
      <c r="AF88" s="280">
        <v>0.62302027742201871</v>
      </c>
      <c r="AG88" s="280">
        <v>0.62302027742201871</v>
      </c>
    </row>
    <row r="89" spans="1:33" x14ac:dyDescent="0.25">
      <c r="A89" s="280" t="s">
        <v>30</v>
      </c>
      <c r="B89" s="280" t="s">
        <v>18</v>
      </c>
      <c r="C89" s="280" t="s">
        <v>115</v>
      </c>
      <c r="D89" s="280" t="s">
        <v>440</v>
      </c>
      <c r="E89" s="280" t="s">
        <v>17</v>
      </c>
      <c r="F89" s="280" t="s">
        <v>441</v>
      </c>
      <c r="G89" s="280">
        <v>2.0409284950031652</v>
      </c>
      <c r="H89" s="280">
        <v>2.0409284950031652</v>
      </c>
      <c r="I89" s="280">
        <v>2.0409284950031652</v>
      </c>
      <c r="J89" s="280">
        <v>2.0409284950031652</v>
      </c>
      <c r="K89" s="280">
        <v>2.0409284950031652</v>
      </c>
      <c r="L89" s="280">
        <v>2.0409284950031652</v>
      </c>
      <c r="M89" s="280">
        <v>2.0409284950031652</v>
      </c>
      <c r="N89" s="280">
        <v>2.0409284950031652</v>
      </c>
      <c r="O89" s="280">
        <v>2.0409284950031652</v>
      </c>
      <c r="P89" s="280">
        <v>2.0409284950031652</v>
      </c>
      <c r="Q89" s="280">
        <v>2.0409284950031652</v>
      </c>
      <c r="R89" s="280">
        <v>2.0409284950031652</v>
      </c>
      <c r="S89" s="280">
        <v>2.0409284950031652</v>
      </c>
      <c r="T89" s="280">
        <v>2.0409284950031652</v>
      </c>
      <c r="U89" s="280">
        <v>2.0409284950031652</v>
      </c>
      <c r="V89" s="280">
        <v>2.0409284950031652</v>
      </c>
      <c r="W89" s="280">
        <v>2.0409284950031652</v>
      </c>
      <c r="X89" s="280">
        <v>2.0409284950031652</v>
      </c>
      <c r="Y89" s="280">
        <v>2.0409284950031652</v>
      </c>
      <c r="Z89" s="280">
        <v>2.0409284950031652</v>
      </c>
      <c r="AA89" s="280">
        <v>2.0409284950031652</v>
      </c>
      <c r="AB89" s="280">
        <v>2.0409284950031652</v>
      </c>
      <c r="AC89" s="280">
        <v>2.0409284950031652</v>
      </c>
      <c r="AD89" s="280">
        <v>2.0409284950031652</v>
      </c>
      <c r="AE89" s="280">
        <v>2.0409284950031652</v>
      </c>
      <c r="AF89" s="280">
        <v>2.0409284950031652</v>
      </c>
      <c r="AG89" s="280">
        <v>2.0409284950031652</v>
      </c>
    </row>
    <row r="90" spans="1:33" x14ac:dyDescent="0.25">
      <c r="A90" s="280" t="s">
        <v>30</v>
      </c>
      <c r="B90" s="280" t="s">
        <v>18</v>
      </c>
      <c r="C90" s="280" t="s">
        <v>115</v>
      </c>
      <c r="D90" s="280" t="s">
        <v>410</v>
      </c>
      <c r="E90" s="280" t="s">
        <v>17</v>
      </c>
      <c r="F90" s="280" t="s">
        <v>411</v>
      </c>
      <c r="G90" s="280">
        <v>2.642465314583045</v>
      </c>
      <c r="H90" s="280">
        <v>2.642465314583045</v>
      </c>
      <c r="I90" s="280">
        <v>2.642465314583045</v>
      </c>
      <c r="J90" s="280">
        <v>2.642465314583045</v>
      </c>
      <c r="K90" s="280">
        <v>2.642465314583045</v>
      </c>
      <c r="L90" s="280">
        <v>2.642465314583045</v>
      </c>
      <c r="M90" s="280">
        <v>2.642465314583045</v>
      </c>
      <c r="N90" s="280">
        <v>2.642465314583045</v>
      </c>
      <c r="O90" s="280">
        <v>2.642465314583045</v>
      </c>
      <c r="P90" s="280">
        <v>2.642465314583045</v>
      </c>
      <c r="Q90" s="280">
        <v>2.642465314583045</v>
      </c>
      <c r="R90" s="280">
        <v>2.642465314583045</v>
      </c>
      <c r="S90" s="280">
        <v>2.642465314583045</v>
      </c>
      <c r="T90" s="280">
        <v>2.642465314583045</v>
      </c>
      <c r="U90" s="280">
        <v>2.642465314583045</v>
      </c>
      <c r="V90" s="280">
        <v>2.642465314583045</v>
      </c>
      <c r="W90" s="280">
        <v>2.642465314583045</v>
      </c>
      <c r="X90" s="280">
        <v>2.642465314583045</v>
      </c>
      <c r="Y90" s="280">
        <v>2.642465314583045</v>
      </c>
      <c r="Z90" s="280">
        <v>2.642465314583045</v>
      </c>
      <c r="AA90" s="280">
        <v>2.642465314583045</v>
      </c>
      <c r="AB90" s="280">
        <v>2.642465314583045</v>
      </c>
      <c r="AC90" s="280">
        <v>2.642465314583045</v>
      </c>
      <c r="AD90" s="280">
        <v>2.642465314583045</v>
      </c>
      <c r="AE90" s="280">
        <v>2.642465314583045</v>
      </c>
      <c r="AF90" s="280">
        <v>2.642465314583045</v>
      </c>
      <c r="AG90" s="280">
        <v>2.642465314583045</v>
      </c>
    </row>
    <row r="91" spans="1:33" x14ac:dyDescent="0.25">
      <c r="A91" s="280" t="s">
        <v>30</v>
      </c>
      <c r="B91" s="280" t="s">
        <v>18</v>
      </c>
      <c r="C91" s="280" t="s">
        <v>115</v>
      </c>
      <c r="D91" s="280" t="s">
        <v>459</v>
      </c>
      <c r="E91" s="280" t="s">
        <v>17</v>
      </c>
      <c r="F91" s="280" t="s">
        <v>460</v>
      </c>
      <c r="G91" s="280">
        <v>1.1386232656333446</v>
      </c>
      <c r="H91" s="280">
        <v>1.1386232656333446</v>
      </c>
      <c r="I91" s="280">
        <v>1.1386232656333446</v>
      </c>
      <c r="J91" s="280">
        <v>1.1386232656333446</v>
      </c>
      <c r="K91" s="280">
        <v>1.1386232656333446</v>
      </c>
      <c r="L91" s="280">
        <v>1.1386232656333446</v>
      </c>
      <c r="M91" s="280">
        <v>1.1386232656333446</v>
      </c>
      <c r="N91" s="280">
        <v>1.1386232656333446</v>
      </c>
      <c r="O91" s="280">
        <v>1.1386232656333446</v>
      </c>
      <c r="P91" s="280">
        <v>1.1386232656333446</v>
      </c>
      <c r="Q91" s="280">
        <v>1.1386232656333446</v>
      </c>
      <c r="R91" s="280">
        <v>1.1386232656333446</v>
      </c>
      <c r="S91" s="280">
        <v>1.1386232656333446</v>
      </c>
      <c r="T91" s="280">
        <v>1.1386232656333446</v>
      </c>
      <c r="U91" s="280">
        <v>1.1386232656333446</v>
      </c>
      <c r="V91" s="280">
        <v>1.1386232656333446</v>
      </c>
      <c r="W91" s="280">
        <v>1.1386232656333446</v>
      </c>
      <c r="X91" s="280">
        <v>1.1386232656333446</v>
      </c>
      <c r="Y91" s="280">
        <v>1.1386232656333446</v>
      </c>
      <c r="Z91" s="280">
        <v>1.1386232656333446</v>
      </c>
      <c r="AA91" s="280">
        <v>1.1386232656333446</v>
      </c>
      <c r="AB91" s="280">
        <v>1.1386232656333446</v>
      </c>
      <c r="AC91" s="280">
        <v>1.1386232656333446</v>
      </c>
      <c r="AD91" s="280">
        <v>1.1386232656333446</v>
      </c>
      <c r="AE91" s="280">
        <v>1.1386232656333446</v>
      </c>
      <c r="AF91" s="280">
        <v>1.1386232656333446</v>
      </c>
      <c r="AG91" s="280">
        <v>1.1386232656333446</v>
      </c>
    </row>
    <row r="92" spans="1:33" x14ac:dyDescent="0.25">
      <c r="A92" s="277" t="s">
        <v>30</v>
      </c>
      <c r="B92" s="277" t="s">
        <v>18</v>
      </c>
      <c r="C92" s="277" t="s">
        <v>115</v>
      </c>
      <c r="D92" s="277" t="s">
        <v>331</v>
      </c>
      <c r="E92" s="277" t="s">
        <v>17</v>
      </c>
      <c r="F92" s="278" t="s">
        <v>332</v>
      </c>
      <c r="G92" s="279">
        <v>0.15038420489497004</v>
      </c>
      <c r="H92" s="279">
        <v>0.15038420489497004</v>
      </c>
      <c r="I92" s="279">
        <v>0.15038420489497004</v>
      </c>
      <c r="J92" s="279">
        <v>0.15038420489497004</v>
      </c>
      <c r="K92" s="279">
        <v>0.15038420489497004</v>
      </c>
      <c r="L92" s="279">
        <v>0.15038420489497004</v>
      </c>
      <c r="M92" s="279">
        <v>0.15038420489497004</v>
      </c>
      <c r="N92" s="279">
        <v>0.15038420489497004</v>
      </c>
      <c r="O92" s="279">
        <v>0.15038420489497004</v>
      </c>
      <c r="P92" s="279">
        <v>0.15038420489497004</v>
      </c>
      <c r="Q92" s="279">
        <v>0.15038420489497004</v>
      </c>
      <c r="R92" s="279">
        <v>0.15038420489497004</v>
      </c>
      <c r="S92" s="279">
        <v>0.15038420489497004</v>
      </c>
      <c r="T92" s="279">
        <v>0.15038420489497004</v>
      </c>
      <c r="U92" s="279">
        <v>0.15038420489497004</v>
      </c>
      <c r="V92" s="279">
        <v>0.15038420489497004</v>
      </c>
      <c r="W92" s="279">
        <v>0.15038420489497004</v>
      </c>
      <c r="X92" s="279">
        <v>0.15038420489497004</v>
      </c>
      <c r="Y92" s="279">
        <v>0.15038420489497004</v>
      </c>
      <c r="Z92" s="279">
        <v>0.15038420489497004</v>
      </c>
      <c r="AA92" s="279">
        <v>0.15038420489497004</v>
      </c>
      <c r="AB92" s="279">
        <v>0.15038420489497004</v>
      </c>
      <c r="AC92" s="279">
        <v>0.15038420489497004</v>
      </c>
      <c r="AD92" s="279">
        <v>0.15038420489497004</v>
      </c>
      <c r="AE92" s="279">
        <v>0.15038420489497004</v>
      </c>
      <c r="AF92" s="279">
        <v>0.15038420489497004</v>
      </c>
      <c r="AG92" s="279">
        <v>0.15038420489497004</v>
      </c>
    </row>
    <row r="93" spans="1:33" x14ac:dyDescent="0.25">
      <c r="A93" s="280" t="s">
        <v>30</v>
      </c>
      <c r="B93" s="280" t="s">
        <v>18</v>
      </c>
      <c r="C93" s="280" t="s">
        <v>115</v>
      </c>
      <c r="D93" s="280" t="s">
        <v>484</v>
      </c>
      <c r="E93" s="280" t="s">
        <v>17</v>
      </c>
      <c r="F93" s="280" t="s">
        <v>485</v>
      </c>
      <c r="G93" s="280">
        <v>3.3514194233736174</v>
      </c>
      <c r="H93" s="280">
        <v>3.3514194233736174</v>
      </c>
      <c r="I93" s="280">
        <v>3.3514194233736174</v>
      </c>
      <c r="J93" s="280">
        <v>3.3514194233736174</v>
      </c>
      <c r="K93" s="280">
        <v>3.3514194233736174</v>
      </c>
      <c r="L93" s="280">
        <v>3.3514194233736174</v>
      </c>
      <c r="M93" s="280">
        <v>3.3514194233736174</v>
      </c>
      <c r="N93" s="280">
        <v>3.3514194233736174</v>
      </c>
      <c r="O93" s="280">
        <v>3.3514194233736174</v>
      </c>
      <c r="P93" s="280">
        <v>3.3514194233736174</v>
      </c>
      <c r="Q93" s="280">
        <v>3.3514194233736174</v>
      </c>
      <c r="R93" s="280">
        <v>3.3514194233736174</v>
      </c>
      <c r="S93" s="280">
        <v>3.3514194233736174</v>
      </c>
      <c r="T93" s="280">
        <v>3.3514194233736174</v>
      </c>
      <c r="U93" s="280">
        <v>3.3514194233736174</v>
      </c>
      <c r="V93" s="280">
        <v>3.3514194233736174</v>
      </c>
      <c r="W93" s="280">
        <v>3.3514194233736174</v>
      </c>
      <c r="X93" s="280">
        <v>3.3514194233736174</v>
      </c>
      <c r="Y93" s="280">
        <v>3.3514194233736174</v>
      </c>
      <c r="Z93" s="280">
        <v>3.3514194233736174</v>
      </c>
      <c r="AA93" s="280">
        <v>3.3514194233736174</v>
      </c>
      <c r="AB93" s="280">
        <v>3.3514194233736174</v>
      </c>
      <c r="AC93" s="280">
        <v>3.3514194233736174</v>
      </c>
      <c r="AD93" s="280">
        <v>3.3514194233736174</v>
      </c>
      <c r="AE93" s="280">
        <v>3.3514194233736174</v>
      </c>
      <c r="AF93" s="280">
        <v>3.3514194233736174</v>
      </c>
      <c r="AG93" s="280">
        <v>3.3514194233736174</v>
      </c>
    </row>
    <row r="94" spans="1:33" x14ac:dyDescent="0.25">
      <c r="A94" s="280" t="s">
        <v>30</v>
      </c>
      <c r="B94" s="280" t="s">
        <v>18</v>
      </c>
      <c r="C94" s="280" t="s">
        <v>115</v>
      </c>
      <c r="D94" s="280" t="s">
        <v>491</v>
      </c>
      <c r="E94" s="280" t="s">
        <v>17</v>
      </c>
      <c r="F94" s="280" t="s">
        <v>492</v>
      </c>
      <c r="G94" s="280">
        <v>2.1483457842138578</v>
      </c>
      <c r="H94" s="280">
        <v>2.1483457842138578</v>
      </c>
      <c r="I94" s="280">
        <v>2.1483457842138578</v>
      </c>
      <c r="J94" s="280">
        <v>2.1483457842138578</v>
      </c>
      <c r="K94" s="280">
        <v>2.1483457842138578</v>
      </c>
      <c r="L94" s="280">
        <v>2.1483457842138578</v>
      </c>
      <c r="M94" s="280">
        <v>2.1483457842138578</v>
      </c>
      <c r="N94" s="280">
        <v>2.1483457842138578</v>
      </c>
      <c r="O94" s="280">
        <v>2.1483457842138578</v>
      </c>
      <c r="P94" s="280">
        <v>2.1483457842138578</v>
      </c>
      <c r="Q94" s="280">
        <v>2.1483457842138578</v>
      </c>
      <c r="R94" s="280">
        <v>2.1483457842138578</v>
      </c>
      <c r="S94" s="280">
        <v>2.1483457842138578</v>
      </c>
      <c r="T94" s="280">
        <v>2.1483457842138578</v>
      </c>
      <c r="U94" s="280">
        <v>2.1483457842138578</v>
      </c>
      <c r="V94" s="280">
        <v>2.1483457842138578</v>
      </c>
      <c r="W94" s="280">
        <v>2.1483457842138578</v>
      </c>
      <c r="X94" s="280">
        <v>2.1483457842138578</v>
      </c>
      <c r="Y94" s="280">
        <v>2.1483457842138578</v>
      </c>
      <c r="Z94" s="280">
        <v>2.1483457842138578</v>
      </c>
      <c r="AA94" s="280">
        <v>2.1483457842138578</v>
      </c>
      <c r="AB94" s="280">
        <v>2.1483457842138578</v>
      </c>
      <c r="AC94" s="280">
        <v>2.1483457842138578</v>
      </c>
      <c r="AD94" s="280">
        <v>2.1483457842138578</v>
      </c>
      <c r="AE94" s="280">
        <v>2.1483457842138578</v>
      </c>
      <c r="AF94" s="280">
        <v>2.1483457842138578</v>
      </c>
      <c r="AG94" s="280">
        <v>2.1483457842138578</v>
      </c>
    </row>
    <row r="95" spans="1:33" x14ac:dyDescent="0.25">
      <c r="A95" s="277" t="s">
        <v>30</v>
      </c>
      <c r="B95" s="277" t="s">
        <v>18</v>
      </c>
      <c r="C95" s="277" t="s">
        <v>115</v>
      </c>
      <c r="D95" s="277" t="s">
        <v>88</v>
      </c>
      <c r="E95" s="277" t="s">
        <v>17</v>
      </c>
      <c r="F95" s="278" t="s">
        <v>241</v>
      </c>
      <c r="G95" s="279">
        <v>12.202604054334712</v>
      </c>
      <c r="H95" s="279">
        <v>12.202604054334712</v>
      </c>
      <c r="I95" s="279">
        <v>12.202604054334712</v>
      </c>
      <c r="J95" s="279">
        <v>12.202604054334712</v>
      </c>
      <c r="K95" s="279">
        <v>12.202604054334712</v>
      </c>
      <c r="L95" s="279">
        <v>12.202604054334712</v>
      </c>
      <c r="M95" s="279">
        <v>12.202604054334712</v>
      </c>
      <c r="N95" s="279">
        <v>12.202604054334712</v>
      </c>
      <c r="O95" s="279">
        <v>12.202604054334712</v>
      </c>
      <c r="P95" s="279">
        <v>12.202604054334712</v>
      </c>
      <c r="Q95" s="279">
        <v>12.202604054334712</v>
      </c>
      <c r="R95" s="279">
        <v>12.202604054334712</v>
      </c>
      <c r="S95" s="279">
        <v>12.202604054334712</v>
      </c>
      <c r="T95" s="279">
        <v>12.202604054334712</v>
      </c>
      <c r="U95" s="279">
        <v>12.202604054334712</v>
      </c>
      <c r="V95" s="279">
        <v>12.202604054334712</v>
      </c>
      <c r="W95" s="279">
        <v>12.202604054334712</v>
      </c>
      <c r="X95" s="279">
        <v>12.202604054334712</v>
      </c>
      <c r="Y95" s="279">
        <v>12.202604054334712</v>
      </c>
      <c r="Z95" s="279">
        <v>12.202604054334712</v>
      </c>
      <c r="AA95" s="279">
        <v>12.202604054334712</v>
      </c>
      <c r="AB95" s="279">
        <v>12.202604054334712</v>
      </c>
      <c r="AC95" s="279">
        <v>12.202604054334712</v>
      </c>
      <c r="AD95" s="279">
        <v>12.202604054334712</v>
      </c>
      <c r="AE95" s="279">
        <v>12.202604054334712</v>
      </c>
      <c r="AF95" s="279">
        <v>12.202604054334712</v>
      </c>
      <c r="AG95" s="279">
        <v>12.202604054334712</v>
      </c>
    </row>
    <row r="96" spans="1:33" x14ac:dyDescent="0.25">
      <c r="A96" s="277" t="s">
        <v>30</v>
      </c>
      <c r="B96" s="277" t="s">
        <v>18</v>
      </c>
      <c r="C96" s="277" t="s">
        <v>115</v>
      </c>
      <c r="D96" s="277" t="s">
        <v>224</v>
      </c>
      <c r="E96" s="277" t="s">
        <v>17</v>
      </c>
      <c r="F96" s="278" t="s">
        <v>225</v>
      </c>
      <c r="G96" s="279">
        <v>0.47263607252704876</v>
      </c>
      <c r="H96" s="279">
        <v>0.47263607252704876</v>
      </c>
      <c r="I96" s="279">
        <v>0.47263607252704876</v>
      </c>
      <c r="J96" s="279">
        <v>0.47263607252704876</v>
      </c>
      <c r="K96" s="279">
        <v>0.47263607252704876</v>
      </c>
      <c r="L96" s="279">
        <v>0.47263607252704876</v>
      </c>
      <c r="M96" s="279">
        <v>0.47263607252704876</v>
      </c>
      <c r="N96" s="279">
        <v>0.47263607252704876</v>
      </c>
      <c r="O96" s="279">
        <v>0.47263607252704876</v>
      </c>
      <c r="P96" s="279">
        <v>0.47263607252704876</v>
      </c>
      <c r="Q96" s="279">
        <v>0.47263607252704876</v>
      </c>
      <c r="R96" s="279">
        <v>0.47263607252704876</v>
      </c>
      <c r="S96" s="279">
        <v>0.47263607252704876</v>
      </c>
      <c r="T96" s="279">
        <v>0.47263607252704876</v>
      </c>
      <c r="U96" s="279">
        <v>0.47263607252704876</v>
      </c>
      <c r="V96" s="279">
        <v>0.47263607252704876</v>
      </c>
      <c r="W96" s="279">
        <v>0.47263607252704876</v>
      </c>
      <c r="X96" s="279">
        <v>0.47263607252704876</v>
      </c>
      <c r="Y96" s="279">
        <v>0.47263607252704876</v>
      </c>
      <c r="Z96" s="279">
        <v>0.47263607252704876</v>
      </c>
      <c r="AA96" s="279">
        <v>0.47263607252704876</v>
      </c>
      <c r="AB96" s="279">
        <v>0.47263607252704876</v>
      </c>
      <c r="AC96" s="279">
        <v>0.47263607252704876</v>
      </c>
      <c r="AD96" s="279">
        <v>0.47263607252704876</v>
      </c>
      <c r="AE96" s="279">
        <v>0.47263607252704876</v>
      </c>
      <c r="AF96" s="279">
        <v>0.47263607252704876</v>
      </c>
      <c r="AG96" s="279">
        <v>0.47263607252704876</v>
      </c>
    </row>
    <row r="97" spans="1:33" x14ac:dyDescent="0.25">
      <c r="A97" s="280" t="s">
        <v>30</v>
      </c>
      <c r="B97" s="280" t="s">
        <v>18</v>
      </c>
      <c r="C97" s="280" t="s">
        <v>115</v>
      </c>
      <c r="D97" s="280" t="s">
        <v>428</v>
      </c>
      <c r="E97" s="280" t="s">
        <v>17</v>
      </c>
      <c r="F97" s="280" t="s">
        <v>429</v>
      </c>
      <c r="G97" s="280">
        <v>1.0526894342647903</v>
      </c>
      <c r="H97" s="280">
        <v>1.0526894342647903</v>
      </c>
      <c r="I97" s="280">
        <v>1.0526894342647903</v>
      </c>
      <c r="J97" s="280">
        <v>1.0526894342647903</v>
      </c>
      <c r="K97" s="280">
        <v>1.0526894342647903</v>
      </c>
      <c r="L97" s="280">
        <v>1.0526894342647903</v>
      </c>
      <c r="M97" s="280">
        <v>1.0526894342647903</v>
      </c>
      <c r="N97" s="280">
        <v>1.0526894342647903</v>
      </c>
      <c r="O97" s="280">
        <v>1.0526894342647903</v>
      </c>
      <c r="P97" s="280">
        <v>1.0526894342647903</v>
      </c>
      <c r="Q97" s="280">
        <v>1.0526894342647903</v>
      </c>
      <c r="R97" s="280">
        <v>1.0526894342647903</v>
      </c>
      <c r="S97" s="280">
        <v>1.0526894342647903</v>
      </c>
      <c r="T97" s="280">
        <v>1.0526894342647903</v>
      </c>
      <c r="U97" s="280">
        <v>1.0526894342647903</v>
      </c>
      <c r="V97" s="280">
        <v>1.0526894342647903</v>
      </c>
      <c r="W97" s="280">
        <v>1.0526894342647903</v>
      </c>
      <c r="X97" s="280">
        <v>1.0526894342647903</v>
      </c>
      <c r="Y97" s="280">
        <v>1.0526894342647903</v>
      </c>
      <c r="Z97" s="280">
        <v>1.0526894342647903</v>
      </c>
      <c r="AA97" s="280">
        <v>1.0526894342647903</v>
      </c>
      <c r="AB97" s="280">
        <v>1.0526894342647903</v>
      </c>
      <c r="AC97" s="280">
        <v>1.0526894342647903</v>
      </c>
      <c r="AD97" s="280">
        <v>1.0526894342647903</v>
      </c>
      <c r="AE97" s="280">
        <v>1.0526894342647903</v>
      </c>
      <c r="AF97" s="280">
        <v>1.0526894342647903</v>
      </c>
      <c r="AG97" s="280">
        <v>1.0526894342647903</v>
      </c>
    </row>
    <row r="98" spans="1:33" x14ac:dyDescent="0.25">
      <c r="A98" s="277" t="s">
        <v>30</v>
      </c>
      <c r="B98" s="277" t="s">
        <v>18</v>
      </c>
      <c r="C98" s="277" t="s">
        <v>115</v>
      </c>
      <c r="D98" s="277" t="s">
        <v>164</v>
      </c>
      <c r="E98" s="277" t="s">
        <v>17</v>
      </c>
      <c r="F98" s="278" t="s">
        <v>165</v>
      </c>
      <c r="G98" s="279">
        <v>1.3319743862125919</v>
      </c>
      <c r="H98" s="279">
        <v>1.3319743862125919</v>
      </c>
      <c r="I98" s="279">
        <v>1.3319743862125919</v>
      </c>
      <c r="J98" s="279">
        <v>1.3319743862125919</v>
      </c>
      <c r="K98" s="279">
        <v>1.3319743862125919</v>
      </c>
      <c r="L98" s="279">
        <v>1.3319743862125919</v>
      </c>
      <c r="M98" s="279">
        <v>1.3319743862125919</v>
      </c>
      <c r="N98" s="279">
        <v>1.3319743862125919</v>
      </c>
      <c r="O98" s="279">
        <v>1.3319743862125919</v>
      </c>
      <c r="P98" s="279">
        <v>1.3319743862125919</v>
      </c>
      <c r="Q98" s="279">
        <v>1.3319743862125919</v>
      </c>
      <c r="R98" s="279">
        <v>1.3319743862125919</v>
      </c>
      <c r="S98" s="279">
        <v>1.3319743862125919</v>
      </c>
      <c r="T98" s="279">
        <v>1.3319743862125919</v>
      </c>
      <c r="U98" s="279">
        <v>1.3319743862125919</v>
      </c>
      <c r="V98" s="279">
        <v>1.3319743862125919</v>
      </c>
      <c r="W98" s="279">
        <v>1.3319743862125919</v>
      </c>
      <c r="X98" s="279">
        <v>1.3319743862125919</v>
      </c>
      <c r="Y98" s="279">
        <v>1.3319743862125919</v>
      </c>
      <c r="Z98" s="279">
        <v>1.3319743862125919</v>
      </c>
      <c r="AA98" s="279">
        <v>1.3319743862125919</v>
      </c>
      <c r="AB98" s="279">
        <v>1.3319743862125919</v>
      </c>
      <c r="AC98" s="279">
        <v>1.3319743862125919</v>
      </c>
      <c r="AD98" s="279">
        <v>1.3319743862125919</v>
      </c>
      <c r="AE98" s="279">
        <v>1.3319743862125919</v>
      </c>
      <c r="AF98" s="279">
        <v>1.3319743862125919</v>
      </c>
      <c r="AG98" s="279">
        <v>1.3319743862125919</v>
      </c>
    </row>
    <row r="99" spans="1:33" x14ac:dyDescent="0.25">
      <c r="A99" s="277" t="s">
        <v>30</v>
      </c>
      <c r="B99" s="277" t="s">
        <v>18</v>
      </c>
      <c r="C99" s="277" t="s">
        <v>115</v>
      </c>
      <c r="D99" s="277" t="s">
        <v>141</v>
      </c>
      <c r="E99" s="277" t="s">
        <v>17</v>
      </c>
      <c r="F99" s="278" t="s">
        <v>142</v>
      </c>
      <c r="G99" s="279">
        <v>0.75192102447485043</v>
      </c>
      <c r="H99" s="279">
        <v>0.75192102447485043</v>
      </c>
      <c r="I99" s="279">
        <v>0.75192102447485043</v>
      </c>
      <c r="J99" s="279">
        <v>0.75192102447485043</v>
      </c>
      <c r="K99" s="279">
        <v>0.75192102447485043</v>
      </c>
      <c r="L99" s="279">
        <v>0.75192102447485043</v>
      </c>
      <c r="M99" s="279">
        <v>0.75192102447485043</v>
      </c>
      <c r="N99" s="279">
        <v>0.75192102447485043</v>
      </c>
      <c r="O99" s="279">
        <v>0.75192102447485043</v>
      </c>
      <c r="P99" s="279">
        <v>0.75192102447485043</v>
      </c>
      <c r="Q99" s="279">
        <v>0.75192102447485043</v>
      </c>
      <c r="R99" s="279">
        <v>0.75192102447485043</v>
      </c>
      <c r="S99" s="279">
        <v>0.75192102447485043</v>
      </c>
      <c r="T99" s="279">
        <v>0.75192102447485043</v>
      </c>
      <c r="U99" s="279">
        <v>0.75192102447485043</v>
      </c>
      <c r="V99" s="279">
        <v>0.75192102447485043</v>
      </c>
      <c r="W99" s="279">
        <v>0.75192102447485043</v>
      </c>
      <c r="X99" s="279">
        <v>0.75192102447485043</v>
      </c>
      <c r="Y99" s="279">
        <v>0.75192102447485043</v>
      </c>
      <c r="Z99" s="279">
        <v>0.75192102447485043</v>
      </c>
      <c r="AA99" s="279">
        <v>0.75192102447485043</v>
      </c>
      <c r="AB99" s="279">
        <v>0.75192102447485043</v>
      </c>
      <c r="AC99" s="279">
        <v>0.75192102447485043</v>
      </c>
      <c r="AD99" s="279">
        <v>0.75192102447485043</v>
      </c>
      <c r="AE99" s="279">
        <v>0.75192102447485043</v>
      </c>
      <c r="AF99" s="279">
        <v>0.75192102447485043</v>
      </c>
      <c r="AG99" s="279">
        <v>0.75192102447485043</v>
      </c>
    </row>
    <row r="100" spans="1:33" x14ac:dyDescent="0.25">
      <c r="A100" s="280" t="s">
        <v>30</v>
      </c>
      <c r="B100" s="280" t="s">
        <v>18</v>
      </c>
      <c r="C100" s="280" t="s">
        <v>115</v>
      </c>
      <c r="D100" s="280" t="s">
        <v>98</v>
      </c>
      <c r="E100" s="280" t="s">
        <v>17</v>
      </c>
      <c r="F100" s="280" t="s">
        <v>361</v>
      </c>
      <c r="G100" s="280">
        <v>14.114631802285047</v>
      </c>
      <c r="H100" s="280">
        <v>14.114631802285047</v>
      </c>
      <c r="I100" s="280">
        <v>14.114631802285047</v>
      </c>
      <c r="J100" s="280">
        <v>14.114631802285047</v>
      </c>
      <c r="K100" s="280">
        <v>14.114631802285047</v>
      </c>
      <c r="L100" s="280">
        <v>14.114631802285047</v>
      </c>
      <c r="M100" s="280">
        <v>14.114631802285047</v>
      </c>
      <c r="N100" s="280">
        <v>14.114631802285047</v>
      </c>
      <c r="O100" s="280">
        <v>14.114631802285047</v>
      </c>
      <c r="P100" s="280">
        <v>14.114631802285047</v>
      </c>
      <c r="Q100" s="280">
        <v>14.114631802285047</v>
      </c>
      <c r="R100" s="280">
        <v>14.114631802285047</v>
      </c>
      <c r="S100" s="280">
        <v>14.114631802285047</v>
      </c>
      <c r="T100" s="280">
        <v>14.114631802285047</v>
      </c>
      <c r="U100" s="280">
        <v>14.114631802285047</v>
      </c>
      <c r="V100" s="280">
        <v>14.114631802285047</v>
      </c>
      <c r="W100" s="280">
        <v>14.114631802285047</v>
      </c>
      <c r="X100" s="280">
        <v>14.114631802285047</v>
      </c>
      <c r="Y100" s="280">
        <v>14.114631802285047</v>
      </c>
      <c r="Z100" s="280">
        <v>14.114631802285047</v>
      </c>
      <c r="AA100" s="280">
        <v>14.114631802285047</v>
      </c>
      <c r="AB100" s="280">
        <v>14.114631802285047</v>
      </c>
      <c r="AC100" s="280">
        <v>14.114631802285047</v>
      </c>
      <c r="AD100" s="280">
        <v>14.114631802285047</v>
      </c>
      <c r="AE100" s="280">
        <v>14.114631802285047</v>
      </c>
      <c r="AF100" s="280">
        <v>14.114631802285047</v>
      </c>
      <c r="AG100" s="280">
        <v>14.114631802285047</v>
      </c>
    </row>
    <row r="101" spans="1:33" x14ac:dyDescent="0.25">
      <c r="A101" s="277" t="s">
        <v>30</v>
      </c>
      <c r="B101" s="277" t="s">
        <v>18</v>
      </c>
      <c r="C101" s="277" t="s">
        <v>115</v>
      </c>
      <c r="D101" s="277" t="s">
        <v>125</v>
      </c>
      <c r="E101" s="277" t="s">
        <v>17</v>
      </c>
      <c r="F101" s="278" t="s">
        <v>126</v>
      </c>
      <c r="G101" s="279">
        <v>2.1483457842138579E-2</v>
      </c>
      <c r="H101" s="279">
        <v>2.1483457842138579E-2</v>
      </c>
      <c r="I101" s="279">
        <v>2.1483457842138579E-2</v>
      </c>
      <c r="J101" s="279">
        <v>2.1483457842138579E-2</v>
      </c>
      <c r="K101" s="279">
        <v>2.1483457842138579E-2</v>
      </c>
      <c r="L101" s="279">
        <v>2.1483457842138579E-2</v>
      </c>
      <c r="M101" s="279">
        <v>2.1483457842138579E-2</v>
      </c>
      <c r="N101" s="279">
        <v>2.1483457842138579E-2</v>
      </c>
      <c r="O101" s="279">
        <v>2.1483457842138579E-2</v>
      </c>
      <c r="P101" s="279">
        <v>2.1483457842138579E-2</v>
      </c>
      <c r="Q101" s="279">
        <v>2.1483457842138579E-2</v>
      </c>
      <c r="R101" s="279">
        <v>2.1483457842138579E-2</v>
      </c>
      <c r="S101" s="279">
        <v>2.1483457842138579E-2</v>
      </c>
      <c r="T101" s="279">
        <v>2.1483457842138579E-2</v>
      </c>
      <c r="U101" s="279">
        <v>2.1483457842138579E-2</v>
      </c>
      <c r="V101" s="279">
        <v>2.1483457842138579E-2</v>
      </c>
      <c r="W101" s="279">
        <v>2.1483457842138579E-2</v>
      </c>
      <c r="X101" s="279">
        <v>2.1483457842138579E-2</v>
      </c>
      <c r="Y101" s="279">
        <v>2.1483457842138579E-2</v>
      </c>
      <c r="Z101" s="279">
        <v>2.1483457842138579E-2</v>
      </c>
      <c r="AA101" s="279">
        <v>2.1483457842138579E-2</v>
      </c>
      <c r="AB101" s="279">
        <v>2.1483457842138579E-2</v>
      </c>
      <c r="AC101" s="279">
        <v>2.1483457842138579E-2</v>
      </c>
      <c r="AD101" s="279">
        <v>2.1483457842138579E-2</v>
      </c>
      <c r="AE101" s="279">
        <v>2.1483457842138579E-2</v>
      </c>
      <c r="AF101" s="279">
        <v>2.1483457842138579E-2</v>
      </c>
      <c r="AG101" s="279">
        <v>2.1483457842138579E-2</v>
      </c>
    </row>
    <row r="102" spans="1:33" x14ac:dyDescent="0.25">
      <c r="A102" s="280" t="s">
        <v>30</v>
      </c>
      <c r="B102" s="280" t="s">
        <v>18</v>
      </c>
      <c r="C102" s="280" t="s">
        <v>115</v>
      </c>
      <c r="D102" s="280" t="s">
        <v>372</v>
      </c>
      <c r="E102" s="280" t="s">
        <v>17</v>
      </c>
      <c r="F102" s="280" t="s">
        <v>373</v>
      </c>
      <c r="G102" s="280">
        <v>2.2557630734245508</v>
      </c>
      <c r="H102" s="280">
        <v>2.2557630734245508</v>
      </c>
      <c r="I102" s="280">
        <v>2.2557630734245508</v>
      </c>
      <c r="J102" s="280">
        <v>2.2557630734245508</v>
      </c>
      <c r="K102" s="280">
        <v>2.2557630734245508</v>
      </c>
      <c r="L102" s="280">
        <v>2.2557630734245508</v>
      </c>
      <c r="M102" s="280">
        <v>2.2557630734245508</v>
      </c>
      <c r="N102" s="280">
        <v>2.2557630734245508</v>
      </c>
      <c r="O102" s="280">
        <v>2.2557630734245508</v>
      </c>
      <c r="P102" s="280">
        <v>2.2557630734245508</v>
      </c>
      <c r="Q102" s="280">
        <v>2.2557630734245508</v>
      </c>
      <c r="R102" s="280">
        <v>2.2557630734245508</v>
      </c>
      <c r="S102" s="280">
        <v>2.2557630734245508</v>
      </c>
      <c r="T102" s="280">
        <v>2.2557630734245508</v>
      </c>
      <c r="U102" s="280">
        <v>2.2557630734245508</v>
      </c>
      <c r="V102" s="280">
        <v>2.2557630734245508</v>
      </c>
      <c r="W102" s="280">
        <v>2.2557630734245508</v>
      </c>
      <c r="X102" s="280">
        <v>2.2557630734245508</v>
      </c>
      <c r="Y102" s="280">
        <v>2.2557630734245508</v>
      </c>
      <c r="Z102" s="280">
        <v>2.2557630734245508</v>
      </c>
      <c r="AA102" s="280">
        <v>2.2557630734245508</v>
      </c>
      <c r="AB102" s="280">
        <v>2.2557630734245508</v>
      </c>
      <c r="AC102" s="280">
        <v>2.2557630734245508</v>
      </c>
      <c r="AD102" s="280">
        <v>2.2557630734245508</v>
      </c>
      <c r="AE102" s="280">
        <v>2.2557630734245508</v>
      </c>
      <c r="AF102" s="280">
        <v>2.2557630734245508</v>
      </c>
      <c r="AG102" s="280">
        <v>2.2557630734245508</v>
      </c>
    </row>
    <row r="103" spans="1:33" x14ac:dyDescent="0.25">
      <c r="A103" s="280" t="s">
        <v>30</v>
      </c>
      <c r="B103" s="280" t="s">
        <v>18</v>
      </c>
      <c r="C103" s="280" t="s">
        <v>115</v>
      </c>
      <c r="D103" s="280" t="s">
        <v>519</v>
      </c>
      <c r="E103" s="280" t="s">
        <v>17</v>
      </c>
      <c r="F103" s="280" t="s">
        <v>520</v>
      </c>
      <c r="G103" s="280">
        <v>0.32225186763207864</v>
      </c>
      <c r="H103" s="280">
        <v>0.32225186763207864</v>
      </c>
      <c r="I103" s="280">
        <v>0.32225186763207864</v>
      </c>
      <c r="J103" s="280">
        <v>0.32225186763207864</v>
      </c>
      <c r="K103" s="280">
        <v>0.32225186763207864</v>
      </c>
      <c r="L103" s="280">
        <v>0.32225186763207864</v>
      </c>
      <c r="M103" s="280">
        <v>0.32225186763207864</v>
      </c>
      <c r="N103" s="280">
        <v>0.32225186763207864</v>
      </c>
      <c r="O103" s="280">
        <v>0.32225186763207864</v>
      </c>
      <c r="P103" s="280">
        <v>0.32225186763207864</v>
      </c>
      <c r="Q103" s="280">
        <v>0.32225186763207864</v>
      </c>
      <c r="R103" s="280">
        <v>0.32225186763207864</v>
      </c>
      <c r="S103" s="280">
        <v>0.32225186763207864</v>
      </c>
      <c r="T103" s="280">
        <v>0.32225186763207864</v>
      </c>
      <c r="U103" s="280">
        <v>0.32225186763207864</v>
      </c>
      <c r="V103" s="280">
        <v>0.32225186763207864</v>
      </c>
      <c r="W103" s="280">
        <v>0.32225186763207864</v>
      </c>
      <c r="X103" s="280">
        <v>0.32225186763207864</v>
      </c>
      <c r="Y103" s="280">
        <v>0.32225186763207864</v>
      </c>
      <c r="Z103" s="280">
        <v>0.32225186763207864</v>
      </c>
      <c r="AA103" s="280">
        <v>0.32225186763207864</v>
      </c>
      <c r="AB103" s="280">
        <v>0.32225186763207864</v>
      </c>
      <c r="AC103" s="280">
        <v>0.32225186763207864</v>
      </c>
      <c r="AD103" s="280">
        <v>0.32225186763207864</v>
      </c>
      <c r="AE103" s="280">
        <v>0.32225186763207864</v>
      </c>
      <c r="AF103" s="280">
        <v>0.32225186763207864</v>
      </c>
      <c r="AG103" s="280">
        <v>0.32225186763207864</v>
      </c>
    </row>
    <row r="104" spans="1:33" x14ac:dyDescent="0.25">
      <c r="A104" s="277" t="s">
        <v>30</v>
      </c>
      <c r="B104" s="277" t="s">
        <v>18</v>
      </c>
      <c r="C104" s="277" t="s">
        <v>115</v>
      </c>
      <c r="D104" s="277" t="s">
        <v>45</v>
      </c>
      <c r="E104" s="277" t="s">
        <v>17</v>
      </c>
      <c r="F104" s="278" t="s">
        <v>177</v>
      </c>
      <c r="G104" s="279">
        <v>1.0097225185805132</v>
      </c>
      <c r="H104" s="279">
        <v>1.0097225185805132</v>
      </c>
      <c r="I104" s="279">
        <v>1.0097225185805132</v>
      </c>
      <c r="J104" s="279">
        <v>1.0097225185805132</v>
      </c>
      <c r="K104" s="279">
        <v>1.0097225185805132</v>
      </c>
      <c r="L104" s="279">
        <v>1.0097225185805132</v>
      </c>
      <c r="M104" s="279">
        <v>1.0097225185805132</v>
      </c>
      <c r="N104" s="279">
        <v>1.0097225185805132</v>
      </c>
      <c r="O104" s="279">
        <v>1.0097225185805132</v>
      </c>
      <c r="P104" s="279">
        <v>1.0097225185805132</v>
      </c>
      <c r="Q104" s="279">
        <v>1.0097225185805132</v>
      </c>
      <c r="R104" s="279">
        <v>1.0097225185805132</v>
      </c>
      <c r="S104" s="279">
        <v>1.0097225185805132</v>
      </c>
      <c r="T104" s="279">
        <v>1.0097225185805132</v>
      </c>
      <c r="U104" s="279">
        <v>1.0097225185805132</v>
      </c>
      <c r="V104" s="279">
        <v>1.0097225185805132</v>
      </c>
      <c r="W104" s="279">
        <v>1.0097225185805132</v>
      </c>
      <c r="X104" s="279">
        <v>1.0097225185805132</v>
      </c>
      <c r="Y104" s="279">
        <v>1.0097225185805132</v>
      </c>
      <c r="Z104" s="279">
        <v>1.0097225185805132</v>
      </c>
      <c r="AA104" s="279">
        <v>1.0097225185805132</v>
      </c>
      <c r="AB104" s="279">
        <v>1.0097225185805132</v>
      </c>
      <c r="AC104" s="279">
        <v>1.0097225185805132</v>
      </c>
      <c r="AD104" s="279">
        <v>1.0097225185805132</v>
      </c>
      <c r="AE104" s="279">
        <v>1.0097225185805132</v>
      </c>
      <c r="AF104" s="279">
        <v>1.0097225185805132</v>
      </c>
      <c r="AG104" s="279">
        <v>1.0097225185805132</v>
      </c>
    </row>
    <row r="105" spans="1:33" x14ac:dyDescent="0.25">
      <c r="A105" s="280" t="s">
        <v>30</v>
      </c>
      <c r="B105" s="280" t="s">
        <v>18</v>
      </c>
      <c r="C105" s="280" t="s">
        <v>115</v>
      </c>
      <c r="D105" s="280" t="s">
        <v>368</v>
      </c>
      <c r="E105" s="280" t="s">
        <v>17</v>
      </c>
      <c r="F105" s="280" t="s">
        <v>369</v>
      </c>
      <c r="G105" s="280">
        <v>1.8046104587396405</v>
      </c>
      <c r="H105" s="280">
        <v>1.8046104587396405</v>
      </c>
      <c r="I105" s="280">
        <v>1.8046104587396405</v>
      </c>
      <c r="J105" s="280">
        <v>1.8046104587396405</v>
      </c>
      <c r="K105" s="280">
        <v>1.8046104587396405</v>
      </c>
      <c r="L105" s="280">
        <v>1.8046104587396405</v>
      </c>
      <c r="M105" s="280">
        <v>1.8046104587396405</v>
      </c>
      <c r="N105" s="280">
        <v>1.8046104587396405</v>
      </c>
      <c r="O105" s="280">
        <v>1.8046104587396405</v>
      </c>
      <c r="P105" s="280">
        <v>1.8046104587396405</v>
      </c>
      <c r="Q105" s="280">
        <v>1.8046104587396405</v>
      </c>
      <c r="R105" s="280">
        <v>1.8046104587396405</v>
      </c>
      <c r="S105" s="280">
        <v>1.8046104587396405</v>
      </c>
      <c r="T105" s="280">
        <v>1.8046104587396405</v>
      </c>
      <c r="U105" s="280">
        <v>1.8046104587396405</v>
      </c>
      <c r="V105" s="280">
        <v>1.8046104587396405</v>
      </c>
      <c r="W105" s="280">
        <v>1.8046104587396405</v>
      </c>
      <c r="X105" s="280">
        <v>1.8046104587396405</v>
      </c>
      <c r="Y105" s="280">
        <v>1.8046104587396405</v>
      </c>
      <c r="Z105" s="280">
        <v>1.8046104587396405</v>
      </c>
      <c r="AA105" s="280">
        <v>1.8046104587396405</v>
      </c>
      <c r="AB105" s="280">
        <v>1.8046104587396405</v>
      </c>
      <c r="AC105" s="280">
        <v>1.8046104587396405</v>
      </c>
      <c r="AD105" s="280">
        <v>1.8046104587396405</v>
      </c>
      <c r="AE105" s="280">
        <v>1.8046104587396405</v>
      </c>
      <c r="AF105" s="280">
        <v>1.8046104587396405</v>
      </c>
      <c r="AG105" s="280">
        <v>1.8046104587396405</v>
      </c>
    </row>
    <row r="106" spans="1:33" x14ac:dyDescent="0.25">
      <c r="A106" s="280" t="s">
        <v>30</v>
      </c>
      <c r="B106" s="280" t="s">
        <v>18</v>
      </c>
      <c r="C106" s="280" t="s">
        <v>115</v>
      </c>
      <c r="D106" s="280" t="s">
        <v>389</v>
      </c>
      <c r="E106" s="280" t="s">
        <v>17</v>
      </c>
      <c r="F106" s="280" t="s">
        <v>390</v>
      </c>
      <c r="G106" s="280">
        <v>0.92378868721195895</v>
      </c>
      <c r="H106" s="280">
        <v>0.92378868721195895</v>
      </c>
      <c r="I106" s="280">
        <v>0.92378868721195895</v>
      </c>
      <c r="J106" s="280">
        <v>0.92378868721195895</v>
      </c>
      <c r="K106" s="280">
        <v>0.92378868721195895</v>
      </c>
      <c r="L106" s="280">
        <v>0.92378868721195895</v>
      </c>
      <c r="M106" s="280">
        <v>0.92378868721195895</v>
      </c>
      <c r="N106" s="280">
        <v>0.92378868721195895</v>
      </c>
      <c r="O106" s="280">
        <v>0.92378868721195895</v>
      </c>
      <c r="P106" s="280">
        <v>0.92378868721195895</v>
      </c>
      <c r="Q106" s="280">
        <v>0.92378868721195895</v>
      </c>
      <c r="R106" s="280">
        <v>0.92378868721195895</v>
      </c>
      <c r="S106" s="280">
        <v>0.92378868721195895</v>
      </c>
      <c r="T106" s="280">
        <v>0.92378868721195895</v>
      </c>
      <c r="U106" s="280">
        <v>0.92378868721195895</v>
      </c>
      <c r="V106" s="280">
        <v>0.92378868721195895</v>
      </c>
      <c r="W106" s="280">
        <v>0.92378868721195895</v>
      </c>
      <c r="X106" s="280">
        <v>0.92378868721195895</v>
      </c>
      <c r="Y106" s="280">
        <v>0.92378868721195895</v>
      </c>
      <c r="Z106" s="280">
        <v>0.92378868721195895</v>
      </c>
      <c r="AA106" s="280">
        <v>0.92378868721195895</v>
      </c>
      <c r="AB106" s="280">
        <v>0.92378868721195895</v>
      </c>
      <c r="AC106" s="280">
        <v>0.92378868721195895</v>
      </c>
      <c r="AD106" s="280">
        <v>0.92378868721195895</v>
      </c>
      <c r="AE106" s="280">
        <v>0.92378868721195895</v>
      </c>
      <c r="AF106" s="280">
        <v>0.92378868721195895</v>
      </c>
      <c r="AG106" s="280">
        <v>0.92378868721195895</v>
      </c>
    </row>
    <row r="107" spans="1:33" x14ac:dyDescent="0.25">
      <c r="A107" s="280" t="s">
        <v>30</v>
      </c>
      <c r="B107" s="280" t="s">
        <v>18</v>
      </c>
      <c r="C107" s="280" t="s">
        <v>115</v>
      </c>
      <c r="D107" s="280" t="s">
        <v>495</v>
      </c>
      <c r="E107" s="280" t="s">
        <v>17</v>
      </c>
      <c r="F107" s="280" t="s">
        <v>496</v>
      </c>
      <c r="G107" s="280">
        <v>0.75192102447485043</v>
      </c>
      <c r="H107" s="280">
        <v>0.75192102447485043</v>
      </c>
      <c r="I107" s="280">
        <v>0.75192102447485043</v>
      </c>
      <c r="J107" s="280">
        <v>0.75192102447485043</v>
      </c>
      <c r="K107" s="280">
        <v>0.75192102447485043</v>
      </c>
      <c r="L107" s="280">
        <v>0.75192102447485043</v>
      </c>
      <c r="M107" s="280">
        <v>0.75192102447485043</v>
      </c>
      <c r="N107" s="280">
        <v>0.75192102447485043</v>
      </c>
      <c r="O107" s="280">
        <v>0.75192102447485043</v>
      </c>
      <c r="P107" s="280">
        <v>0.75192102447485043</v>
      </c>
      <c r="Q107" s="280">
        <v>0.75192102447485043</v>
      </c>
      <c r="R107" s="280">
        <v>0.75192102447485043</v>
      </c>
      <c r="S107" s="280">
        <v>0.75192102447485043</v>
      </c>
      <c r="T107" s="280">
        <v>0.75192102447485043</v>
      </c>
      <c r="U107" s="280">
        <v>0.75192102447485043</v>
      </c>
      <c r="V107" s="280">
        <v>0.75192102447485043</v>
      </c>
      <c r="W107" s="280">
        <v>0.75192102447485043</v>
      </c>
      <c r="X107" s="280">
        <v>0.75192102447485043</v>
      </c>
      <c r="Y107" s="280">
        <v>0.75192102447485043</v>
      </c>
      <c r="Z107" s="280">
        <v>0.75192102447485043</v>
      </c>
      <c r="AA107" s="280">
        <v>0.75192102447485043</v>
      </c>
      <c r="AB107" s="280">
        <v>0.75192102447485043</v>
      </c>
      <c r="AC107" s="280">
        <v>0.75192102447485043</v>
      </c>
      <c r="AD107" s="280">
        <v>0.75192102447485043</v>
      </c>
      <c r="AE107" s="280">
        <v>0.75192102447485043</v>
      </c>
      <c r="AF107" s="280">
        <v>0.75192102447485043</v>
      </c>
      <c r="AG107" s="280">
        <v>0.75192102447485043</v>
      </c>
    </row>
    <row r="108" spans="1:33" x14ac:dyDescent="0.25">
      <c r="A108" s="277" t="s">
        <v>30</v>
      </c>
      <c r="B108" s="277" t="s">
        <v>18</v>
      </c>
      <c r="C108" s="277" t="s">
        <v>115</v>
      </c>
      <c r="D108" s="277" t="s">
        <v>80</v>
      </c>
      <c r="E108" s="277" t="s">
        <v>17</v>
      </c>
      <c r="F108" s="278" t="s">
        <v>147</v>
      </c>
      <c r="G108" s="279">
        <v>2.1483457842138579E-2</v>
      </c>
      <c r="H108" s="279">
        <v>2.1483457842138579E-2</v>
      </c>
      <c r="I108" s="279">
        <v>2.1483457842138579E-2</v>
      </c>
      <c r="J108" s="279">
        <v>2.1483457842138579E-2</v>
      </c>
      <c r="K108" s="279">
        <v>2.1483457842138579E-2</v>
      </c>
      <c r="L108" s="279">
        <v>2.1483457842138579E-2</v>
      </c>
      <c r="M108" s="279">
        <v>2.1483457842138579E-2</v>
      </c>
      <c r="N108" s="279">
        <v>2.1483457842138579E-2</v>
      </c>
      <c r="O108" s="279">
        <v>2.1483457842138579E-2</v>
      </c>
      <c r="P108" s="279">
        <v>2.1483457842138579E-2</v>
      </c>
      <c r="Q108" s="279">
        <v>2.1483457842138579E-2</v>
      </c>
      <c r="R108" s="279">
        <v>2.1483457842138579E-2</v>
      </c>
      <c r="S108" s="279">
        <v>2.1483457842138579E-2</v>
      </c>
      <c r="T108" s="279">
        <v>2.1483457842138579E-2</v>
      </c>
      <c r="U108" s="279">
        <v>2.1483457842138579E-2</v>
      </c>
      <c r="V108" s="279">
        <v>2.1483457842138579E-2</v>
      </c>
      <c r="W108" s="279">
        <v>2.1483457842138579E-2</v>
      </c>
      <c r="X108" s="279">
        <v>2.1483457842138579E-2</v>
      </c>
      <c r="Y108" s="279">
        <v>2.1483457842138579E-2</v>
      </c>
      <c r="Z108" s="279">
        <v>2.1483457842138579E-2</v>
      </c>
      <c r="AA108" s="279">
        <v>2.1483457842138579E-2</v>
      </c>
      <c r="AB108" s="279">
        <v>2.1483457842138579E-2</v>
      </c>
      <c r="AC108" s="279">
        <v>2.1483457842138579E-2</v>
      </c>
      <c r="AD108" s="279">
        <v>2.1483457842138579E-2</v>
      </c>
      <c r="AE108" s="279">
        <v>2.1483457842138579E-2</v>
      </c>
      <c r="AF108" s="279">
        <v>2.1483457842138579E-2</v>
      </c>
      <c r="AG108" s="279">
        <v>2.1483457842138579E-2</v>
      </c>
    </row>
    <row r="109" spans="1:33" x14ac:dyDescent="0.25">
      <c r="A109" s="277" t="s">
        <v>30</v>
      </c>
      <c r="B109" s="277" t="s">
        <v>18</v>
      </c>
      <c r="C109" s="277" t="s">
        <v>115</v>
      </c>
      <c r="D109" s="277" t="s">
        <v>305</v>
      </c>
      <c r="E109" s="277" t="s">
        <v>17</v>
      </c>
      <c r="F109" s="278" t="s">
        <v>306</v>
      </c>
      <c r="G109" s="279">
        <v>2.1053788685295807</v>
      </c>
      <c r="H109" s="279">
        <v>2.1053788685295807</v>
      </c>
      <c r="I109" s="279">
        <v>2.1053788685295807</v>
      </c>
      <c r="J109" s="279">
        <v>2.1053788685295807</v>
      </c>
      <c r="K109" s="279">
        <v>2.1053788685295807</v>
      </c>
      <c r="L109" s="279">
        <v>2.1053788685295807</v>
      </c>
      <c r="M109" s="279">
        <v>2.1053788685295807</v>
      </c>
      <c r="N109" s="279">
        <v>2.1053788685295807</v>
      </c>
      <c r="O109" s="279">
        <v>2.1053788685295807</v>
      </c>
      <c r="P109" s="279">
        <v>2.1053788685295807</v>
      </c>
      <c r="Q109" s="279">
        <v>2.1053788685295807</v>
      </c>
      <c r="R109" s="279">
        <v>2.1053788685295807</v>
      </c>
      <c r="S109" s="279">
        <v>2.1053788685295807</v>
      </c>
      <c r="T109" s="279">
        <v>2.1053788685295807</v>
      </c>
      <c r="U109" s="279">
        <v>2.1053788685295807</v>
      </c>
      <c r="V109" s="279">
        <v>2.1053788685295807</v>
      </c>
      <c r="W109" s="279">
        <v>2.1053788685295807</v>
      </c>
      <c r="X109" s="279">
        <v>2.1053788685295807</v>
      </c>
      <c r="Y109" s="279">
        <v>2.1053788685295807</v>
      </c>
      <c r="Z109" s="279">
        <v>2.1053788685295807</v>
      </c>
      <c r="AA109" s="279">
        <v>2.1053788685295807</v>
      </c>
      <c r="AB109" s="279">
        <v>2.1053788685295807</v>
      </c>
      <c r="AC109" s="279">
        <v>2.1053788685295807</v>
      </c>
      <c r="AD109" s="279">
        <v>2.1053788685295807</v>
      </c>
      <c r="AE109" s="279">
        <v>2.1053788685295807</v>
      </c>
      <c r="AF109" s="279">
        <v>2.1053788685295807</v>
      </c>
      <c r="AG109" s="279">
        <v>2.1053788685295807</v>
      </c>
    </row>
    <row r="110" spans="1:33" x14ac:dyDescent="0.25">
      <c r="A110" s="277" t="s">
        <v>30</v>
      </c>
      <c r="B110" s="277" t="s">
        <v>18</v>
      </c>
      <c r="C110" s="277" t="s">
        <v>115</v>
      </c>
      <c r="D110" s="277" t="s">
        <v>46</v>
      </c>
      <c r="E110" s="277" t="s">
        <v>17</v>
      </c>
      <c r="F110" s="278" t="s">
        <v>210</v>
      </c>
      <c r="G110" s="279">
        <v>71.991067229006376</v>
      </c>
      <c r="H110" s="279">
        <v>71.991067229006376</v>
      </c>
      <c r="I110" s="279">
        <v>71.991067229006376</v>
      </c>
      <c r="J110" s="279">
        <v>71.991067229006376</v>
      </c>
      <c r="K110" s="279">
        <v>71.991067229006376</v>
      </c>
      <c r="L110" s="279">
        <v>71.991067229006376</v>
      </c>
      <c r="M110" s="279">
        <v>71.991067229006376</v>
      </c>
      <c r="N110" s="279">
        <v>71.991067229006376</v>
      </c>
      <c r="O110" s="279">
        <v>71.991067229006376</v>
      </c>
      <c r="P110" s="279">
        <v>71.991067229006376</v>
      </c>
      <c r="Q110" s="279">
        <v>71.991067229006376</v>
      </c>
      <c r="R110" s="279">
        <v>71.991067229006376</v>
      </c>
      <c r="S110" s="279">
        <v>71.991067229006376</v>
      </c>
      <c r="T110" s="279">
        <v>71.991067229006376</v>
      </c>
      <c r="U110" s="279">
        <v>71.991067229006376</v>
      </c>
      <c r="V110" s="279">
        <v>71.991067229006376</v>
      </c>
      <c r="W110" s="279">
        <v>71.991067229006376</v>
      </c>
      <c r="X110" s="279">
        <v>71.991067229006376</v>
      </c>
      <c r="Y110" s="279">
        <v>71.991067229006376</v>
      </c>
      <c r="Z110" s="279">
        <v>71.991067229006376</v>
      </c>
      <c r="AA110" s="279">
        <v>71.991067229006376</v>
      </c>
      <c r="AB110" s="279">
        <v>71.991067229006376</v>
      </c>
      <c r="AC110" s="279">
        <v>71.991067229006376</v>
      </c>
      <c r="AD110" s="279">
        <v>71.991067229006376</v>
      </c>
      <c r="AE110" s="279">
        <v>71.991067229006376</v>
      </c>
      <c r="AF110" s="279">
        <v>71.991067229006376</v>
      </c>
      <c r="AG110" s="279">
        <v>71.991067229006376</v>
      </c>
    </row>
    <row r="111" spans="1:33" x14ac:dyDescent="0.25">
      <c r="A111" s="280" t="s">
        <v>30</v>
      </c>
      <c r="B111" s="280" t="s">
        <v>18</v>
      </c>
      <c r="C111" s="280" t="s">
        <v>115</v>
      </c>
      <c r="D111" s="280" t="s">
        <v>76</v>
      </c>
      <c r="E111" s="280" t="s">
        <v>17</v>
      </c>
      <c r="F111" s="280" t="s">
        <v>383</v>
      </c>
      <c r="G111" s="280">
        <v>1.0097225185805132</v>
      </c>
      <c r="H111" s="280">
        <v>1.0097225185805132</v>
      </c>
      <c r="I111" s="280">
        <v>1.0097225185805132</v>
      </c>
      <c r="J111" s="280">
        <v>1.0097225185805132</v>
      </c>
      <c r="K111" s="280">
        <v>1.0097225185805132</v>
      </c>
      <c r="L111" s="280">
        <v>1.0097225185805132</v>
      </c>
      <c r="M111" s="280">
        <v>1.0097225185805132</v>
      </c>
      <c r="N111" s="280">
        <v>1.0097225185805132</v>
      </c>
      <c r="O111" s="280">
        <v>1.0097225185805132</v>
      </c>
      <c r="P111" s="280">
        <v>1.0097225185805132</v>
      </c>
      <c r="Q111" s="280">
        <v>1.0097225185805132</v>
      </c>
      <c r="R111" s="280">
        <v>1.0097225185805132</v>
      </c>
      <c r="S111" s="280">
        <v>1.0097225185805132</v>
      </c>
      <c r="T111" s="280">
        <v>1.0097225185805132</v>
      </c>
      <c r="U111" s="280">
        <v>1.0097225185805132</v>
      </c>
      <c r="V111" s="280">
        <v>1.0097225185805132</v>
      </c>
      <c r="W111" s="280">
        <v>1.0097225185805132</v>
      </c>
      <c r="X111" s="280">
        <v>1.0097225185805132</v>
      </c>
      <c r="Y111" s="280">
        <v>1.0097225185805132</v>
      </c>
      <c r="Z111" s="280">
        <v>1.0097225185805132</v>
      </c>
      <c r="AA111" s="280">
        <v>1.0097225185805132</v>
      </c>
      <c r="AB111" s="280">
        <v>1.0097225185805132</v>
      </c>
      <c r="AC111" s="280">
        <v>1.0097225185805132</v>
      </c>
      <c r="AD111" s="280">
        <v>1.0097225185805132</v>
      </c>
      <c r="AE111" s="280">
        <v>1.0097225185805132</v>
      </c>
      <c r="AF111" s="280">
        <v>1.0097225185805132</v>
      </c>
      <c r="AG111" s="280">
        <v>1.0097225185805132</v>
      </c>
    </row>
    <row r="112" spans="1:33" x14ac:dyDescent="0.25">
      <c r="A112" s="277" t="s">
        <v>30</v>
      </c>
      <c r="B112" s="277" t="s">
        <v>18</v>
      </c>
      <c r="C112" s="277" t="s">
        <v>115</v>
      </c>
      <c r="D112" s="277" t="s">
        <v>154</v>
      </c>
      <c r="E112" s="277" t="s">
        <v>17</v>
      </c>
      <c r="F112" s="278" t="s">
        <v>155</v>
      </c>
      <c r="G112" s="279">
        <v>1.2245570970018991</v>
      </c>
      <c r="H112" s="279">
        <v>1.2245570970018991</v>
      </c>
      <c r="I112" s="279">
        <v>1.2245570970018991</v>
      </c>
      <c r="J112" s="279">
        <v>1.2245570970018991</v>
      </c>
      <c r="K112" s="279">
        <v>1.2245570970018991</v>
      </c>
      <c r="L112" s="279">
        <v>1.2245570970018991</v>
      </c>
      <c r="M112" s="279">
        <v>1.2245570970018991</v>
      </c>
      <c r="N112" s="279">
        <v>1.2245570970018991</v>
      </c>
      <c r="O112" s="279">
        <v>1.2245570970018991</v>
      </c>
      <c r="P112" s="279">
        <v>1.2245570970018991</v>
      </c>
      <c r="Q112" s="279">
        <v>1.2245570970018991</v>
      </c>
      <c r="R112" s="279">
        <v>1.2245570970018991</v>
      </c>
      <c r="S112" s="279">
        <v>1.2245570970018991</v>
      </c>
      <c r="T112" s="279">
        <v>1.2245570970018991</v>
      </c>
      <c r="U112" s="279">
        <v>1.2245570970018991</v>
      </c>
      <c r="V112" s="279">
        <v>1.2245570970018991</v>
      </c>
      <c r="W112" s="279">
        <v>1.2245570970018991</v>
      </c>
      <c r="X112" s="279">
        <v>1.2245570970018991</v>
      </c>
      <c r="Y112" s="279">
        <v>1.2245570970018991</v>
      </c>
      <c r="Z112" s="279">
        <v>1.2245570970018991</v>
      </c>
      <c r="AA112" s="279">
        <v>1.2245570970018991</v>
      </c>
      <c r="AB112" s="279">
        <v>1.2245570970018991</v>
      </c>
      <c r="AC112" s="279">
        <v>1.2245570970018991</v>
      </c>
      <c r="AD112" s="279">
        <v>1.2245570970018991</v>
      </c>
      <c r="AE112" s="279">
        <v>1.2245570970018991</v>
      </c>
      <c r="AF112" s="279">
        <v>1.2245570970018991</v>
      </c>
      <c r="AG112" s="279">
        <v>1.2245570970018991</v>
      </c>
    </row>
    <row r="113" spans="1:33" x14ac:dyDescent="0.25">
      <c r="A113" s="280" t="s">
        <v>30</v>
      </c>
      <c r="B113" s="280" t="s">
        <v>18</v>
      </c>
      <c r="C113" s="280" t="s">
        <v>115</v>
      </c>
      <c r="D113" s="280" t="s">
        <v>405</v>
      </c>
      <c r="E113" s="280" t="s">
        <v>17</v>
      </c>
      <c r="F113" s="280" t="s">
        <v>406</v>
      </c>
      <c r="G113" s="280">
        <v>2.642465314583045</v>
      </c>
      <c r="H113" s="280">
        <v>2.642465314583045</v>
      </c>
      <c r="I113" s="280">
        <v>2.642465314583045</v>
      </c>
      <c r="J113" s="280">
        <v>2.642465314583045</v>
      </c>
      <c r="K113" s="280">
        <v>2.642465314583045</v>
      </c>
      <c r="L113" s="280">
        <v>2.642465314583045</v>
      </c>
      <c r="M113" s="280">
        <v>2.642465314583045</v>
      </c>
      <c r="N113" s="280">
        <v>2.642465314583045</v>
      </c>
      <c r="O113" s="280">
        <v>2.642465314583045</v>
      </c>
      <c r="P113" s="280">
        <v>2.642465314583045</v>
      </c>
      <c r="Q113" s="280">
        <v>2.642465314583045</v>
      </c>
      <c r="R113" s="280">
        <v>2.642465314583045</v>
      </c>
      <c r="S113" s="280">
        <v>2.642465314583045</v>
      </c>
      <c r="T113" s="280">
        <v>2.642465314583045</v>
      </c>
      <c r="U113" s="280">
        <v>2.642465314583045</v>
      </c>
      <c r="V113" s="280">
        <v>2.642465314583045</v>
      </c>
      <c r="W113" s="280">
        <v>2.642465314583045</v>
      </c>
      <c r="X113" s="280">
        <v>2.642465314583045</v>
      </c>
      <c r="Y113" s="280">
        <v>2.642465314583045</v>
      </c>
      <c r="Z113" s="280">
        <v>2.642465314583045</v>
      </c>
      <c r="AA113" s="280">
        <v>2.642465314583045</v>
      </c>
      <c r="AB113" s="280">
        <v>2.642465314583045</v>
      </c>
      <c r="AC113" s="280">
        <v>2.642465314583045</v>
      </c>
      <c r="AD113" s="280">
        <v>2.642465314583045</v>
      </c>
      <c r="AE113" s="280">
        <v>2.642465314583045</v>
      </c>
      <c r="AF113" s="280">
        <v>2.642465314583045</v>
      </c>
      <c r="AG113" s="280">
        <v>2.642465314583045</v>
      </c>
    </row>
    <row r="114" spans="1:33" x14ac:dyDescent="0.25">
      <c r="A114" s="280" t="s">
        <v>30</v>
      </c>
      <c r="B114" s="280" t="s">
        <v>18</v>
      </c>
      <c r="C114" s="280" t="s">
        <v>115</v>
      </c>
      <c r="D114" s="280" t="s">
        <v>399</v>
      </c>
      <c r="E114" s="280" t="s">
        <v>17</v>
      </c>
      <c r="F114" s="280" t="s">
        <v>400</v>
      </c>
      <c r="G114" s="280">
        <v>0.53708644605346445</v>
      </c>
      <c r="H114" s="280">
        <v>0.53708644605346445</v>
      </c>
      <c r="I114" s="280">
        <v>0.53708644605346445</v>
      </c>
      <c r="J114" s="280">
        <v>0.53708644605346445</v>
      </c>
      <c r="K114" s="280">
        <v>0.53708644605346445</v>
      </c>
      <c r="L114" s="280">
        <v>0.53708644605346445</v>
      </c>
      <c r="M114" s="280">
        <v>0.53708644605346445</v>
      </c>
      <c r="N114" s="280">
        <v>0.53708644605346445</v>
      </c>
      <c r="O114" s="280">
        <v>0.53708644605346445</v>
      </c>
      <c r="P114" s="280">
        <v>0.53708644605346445</v>
      </c>
      <c r="Q114" s="280">
        <v>0.53708644605346445</v>
      </c>
      <c r="R114" s="280">
        <v>0.53708644605346445</v>
      </c>
      <c r="S114" s="280">
        <v>0.53708644605346445</v>
      </c>
      <c r="T114" s="280">
        <v>0.53708644605346445</v>
      </c>
      <c r="U114" s="280">
        <v>0.53708644605346445</v>
      </c>
      <c r="V114" s="280">
        <v>0.53708644605346445</v>
      </c>
      <c r="W114" s="280">
        <v>0.53708644605346445</v>
      </c>
      <c r="X114" s="280">
        <v>0.53708644605346445</v>
      </c>
      <c r="Y114" s="280">
        <v>0.53708644605346445</v>
      </c>
      <c r="Z114" s="280">
        <v>0.53708644605346445</v>
      </c>
      <c r="AA114" s="280">
        <v>0.53708644605346445</v>
      </c>
      <c r="AB114" s="280">
        <v>0.53708644605346445</v>
      </c>
      <c r="AC114" s="280">
        <v>0.53708644605346445</v>
      </c>
      <c r="AD114" s="280">
        <v>0.53708644605346445</v>
      </c>
      <c r="AE114" s="280">
        <v>0.53708644605346445</v>
      </c>
      <c r="AF114" s="280">
        <v>0.53708644605346445</v>
      </c>
      <c r="AG114" s="280">
        <v>0.53708644605346445</v>
      </c>
    </row>
    <row r="115" spans="1:33" x14ac:dyDescent="0.25">
      <c r="A115" s="277" t="s">
        <v>30</v>
      </c>
      <c r="B115" s="277" t="s">
        <v>18</v>
      </c>
      <c r="C115" s="277" t="s">
        <v>115</v>
      </c>
      <c r="D115" s="277" t="s">
        <v>196</v>
      </c>
      <c r="E115" s="277" t="s">
        <v>17</v>
      </c>
      <c r="F115" s="278" t="s">
        <v>197</v>
      </c>
      <c r="G115" s="279">
        <v>1.8046104587396405</v>
      </c>
      <c r="H115" s="279">
        <v>1.8046104587396405</v>
      </c>
      <c r="I115" s="279">
        <v>1.8046104587396405</v>
      </c>
      <c r="J115" s="279">
        <v>1.8046104587396405</v>
      </c>
      <c r="K115" s="279">
        <v>1.8046104587396405</v>
      </c>
      <c r="L115" s="279">
        <v>1.8046104587396405</v>
      </c>
      <c r="M115" s="279">
        <v>1.8046104587396405</v>
      </c>
      <c r="N115" s="279">
        <v>1.8046104587396405</v>
      </c>
      <c r="O115" s="279">
        <v>1.8046104587396405</v>
      </c>
      <c r="P115" s="279">
        <v>1.8046104587396405</v>
      </c>
      <c r="Q115" s="279">
        <v>1.8046104587396405</v>
      </c>
      <c r="R115" s="279">
        <v>1.8046104587396405</v>
      </c>
      <c r="S115" s="279">
        <v>1.8046104587396405</v>
      </c>
      <c r="T115" s="279">
        <v>1.8046104587396405</v>
      </c>
      <c r="U115" s="279">
        <v>1.8046104587396405</v>
      </c>
      <c r="V115" s="279">
        <v>1.8046104587396405</v>
      </c>
      <c r="W115" s="279">
        <v>1.8046104587396405</v>
      </c>
      <c r="X115" s="279">
        <v>1.8046104587396405</v>
      </c>
      <c r="Y115" s="279">
        <v>1.8046104587396405</v>
      </c>
      <c r="Z115" s="279">
        <v>1.8046104587396405</v>
      </c>
      <c r="AA115" s="279">
        <v>1.8046104587396405</v>
      </c>
      <c r="AB115" s="279">
        <v>1.8046104587396405</v>
      </c>
      <c r="AC115" s="279">
        <v>1.8046104587396405</v>
      </c>
      <c r="AD115" s="279">
        <v>1.8046104587396405</v>
      </c>
      <c r="AE115" s="279">
        <v>1.8046104587396405</v>
      </c>
      <c r="AF115" s="279">
        <v>1.8046104587396405</v>
      </c>
      <c r="AG115" s="279">
        <v>1.8046104587396405</v>
      </c>
    </row>
    <row r="116" spans="1:33" x14ac:dyDescent="0.25">
      <c r="A116" s="280" t="s">
        <v>30</v>
      </c>
      <c r="B116" s="280" t="s">
        <v>18</v>
      </c>
      <c r="C116" s="280" t="s">
        <v>115</v>
      </c>
      <c r="D116" s="280" t="s">
        <v>493</v>
      </c>
      <c r="E116" s="280" t="s">
        <v>17</v>
      </c>
      <c r="F116" s="280" t="s">
        <v>494</v>
      </c>
      <c r="G116" s="280">
        <v>7.0895410879057312</v>
      </c>
      <c r="H116" s="280">
        <v>7.0895410879057312</v>
      </c>
      <c r="I116" s="280">
        <v>7.0895410879057312</v>
      </c>
      <c r="J116" s="280">
        <v>7.0895410879057312</v>
      </c>
      <c r="K116" s="280">
        <v>7.0895410879057312</v>
      </c>
      <c r="L116" s="280">
        <v>7.0895410879057312</v>
      </c>
      <c r="M116" s="280">
        <v>7.0895410879057312</v>
      </c>
      <c r="N116" s="280">
        <v>7.0895410879057312</v>
      </c>
      <c r="O116" s="280">
        <v>7.0895410879057312</v>
      </c>
      <c r="P116" s="280">
        <v>7.0895410879057312</v>
      </c>
      <c r="Q116" s="280">
        <v>7.0895410879057312</v>
      </c>
      <c r="R116" s="280">
        <v>7.0895410879057312</v>
      </c>
      <c r="S116" s="280">
        <v>7.0895410879057312</v>
      </c>
      <c r="T116" s="280">
        <v>7.0895410879057312</v>
      </c>
      <c r="U116" s="280">
        <v>7.0895410879057312</v>
      </c>
      <c r="V116" s="280">
        <v>7.0895410879057312</v>
      </c>
      <c r="W116" s="280">
        <v>7.0895410879057312</v>
      </c>
      <c r="X116" s="280">
        <v>7.0895410879057312</v>
      </c>
      <c r="Y116" s="280">
        <v>7.0895410879057312</v>
      </c>
      <c r="Z116" s="280">
        <v>7.0895410879057312</v>
      </c>
      <c r="AA116" s="280">
        <v>7.0895410879057312</v>
      </c>
      <c r="AB116" s="280">
        <v>7.0895410879057312</v>
      </c>
      <c r="AC116" s="280">
        <v>7.0895410879057312</v>
      </c>
      <c r="AD116" s="280">
        <v>7.0895410879057312</v>
      </c>
      <c r="AE116" s="280">
        <v>7.0895410879057312</v>
      </c>
      <c r="AF116" s="280">
        <v>7.0895410879057312</v>
      </c>
      <c r="AG116" s="280">
        <v>7.0895410879057312</v>
      </c>
    </row>
    <row r="117" spans="1:33" x14ac:dyDescent="0.25">
      <c r="A117" s="280" t="s">
        <v>30</v>
      </c>
      <c r="B117" s="280" t="s">
        <v>18</v>
      </c>
      <c r="C117" s="280" t="s">
        <v>115</v>
      </c>
      <c r="D117" s="280" t="s">
        <v>54</v>
      </c>
      <c r="E117" s="280" t="s">
        <v>17</v>
      </c>
      <c r="F117" s="280" t="s">
        <v>409</v>
      </c>
      <c r="G117" s="280">
        <v>54.976168618032624</v>
      </c>
      <c r="H117" s="280">
        <v>54.976168618032624</v>
      </c>
      <c r="I117" s="280">
        <v>54.976168618032624</v>
      </c>
      <c r="J117" s="280">
        <v>54.976168618032624</v>
      </c>
      <c r="K117" s="280">
        <v>54.976168618032624</v>
      </c>
      <c r="L117" s="280">
        <v>54.976168618032624</v>
      </c>
      <c r="M117" s="280">
        <v>54.976168618032624</v>
      </c>
      <c r="N117" s="280">
        <v>54.976168618032624</v>
      </c>
      <c r="O117" s="280">
        <v>54.976168618032624</v>
      </c>
      <c r="P117" s="280">
        <v>54.976168618032624</v>
      </c>
      <c r="Q117" s="280">
        <v>54.976168618032624</v>
      </c>
      <c r="R117" s="280">
        <v>54.976168618032624</v>
      </c>
      <c r="S117" s="280">
        <v>54.976168618032624</v>
      </c>
      <c r="T117" s="280">
        <v>54.976168618032624</v>
      </c>
      <c r="U117" s="280">
        <v>54.976168618032624</v>
      </c>
      <c r="V117" s="280">
        <v>54.976168618032624</v>
      </c>
      <c r="W117" s="280">
        <v>54.976168618032624</v>
      </c>
      <c r="X117" s="280">
        <v>54.976168618032624</v>
      </c>
      <c r="Y117" s="280">
        <v>54.976168618032624</v>
      </c>
      <c r="Z117" s="280">
        <v>54.976168618032624</v>
      </c>
      <c r="AA117" s="280">
        <v>54.976168618032624</v>
      </c>
      <c r="AB117" s="280">
        <v>54.976168618032624</v>
      </c>
      <c r="AC117" s="280">
        <v>54.976168618032624</v>
      </c>
      <c r="AD117" s="280">
        <v>54.976168618032624</v>
      </c>
      <c r="AE117" s="280">
        <v>54.976168618032624</v>
      </c>
      <c r="AF117" s="280">
        <v>54.976168618032624</v>
      </c>
      <c r="AG117" s="280">
        <v>54.976168618032624</v>
      </c>
    </row>
    <row r="118" spans="1:33" x14ac:dyDescent="0.25">
      <c r="A118" s="277" t="s">
        <v>30</v>
      </c>
      <c r="B118" s="277" t="s">
        <v>18</v>
      </c>
      <c r="C118" s="277" t="s">
        <v>115</v>
      </c>
      <c r="D118" s="277" t="s">
        <v>215</v>
      </c>
      <c r="E118" s="277" t="s">
        <v>17</v>
      </c>
      <c r="F118" s="278" t="s">
        <v>216</v>
      </c>
      <c r="G118" s="279">
        <v>2.9002668086887078</v>
      </c>
      <c r="H118" s="279">
        <v>2.9002668086887078</v>
      </c>
      <c r="I118" s="279">
        <v>2.9002668086887078</v>
      </c>
      <c r="J118" s="279">
        <v>2.9002668086887078</v>
      </c>
      <c r="K118" s="279">
        <v>2.9002668086887078</v>
      </c>
      <c r="L118" s="279">
        <v>2.9002668086887078</v>
      </c>
      <c r="M118" s="279">
        <v>2.9002668086887078</v>
      </c>
      <c r="N118" s="279">
        <v>2.9002668086887078</v>
      </c>
      <c r="O118" s="279">
        <v>2.9002668086887078</v>
      </c>
      <c r="P118" s="279">
        <v>2.9002668086887078</v>
      </c>
      <c r="Q118" s="279">
        <v>2.9002668086887078</v>
      </c>
      <c r="R118" s="279">
        <v>2.9002668086887078</v>
      </c>
      <c r="S118" s="279">
        <v>2.9002668086887078</v>
      </c>
      <c r="T118" s="279">
        <v>2.9002668086887078</v>
      </c>
      <c r="U118" s="279">
        <v>2.9002668086887078</v>
      </c>
      <c r="V118" s="279">
        <v>2.9002668086887078</v>
      </c>
      <c r="W118" s="279">
        <v>2.9002668086887078</v>
      </c>
      <c r="X118" s="279">
        <v>2.9002668086887078</v>
      </c>
      <c r="Y118" s="279">
        <v>2.9002668086887078</v>
      </c>
      <c r="Z118" s="279">
        <v>2.9002668086887078</v>
      </c>
      <c r="AA118" s="279">
        <v>2.9002668086887078</v>
      </c>
      <c r="AB118" s="279">
        <v>2.9002668086887078</v>
      </c>
      <c r="AC118" s="279">
        <v>2.9002668086887078</v>
      </c>
      <c r="AD118" s="279">
        <v>2.9002668086887078</v>
      </c>
      <c r="AE118" s="279">
        <v>2.9002668086887078</v>
      </c>
      <c r="AF118" s="279">
        <v>2.9002668086887078</v>
      </c>
      <c r="AG118" s="279">
        <v>2.9002668086887078</v>
      </c>
    </row>
    <row r="119" spans="1:33" x14ac:dyDescent="0.25">
      <c r="A119" s="277" t="s">
        <v>30</v>
      </c>
      <c r="B119" s="277" t="s">
        <v>18</v>
      </c>
      <c r="C119" s="277" t="s">
        <v>115</v>
      </c>
      <c r="D119" s="277" t="s">
        <v>162</v>
      </c>
      <c r="E119" s="277" t="s">
        <v>17</v>
      </c>
      <c r="F119" s="278" t="s">
        <v>163</v>
      </c>
      <c r="G119" s="279">
        <v>51.925517604448942</v>
      </c>
      <c r="H119" s="279">
        <v>51.925517604448942</v>
      </c>
      <c r="I119" s="279">
        <v>51.925517604448942</v>
      </c>
      <c r="J119" s="279">
        <v>51.925517604448942</v>
      </c>
      <c r="K119" s="279">
        <v>51.925517604448942</v>
      </c>
      <c r="L119" s="279">
        <v>51.925517604448942</v>
      </c>
      <c r="M119" s="279">
        <v>51.925517604448942</v>
      </c>
      <c r="N119" s="279">
        <v>51.925517604448942</v>
      </c>
      <c r="O119" s="279">
        <v>51.925517604448942</v>
      </c>
      <c r="P119" s="279">
        <v>51.925517604448942</v>
      </c>
      <c r="Q119" s="279">
        <v>51.925517604448942</v>
      </c>
      <c r="R119" s="279">
        <v>51.925517604448942</v>
      </c>
      <c r="S119" s="279">
        <v>51.925517604448942</v>
      </c>
      <c r="T119" s="279">
        <v>51.925517604448942</v>
      </c>
      <c r="U119" s="279">
        <v>51.925517604448942</v>
      </c>
      <c r="V119" s="279">
        <v>51.925517604448942</v>
      </c>
      <c r="W119" s="279">
        <v>51.925517604448942</v>
      </c>
      <c r="X119" s="279">
        <v>51.925517604448942</v>
      </c>
      <c r="Y119" s="279">
        <v>51.925517604448942</v>
      </c>
      <c r="Z119" s="279">
        <v>51.925517604448942</v>
      </c>
      <c r="AA119" s="279">
        <v>51.925517604448942</v>
      </c>
      <c r="AB119" s="279">
        <v>51.925517604448942</v>
      </c>
      <c r="AC119" s="279">
        <v>51.925517604448942</v>
      </c>
      <c r="AD119" s="279">
        <v>51.925517604448942</v>
      </c>
      <c r="AE119" s="279">
        <v>51.925517604448942</v>
      </c>
      <c r="AF119" s="279">
        <v>51.925517604448942</v>
      </c>
      <c r="AG119" s="279">
        <v>51.925517604448942</v>
      </c>
    </row>
    <row r="120" spans="1:33" x14ac:dyDescent="0.25">
      <c r="A120" s="280" t="s">
        <v>30</v>
      </c>
      <c r="B120" s="280" t="s">
        <v>18</v>
      </c>
      <c r="C120" s="280" t="s">
        <v>115</v>
      </c>
      <c r="D120" s="280" t="s">
        <v>391</v>
      </c>
      <c r="E120" s="280" t="s">
        <v>17</v>
      </c>
      <c r="F120" s="280" t="s">
        <v>392</v>
      </c>
      <c r="G120" s="280">
        <v>2.2342796155824121</v>
      </c>
      <c r="H120" s="280">
        <v>2.2342796155824121</v>
      </c>
      <c r="I120" s="280">
        <v>2.2342796155824121</v>
      </c>
      <c r="J120" s="280">
        <v>2.2342796155824121</v>
      </c>
      <c r="K120" s="280">
        <v>2.2342796155824121</v>
      </c>
      <c r="L120" s="280">
        <v>2.2342796155824121</v>
      </c>
      <c r="M120" s="280">
        <v>2.2342796155824121</v>
      </c>
      <c r="N120" s="280">
        <v>2.2342796155824121</v>
      </c>
      <c r="O120" s="280">
        <v>2.2342796155824121</v>
      </c>
      <c r="P120" s="280">
        <v>2.2342796155824121</v>
      </c>
      <c r="Q120" s="280">
        <v>2.2342796155824121</v>
      </c>
      <c r="R120" s="280">
        <v>2.2342796155824121</v>
      </c>
      <c r="S120" s="280">
        <v>2.2342796155824121</v>
      </c>
      <c r="T120" s="280">
        <v>2.2342796155824121</v>
      </c>
      <c r="U120" s="280">
        <v>2.2342796155824121</v>
      </c>
      <c r="V120" s="280">
        <v>2.2342796155824121</v>
      </c>
      <c r="W120" s="280">
        <v>2.2342796155824121</v>
      </c>
      <c r="X120" s="280">
        <v>2.2342796155824121</v>
      </c>
      <c r="Y120" s="280">
        <v>2.2342796155824121</v>
      </c>
      <c r="Z120" s="280">
        <v>2.2342796155824121</v>
      </c>
      <c r="AA120" s="280">
        <v>2.2342796155824121</v>
      </c>
      <c r="AB120" s="280">
        <v>2.2342796155824121</v>
      </c>
      <c r="AC120" s="280">
        <v>2.2342796155824121</v>
      </c>
      <c r="AD120" s="280">
        <v>2.2342796155824121</v>
      </c>
      <c r="AE120" s="280">
        <v>2.2342796155824121</v>
      </c>
      <c r="AF120" s="280">
        <v>2.2342796155824121</v>
      </c>
      <c r="AG120" s="280">
        <v>2.2342796155824121</v>
      </c>
    </row>
    <row r="121" spans="1:33" x14ac:dyDescent="0.25">
      <c r="A121" s="277" t="s">
        <v>30</v>
      </c>
      <c r="B121" s="277" t="s">
        <v>18</v>
      </c>
      <c r="C121" s="277" t="s">
        <v>115</v>
      </c>
      <c r="D121" s="277" t="s">
        <v>156</v>
      </c>
      <c r="E121" s="277" t="s">
        <v>17</v>
      </c>
      <c r="F121" s="278" t="s">
        <v>157</v>
      </c>
      <c r="G121" s="279">
        <v>8.4644823898025994</v>
      </c>
      <c r="H121" s="279">
        <v>8.4644823898025994</v>
      </c>
      <c r="I121" s="279">
        <v>8.4644823898025994</v>
      </c>
      <c r="J121" s="279">
        <v>8.4644823898025994</v>
      </c>
      <c r="K121" s="279">
        <v>8.4644823898025994</v>
      </c>
      <c r="L121" s="279">
        <v>8.4644823898025994</v>
      </c>
      <c r="M121" s="279">
        <v>8.4644823898025994</v>
      </c>
      <c r="N121" s="279">
        <v>8.4644823898025994</v>
      </c>
      <c r="O121" s="279">
        <v>8.4644823898025994</v>
      </c>
      <c r="P121" s="279">
        <v>8.4644823898025994</v>
      </c>
      <c r="Q121" s="279">
        <v>8.4644823898025994</v>
      </c>
      <c r="R121" s="279">
        <v>8.4644823898025994</v>
      </c>
      <c r="S121" s="279">
        <v>8.4644823898025994</v>
      </c>
      <c r="T121" s="279">
        <v>8.4644823898025994</v>
      </c>
      <c r="U121" s="279">
        <v>8.4644823898025994</v>
      </c>
      <c r="V121" s="279">
        <v>8.4644823898025994</v>
      </c>
      <c r="W121" s="279">
        <v>8.4644823898025994</v>
      </c>
      <c r="X121" s="279">
        <v>8.4644823898025994</v>
      </c>
      <c r="Y121" s="279">
        <v>8.4644823898025994</v>
      </c>
      <c r="Z121" s="279">
        <v>8.4644823898025994</v>
      </c>
      <c r="AA121" s="279">
        <v>8.4644823898025994</v>
      </c>
      <c r="AB121" s="279">
        <v>8.4644823898025994</v>
      </c>
      <c r="AC121" s="279">
        <v>8.4644823898025994</v>
      </c>
      <c r="AD121" s="279">
        <v>8.4644823898025994</v>
      </c>
      <c r="AE121" s="279">
        <v>8.4644823898025994</v>
      </c>
      <c r="AF121" s="279">
        <v>8.4644823898025994</v>
      </c>
      <c r="AG121" s="279">
        <v>8.4644823898025994</v>
      </c>
    </row>
    <row r="122" spans="1:33" x14ac:dyDescent="0.25">
      <c r="A122" s="280" t="s">
        <v>30</v>
      </c>
      <c r="B122" s="280" t="s">
        <v>18</v>
      </c>
      <c r="C122" s="280" t="s">
        <v>115</v>
      </c>
      <c r="D122" s="280" t="s">
        <v>464</v>
      </c>
      <c r="E122" s="280" t="s">
        <v>17</v>
      </c>
      <c r="F122" s="280" t="s">
        <v>465</v>
      </c>
      <c r="G122" s="280">
        <v>1.5468089646339775</v>
      </c>
      <c r="H122" s="280">
        <v>1.5468089646339775</v>
      </c>
      <c r="I122" s="280">
        <v>1.5468089646339775</v>
      </c>
      <c r="J122" s="280">
        <v>1.5468089646339775</v>
      </c>
      <c r="K122" s="280">
        <v>1.5468089646339775</v>
      </c>
      <c r="L122" s="280">
        <v>1.5468089646339775</v>
      </c>
      <c r="M122" s="280">
        <v>1.5468089646339775</v>
      </c>
      <c r="N122" s="280">
        <v>1.5468089646339775</v>
      </c>
      <c r="O122" s="280">
        <v>1.5468089646339775</v>
      </c>
      <c r="P122" s="280">
        <v>1.5468089646339775</v>
      </c>
      <c r="Q122" s="280">
        <v>1.5468089646339775</v>
      </c>
      <c r="R122" s="280">
        <v>1.5468089646339775</v>
      </c>
      <c r="S122" s="280">
        <v>1.5468089646339775</v>
      </c>
      <c r="T122" s="280">
        <v>1.5468089646339775</v>
      </c>
      <c r="U122" s="280">
        <v>1.5468089646339775</v>
      </c>
      <c r="V122" s="280">
        <v>1.5468089646339775</v>
      </c>
      <c r="W122" s="280">
        <v>1.5468089646339775</v>
      </c>
      <c r="X122" s="280">
        <v>1.5468089646339775</v>
      </c>
      <c r="Y122" s="280">
        <v>1.5468089646339775</v>
      </c>
      <c r="Z122" s="280">
        <v>1.5468089646339775</v>
      </c>
      <c r="AA122" s="280">
        <v>1.5468089646339775</v>
      </c>
      <c r="AB122" s="280">
        <v>1.5468089646339775</v>
      </c>
      <c r="AC122" s="280">
        <v>1.5468089646339775</v>
      </c>
      <c r="AD122" s="280">
        <v>1.5468089646339775</v>
      </c>
      <c r="AE122" s="280">
        <v>1.5468089646339775</v>
      </c>
      <c r="AF122" s="280">
        <v>1.5468089646339775</v>
      </c>
      <c r="AG122" s="280">
        <v>1.5468089646339775</v>
      </c>
    </row>
    <row r="123" spans="1:33" x14ac:dyDescent="0.25">
      <c r="A123" s="280" t="s">
        <v>30</v>
      </c>
      <c r="B123" s="280" t="s">
        <v>18</v>
      </c>
      <c r="C123" s="280" t="s">
        <v>115</v>
      </c>
      <c r="D123" s="280" t="s">
        <v>467</v>
      </c>
      <c r="E123" s="280" t="s">
        <v>17</v>
      </c>
      <c r="F123" s="280" t="s">
        <v>468</v>
      </c>
      <c r="G123" s="280">
        <v>5.1345464242711198</v>
      </c>
      <c r="H123" s="280">
        <v>5.1345464242711198</v>
      </c>
      <c r="I123" s="280">
        <v>5.1345464242711198</v>
      </c>
      <c r="J123" s="280">
        <v>5.1345464242711198</v>
      </c>
      <c r="K123" s="280">
        <v>5.1345464242711198</v>
      </c>
      <c r="L123" s="280">
        <v>5.1345464242711198</v>
      </c>
      <c r="M123" s="280">
        <v>5.1345464242711198</v>
      </c>
      <c r="N123" s="280">
        <v>5.1345464242711198</v>
      </c>
      <c r="O123" s="280">
        <v>5.1345464242711198</v>
      </c>
      <c r="P123" s="280">
        <v>5.1345464242711198</v>
      </c>
      <c r="Q123" s="280">
        <v>5.1345464242711198</v>
      </c>
      <c r="R123" s="280">
        <v>5.1345464242711198</v>
      </c>
      <c r="S123" s="280">
        <v>5.1345464242711198</v>
      </c>
      <c r="T123" s="280">
        <v>5.1345464242711198</v>
      </c>
      <c r="U123" s="280">
        <v>5.1345464242711198</v>
      </c>
      <c r="V123" s="280">
        <v>5.1345464242711198</v>
      </c>
      <c r="W123" s="280">
        <v>5.1345464242711198</v>
      </c>
      <c r="X123" s="280">
        <v>5.1345464242711198</v>
      </c>
      <c r="Y123" s="280">
        <v>5.1345464242711198</v>
      </c>
      <c r="Z123" s="280">
        <v>5.1345464242711198</v>
      </c>
      <c r="AA123" s="280">
        <v>5.1345464242711198</v>
      </c>
      <c r="AB123" s="280">
        <v>5.1345464242711198</v>
      </c>
      <c r="AC123" s="280">
        <v>5.1345464242711198</v>
      </c>
      <c r="AD123" s="280">
        <v>5.1345464242711198</v>
      </c>
      <c r="AE123" s="280">
        <v>5.1345464242711198</v>
      </c>
      <c r="AF123" s="280">
        <v>5.1345464242711198</v>
      </c>
      <c r="AG123" s="280">
        <v>5.1345464242711198</v>
      </c>
    </row>
    <row r="124" spans="1:33" x14ac:dyDescent="0.25">
      <c r="A124" s="277" t="s">
        <v>30</v>
      </c>
      <c r="B124" s="277" t="s">
        <v>18</v>
      </c>
      <c r="C124" s="277" t="s">
        <v>115</v>
      </c>
      <c r="D124" s="277" t="s">
        <v>295</v>
      </c>
      <c r="E124" s="277" t="s">
        <v>17</v>
      </c>
      <c r="F124" s="278" t="s">
        <v>296</v>
      </c>
      <c r="G124" s="279">
        <v>1.6542262538446706</v>
      </c>
      <c r="H124" s="279">
        <v>1.6542262538446706</v>
      </c>
      <c r="I124" s="279">
        <v>1.6542262538446706</v>
      </c>
      <c r="J124" s="279">
        <v>1.6542262538446706</v>
      </c>
      <c r="K124" s="279">
        <v>1.6542262538446706</v>
      </c>
      <c r="L124" s="279">
        <v>1.6542262538446706</v>
      </c>
      <c r="M124" s="279">
        <v>1.6542262538446706</v>
      </c>
      <c r="N124" s="279">
        <v>1.6542262538446706</v>
      </c>
      <c r="O124" s="279">
        <v>1.6542262538446706</v>
      </c>
      <c r="P124" s="279">
        <v>1.6542262538446706</v>
      </c>
      <c r="Q124" s="279">
        <v>1.6542262538446706</v>
      </c>
      <c r="R124" s="279">
        <v>1.6542262538446706</v>
      </c>
      <c r="S124" s="279">
        <v>1.6542262538446706</v>
      </c>
      <c r="T124" s="279">
        <v>1.6542262538446706</v>
      </c>
      <c r="U124" s="279">
        <v>1.6542262538446706</v>
      </c>
      <c r="V124" s="279">
        <v>1.6542262538446706</v>
      </c>
      <c r="W124" s="279">
        <v>1.6542262538446706</v>
      </c>
      <c r="X124" s="279">
        <v>1.6542262538446706</v>
      </c>
      <c r="Y124" s="279">
        <v>1.6542262538446706</v>
      </c>
      <c r="Z124" s="279">
        <v>1.6542262538446706</v>
      </c>
      <c r="AA124" s="279">
        <v>1.6542262538446706</v>
      </c>
      <c r="AB124" s="279">
        <v>1.6542262538446706</v>
      </c>
      <c r="AC124" s="279">
        <v>1.6542262538446706</v>
      </c>
      <c r="AD124" s="279">
        <v>1.6542262538446706</v>
      </c>
      <c r="AE124" s="279">
        <v>1.6542262538446706</v>
      </c>
      <c r="AF124" s="279">
        <v>1.6542262538446706</v>
      </c>
      <c r="AG124" s="279">
        <v>1.6542262538446706</v>
      </c>
    </row>
    <row r="125" spans="1:33" x14ac:dyDescent="0.25">
      <c r="A125" s="277" t="s">
        <v>30</v>
      </c>
      <c r="B125" s="277" t="s">
        <v>18</v>
      </c>
      <c r="C125" s="277" t="s">
        <v>115</v>
      </c>
      <c r="D125" s="277" t="s">
        <v>229</v>
      </c>
      <c r="E125" s="277" t="s">
        <v>17</v>
      </c>
      <c r="F125" s="278" t="s">
        <v>230</v>
      </c>
      <c r="G125" s="279">
        <v>0.21483457842138576</v>
      </c>
      <c r="H125" s="279">
        <v>0.21483457842138576</v>
      </c>
      <c r="I125" s="279">
        <v>0.21483457842138576</v>
      </c>
      <c r="J125" s="279">
        <v>0.21483457842138576</v>
      </c>
      <c r="K125" s="279">
        <v>0.21483457842138576</v>
      </c>
      <c r="L125" s="279">
        <v>0.21483457842138576</v>
      </c>
      <c r="M125" s="279">
        <v>0.21483457842138576</v>
      </c>
      <c r="N125" s="279">
        <v>0.21483457842138576</v>
      </c>
      <c r="O125" s="279">
        <v>0.21483457842138576</v>
      </c>
      <c r="P125" s="279">
        <v>0.21483457842138576</v>
      </c>
      <c r="Q125" s="279">
        <v>0.21483457842138576</v>
      </c>
      <c r="R125" s="279">
        <v>0.21483457842138576</v>
      </c>
      <c r="S125" s="279">
        <v>0.21483457842138576</v>
      </c>
      <c r="T125" s="279">
        <v>0.21483457842138576</v>
      </c>
      <c r="U125" s="279">
        <v>0.21483457842138576</v>
      </c>
      <c r="V125" s="279">
        <v>0.21483457842138576</v>
      </c>
      <c r="W125" s="279">
        <v>0.21483457842138576</v>
      </c>
      <c r="X125" s="279">
        <v>0.21483457842138576</v>
      </c>
      <c r="Y125" s="279">
        <v>0.21483457842138576</v>
      </c>
      <c r="Z125" s="279">
        <v>0.21483457842138576</v>
      </c>
      <c r="AA125" s="279">
        <v>0.21483457842138576</v>
      </c>
      <c r="AB125" s="279">
        <v>0.21483457842138576</v>
      </c>
      <c r="AC125" s="279">
        <v>0.21483457842138576</v>
      </c>
      <c r="AD125" s="279">
        <v>0.21483457842138576</v>
      </c>
      <c r="AE125" s="279">
        <v>0.21483457842138576</v>
      </c>
      <c r="AF125" s="279">
        <v>0.21483457842138576</v>
      </c>
      <c r="AG125" s="279">
        <v>0.21483457842138576</v>
      </c>
    </row>
    <row r="126" spans="1:33" x14ac:dyDescent="0.25">
      <c r="A126" s="280" t="s">
        <v>30</v>
      </c>
      <c r="B126" s="280" t="s">
        <v>18</v>
      </c>
      <c r="C126" s="280" t="s">
        <v>115</v>
      </c>
      <c r="D126" s="280" t="s">
        <v>513</v>
      </c>
      <c r="E126" s="280" t="s">
        <v>17</v>
      </c>
      <c r="F126" s="280" t="s">
        <v>514</v>
      </c>
      <c r="G126" s="280">
        <v>52.63447171323952</v>
      </c>
      <c r="H126" s="280">
        <v>52.63447171323952</v>
      </c>
      <c r="I126" s="280">
        <v>52.63447171323952</v>
      </c>
      <c r="J126" s="280">
        <v>52.63447171323952</v>
      </c>
      <c r="K126" s="280">
        <v>52.63447171323952</v>
      </c>
      <c r="L126" s="280">
        <v>52.63447171323952</v>
      </c>
      <c r="M126" s="280">
        <v>52.63447171323952</v>
      </c>
      <c r="N126" s="280">
        <v>52.63447171323952</v>
      </c>
      <c r="O126" s="280">
        <v>52.63447171323952</v>
      </c>
      <c r="P126" s="280">
        <v>52.63447171323952</v>
      </c>
      <c r="Q126" s="280">
        <v>52.63447171323952</v>
      </c>
      <c r="R126" s="280">
        <v>52.63447171323952</v>
      </c>
      <c r="S126" s="280">
        <v>52.63447171323952</v>
      </c>
      <c r="T126" s="280">
        <v>52.63447171323952</v>
      </c>
      <c r="U126" s="280">
        <v>52.63447171323952</v>
      </c>
      <c r="V126" s="280">
        <v>52.63447171323952</v>
      </c>
      <c r="W126" s="280">
        <v>52.63447171323952</v>
      </c>
      <c r="X126" s="280">
        <v>52.63447171323952</v>
      </c>
      <c r="Y126" s="280">
        <v>52.63447171323952</v>
      </c>
      <c r="Z126" s="280">
        <v>52.63447171323952</v>
      </c>
      <c r="AA126" s="280">
        <v>52.63447171323952</v>
      </c>
      <c r="AB126" s="280">
        <v>52.63447171323952</v>
      </c>
      <c r="AC126" s="280">
        <v>52.63447171323952</v>
      </c>
      <c r="AD126" s="280">
        <v>52.63447171323952</v>
      </c>
      <c r="AE126" s="280">
        <v>52.63447171323952</v>
      </c>
      <c r="AF126" s="280">
        <v>52.63447171323952</v>
      </c>
      <c r="AG126" s="280">
        <v>52.63447171323952</v>
      </c>
    </row>
    <row r="127" spans="1:33" x14ac:dyDescent="0.25">
      <c r="A127" s="280" t="s">
        <v>30</v>
      </c>
      <c r="B127" s="280" t="s">
        <v>18</v>
      </c>
      <c r="C127" s="280" t="s">
        <v>115</v>
      </c>
      <c r="D127" s="280" t="s">
        <v>348</v>
      </c>
      <c r="E127" s="280" t="s">
        <v>17</v>
      </c>
      <c r="F127" s="280" t="s">
        <v>349</v>
      </c>
      <c r="G127" s="280">
        <v>8.0562966908019664</v>
      </c>
      <c r="H127" s="280">
        <v>8.0562966908019664</v>
      </c>
      <c r="I127" s="280">
        <v>8.0562966908019664</v>
      </c>
      <c r="J127" s="280">
        <v>8.0562966908019664</v>
      </c>
      <c r="K127" s="280">
        <v>8.0562966908019664</v>
      </c>
      <c r="L127" s="280">
        <v>8.0562966908019664</v>
      </c>
      <c r="M127" s="280">
        <v>8.0562966908019664</v>
      </c>
      <c r="N127" s="280">
        <v>8.0562966908019664</v>
      </c>
      <c r="O127" s="280">
        <v>8.0562966908019664</v>
      </c>
      <c r="P127" s="280">
        <v>8.0562966908019664</v>
      </c>
      <c r="Q127" s="280">
        <v>8.0562966908019664</v>
      </c>
      <c r="R127" s="280">
        <v>8.0562966908019664</v>
      </c>
      <c r="S127" s="280">
        <v>8.0562966908019664</v>
      </c>
      <c r="T127" s="280">
        <v>8.0562966908019664</v>
      </c>
      <c r="U127" s="280">
        <v>8.0562966908019664</v>
      </c>
      <c r="V127" s="280">
        <v>8.0562966908019664</v>
      </c>
      <c r="W127" s="280">
        <v>8.0562966908019664</v>
      </c>
      <c r="X127" s="280">
        <v>8.0562966908019664</v>
      </c>
      <c r="Y127" s="280">
        <v>8.0562966908019664</v>
      </c>
      <c r="Z127" s="280">
        <v>8.0562966908019664</v>
      </c>
      <c r="AA127" s="280">
        <v>8.0562966908019664</v>
      </c>
      <c r="AB127" s="280">
        <v>8.0562966908019664</v>
      </c>
      <c r="AC127" s="280">
        <v>8.0562966908019664</v>
      </c>
      <c r="AD127" s="280">
        <v>8.0562966908019664</v>
      </c>
      <c r="AE127" s="280">
        <v>8.0562966908019664</v>
      </c>
      <c r="AF127" s="280">
        <v>8.0562966908019664</v>
      </c>
      <c r="AG127" s="280">
        <v>8.0562966908019664</v>
      </c>
    </row>
    <row r="128" spans="1:33" x14ac:dyDescent="0.25">
      <c r="A128" s="280" t="s">
        <v>30</v>
      </c>
      <c r="B128" s="280" t="s">
        <v>18</v>
      </c>
      <c r="C128" s="280" t="s">
        <v>115</v>
      </c>
      <c r="D128" s="280" t="s">
        <v>489</v>
      </c>
      <c r="E128" s="280" t="s">
        <v>17</v>
      </c>
      <c r="F128" s="280" t="s">
        <v>490</v>
      </c>
      <c r="G128" s="280">
        <v>4.2966915684277157E-2</v>
      </c>
      <c r="H128" s="280">
        <v>4.2966915684277157E-2</v>
      </c>
      <c r="I128" s="280">
        <v>4.2966915684277157E-2</v>
      </c>
      <c r="J128" s="280">
        <v>4.2966915684277157E-2</v>
      </c>
      <c r="K128" s="280">
        <v>4.2966915684277157E-2</v>
      </c>
      <c r="L128" s="280">
        <v>4.2966915684277157E-2</v>
      </c>
      <c r="M128" s="280">
        <v>4.2966915684277157E-2</v>
      </c>
      <c r="N128" s="280">
        <v>4.2966915684277157E-2</v>
      </c>
      <c r="O128" s="280">
        <v>4.2966915684277157E-2</v>
      </c>
      <c r="P128" s="280">
        <v>4.2966915684277157E-2</v>
      </c>
      <c r="Q128" s="280">
        <v>4.2966915684277157E-2</v>
      </c>
      <c r="R128" s="280">
        <v>4.2966915684277157E-2</v>
      </c>
      <c r="S128" s="280">
        <v>4.2966915684277157E-2</v>
      </c>
      <c r="T128" s="280">
        <v>4.2966915684277157E-2</v>
      </c>
      <c r="U128" s="280">
        <v>4.2966915684277157E-2</v>
      </c>
      <c r="V128" s="280">
        <v>4.2966915684277157E-2</v>
      </c>
      <c r="W128" s="280">
        <v>4.2966915684277157E-2</v>
      </c>
      <c r="X128" s="280">
        <v>4.2966915684277157E-2</v>
      </c>
      <c r="Y128" s="280">
        <v>4.2966915684277157E-2</v>
      </c>
      <c r="Z128" s="280">
        <v>4.2966915684277157E-2</v>
      </c>
      <c r="AA128" s="280">
        <v>4.2966915684277157E-2</v>
      </c>
      <c r="AB128" s="280">
        <v>4.2966915684277157E-2</v>
      </c>
      <c r="AC128" s="280">
        <v>4.2966915684277157E-2</v>
      </c>
      <c r="AD128" s="280">
        <v>4.2966915684277157E-2</v>
      </c>
      <c r="AE128" s="280">
        <v>4.2966915684277157E-2</v>
      </c>
      <c r="AF128" s="280">
        <v>4.2966915684277157E-2</v>
      </c>
      <c r="AG128" s="280">
        <v>4.2966915684277157E-2</v>
      </c>
    </row>
    <row r="129" spans="1:33" x14ac:dyDescent="0.25">
      <c r="A129" s="277" t="s">
        <v>30</v>
      </c>
      <c r="B129" s="277" t="s">
        <v>18</v>
      </c>
      <c r="C129" s="277" t="s">
        <v>115</v>
      </c>
      <c r="D129" s="277" t="s">
        <v>116</v>
      </c>
      <c r="E129" s="277" t="s">
        <v>17</v>
      </c>
      <c r="F129" s="278" t="s">
        <v>117</v>
      </c>
      <c r="G129" s="279">
        <v>0.83785485584340436</v>
      </c>
      <c r="H129" s="279">
        <v>0.83785485584340436</v>
      </c>
      <c r="I129" s="279">
        <v>0.83785485584340436</v>
      </c>
      <c r="J129" s="279">
        <v>0.83785485584340436</v>
      </c>
      <c r="K129" s="279">
        <v>0.83785485584340436</v>
      </c>
      <c r="L129" s="279">
        <v>0.83785485584340436</v>
      </c>
      <c r="M129" s="279">
        <v>0.83785485584340436</v>
      </c>
      <c r="N129" s="279">
        <v>0.83785485584340436</v>
      </c>
      <c r="O129" s="279">
        <v>0.83785485584340436</v>
      </c>
      <c r="P129" s="279">
        <v>0.83785485584340436</v>
      </c>
      <c r="Q129" s="279">
        <v>0.83785485584340436</v>
      </c>
      <c r="R129" s="279">
        <v>0.83785485584340436</v>
      </c>
      <c r="S129" s="279">
        <v>0.83785485584340436</v>
      </c>
      <c r="T129" s="279">
        <v>0.83785485584340436</v>
      </c>
      <c r="U129" s="279">
        <v>0.83785485584340436</v>
      </c>
      <c r="V129" s="279">
        <v>0.83785485584340436</v>
      </c>
      <c r="W129" s="279">
        <v>0.83785485584340436</v>
      </c>
      <c r="X129" s="279">
        <v>0.83785485584340436</v>
      </c>
      <c r="Y129" s="279">
        <v>0.83785485584340436</v>
      </c>
      <c r="Z129" s="279">
        <v>0.83785485584340436</v>
      </c>
      <c r="AA129" s="279">
        <v>0.83785485584340436</v>
      </c>
      <c r="AB129" s="279">
        <v>0.83785485584340436</v>
      </c>
      <c r="AC129" s="279">
        <v>0.83785485584340436</v>
      </c>
      <c r="AD129" s="279">
        <v>0.83785485584340436</v>
      </c>
      <c r="AE129" s="279">
        <v>0.83785485584340436</v>
      </c>
      <c r="AF129" s="279">
        <v>0.83785485584340436</v>
      </c>
      <c r="AG129" s="279">
        <v>0.83785485584340436</v>
      </c>
    </row>
    <row r="130" spans="1:33" x14ac:dyDescent="0.25">
      <c r="A130" s="277" t="s">
        <v>30</v>
      </c>
      <c r="B130" s="277" t="s">
        <v>18</v>
      </c>
      <c r="C130" s="277" t="s">
        <v>115</v>
      </c>
      <c r="D130" s="277" t="s">
        <v>183</v>
      </c>
      <c r="E130" s="277" t="s">
        <v>17</v>
      </c>
      <c r="F130" s="278" t="s">
        <v>184</v>
      </c>
      <c r="G130" s="279">
        <v>1.6112593381603935</v>
      </c>
      <c r="H130" s="279">
        <v>1.6112593381603935</v>
      </c>
      <c r="I130" s="279">
        <v>1.6112593381603935</v>
      </c>
      <c r="J130" s="279">
        <v>1.6112593381603935</v>
      </c>
      <c r="K130" s="279">
        <v>1.6112593381603935</v>
      </c>
      <c r="L130" s="279">
        <v>1.6112593381603935</v>
      </c>
      <c r="M130" s="279">
        <v>1.6112593381603935</v>
      </c>
      <c r="N130" s="279">
        <v>1.6112593381603935</v>
      </c>
      <c r="O130" s="279">
        <v>1.6112593381603935</v>
      </c>
      <c r="P130" s="279">
        <v>1.6112593381603935</v>
      </c>
      <c r="Q130" s="279">
        <v>1.6112593381603935</v>
      </c>
      <c r="R130" s="279">
        <v>1.6112593381603935</v>
      </c>
      <c r="S130" s="279">
        <v>1.6112593381603935</v>
      </c>
      <c r="T130" s="279">
        <v>1.6112593381603935</v>
      </c>
      <c r="U130" s="279">
        <v>1.6112593381603935</v>
      </c>
      <c r="V130" s="279">
        <v>1.6112593381603935</v>
      </c>
      <c r="W130" s="279">
        <v>1.6112593381603935</v>
      </c>
      <c r="X130" s="279">
        <v>1.6112593381603935</v>
      </c>
      <c r="Y130" s="279">
        <v>1.6112593381603935</v>
      </c>
      <c r="Z130" s="279">
        <v>1.6112593381603935</v>
      </c>
      <c r="AA130" s="279">
        <v>1.6112593381603935</v>
      </c>
      <c r="AB130" s="279">
        <v>1.6112593381603935</v>
      </c>
      <c r="AC130" s="279">
        <v>1.6112593381603935</v>
      </c>
      <c r="AD130" s="279">
        <v>1.6112593381603935</v>
      </c>
      <c r="AE130" s="279">
        <v>1.6112593381603935</v>
      </c>
      <c r="AF130" s="279">
        <v>1.6112593381603935</v>
      </c>
      <c r="AG130" s="279">
        <v>1.6112593381603935</v>
      </c>
    </row>
    <row r="131" spans="1:33" x14ac:dyDescent="0.25">
      <c r="A131" s="277" t="s">
        <v>30</v>
      </c>
      <c r="B131" s="277" t="s">
        <v>18</v>
      </c>
      <c r="C131" s="277" t="s">
        <v>115</v>
      </c>
      <c r="D131" s="277" t="s">
        <v>313</v>
      </c>
      <c r="E131" s="277" t="s">
        <v>17</v>
      </c>
      <c r="F131" s="278" t="s">
        <v>314</v>
      </c>
      <c r="G131" s="279">
        <v>0.45115261468491014</v>
      </c>
      <c r="H131" s="279">
        <v>0.45115261468491014</v>
      </c>
      <c r="I131" s="279">
        <v>0.45115261468491014</v>
      </c>
      <c r="J131" s="279">
        <v>0.45115261468491014</v>
      </c>
      <c r="K131" s="279">
        <v>0.45115261468491014</v>
      </c>
      <c r="L131" s="279">
        <v>0.45115261468491014</v>
      </c>
      <c r="M131" s="279">
        <v>0.45115261468491014</v>
      </c>
      <c r="N131" s="279">
        <v>0.45115261468491014</v>
      </c>
      <c r="O131" s="279">
        <v>0.45115261468491014</v>
      </c>
      <c r="P131" s="279">
        <v>0.45115261468491014</v>
      </c>
      <c r="Q131" s="279">
        <v>0.45115261468491014</v>
      </c>
      <c r="R131" s="279">
        <v>0.45115261468491014</v>
      </c>
      <c r="S131" s="279">
        <v>0.45115261468491014</v>
      </c>
      <c r="T131" s="279">
        <v>0.45115261468491014</v>
      </c>
      <c r="U131" s="279">
        <v>0.45115261468491014</v>
      </c>
      <c r="V131" s="279">
        <v>0.45115261468491014</v>
      </c>
      <c r="W131" s="279">
        <v>0.45115261468491014</v>
      </c>
      <c r="X131" s="279">
        <v>0.45115261468491014</v>
      </c>
      <c r="Y131" s="279">
        <v>0.45115261468491014</v>
      </c>
      <c r="Z131" s="279">
        <v>0.45115261468491014</v>
      </c>
      <c r="AA131" s="279">
        <v>0.45115261468491014</v>
      </c>
      <c r="AB131" s="279">
        <v>0.45115261468491014</v>
      </c>
      <c r="AC131" s="279">
        <v>0.45115261468491014</v>
      </c>
      <c r="AD131" s="279">
        <v>0.45115261468491014</v>
      </c>
      <c r="AE131" s="279">
        <v>0.45115261468491014</v>
      </c>
      <c r="AF131" s="279">
        <v>0.45115261468491014</v>
      </c>
      <c r="AG131" s="279">
        <v>0.45115261468491014</v>
      </c>
    </row>
    <row r="132" spans="1:33" x14ac:dyDescent="0.25">
      <c r="A132" s="277" t="s">
        <v>30</v>
      </c>
      <c r="B132" s="277" t="s">
        <v>18</v>
      </c>
      <c r="C132" s="277" t="s">
        <v>115</v>
      </c>
      <c r="D132" s="277" t="s">
        <v>178</v>
      </c>
      <c r="E132" s="277" t="s">
        <v>17</v>
      </c>
      <c r="F132" s="278" t="s">
        <v>179</v>
      </c>
      <c r="G132" s="279">
        <v>8.5933831368554314E-2</v>
      </c>
      <c r="H132" s="279">
        <v>8.5933831368554314E-2</v>
      </c>
      <c r="I132" s="279">
        <v>8.5933831368554314E-2</v>
      </c>
      <c r="J132" s="279">
        <v>8.5933831368554314E-2</v>
      </c>
      <c r="K132" s="279">
        <v>8.5933831368554314E-2</v>
      </c>
      <c r="L132" s="279">
        <v>8.5933831368554314E-2</v>
      </c>
      <c r="M132" s="279">
        <v>8.5933831368554314E-2</v>
      </c>
      <c r="N132" s="279">
        <v>8.5933831368554314E-2</v>
      </c>
      <c r="O132" s="279">
        <v>8.5933831368554314E-2</v>
      </c>
      <c r="P132" s="279">
        <v>8.5933831368554314E-2</v>
      </c>
      <c r="Q132" s="279">
        <v>8.5933831368554314E-2</v>
      </c>
      <c r="R132" s="279">
        <v>8.5933831368554314E-2</v>
      </c>
      <c r="S132" s="279">
        <v>8.5933831368554314E-2</v>
      </c>
      <c r="T132" s="279">
        <v>8.5933831368554314E-2</v>
      </c>
      <c r="U132" s="279">
        <v>8.5933831368554314E-2</v>
      </c>
      <c r="V132" s="279">
        <v>8.5933831368554314E-2</v>
      </c>
      <c r="W132" s="279">
        <v>8.5933831368554314E-2</v>
      </c>
      <c r="X132" s="279">
        <v>8.5933831368554314E-2</v>
      </c>
      <c r="Y132" s="279">
        <v>8.5933831368554314E-2</v>
      </c>
      <c r="Z132" s="279">
        <v>8.5933831368554314E-2</v>
      </c>
      <c r="AA132" s="279">
        <v>8.5933831368554314E-2</v>
      </c>
      <c r="AB132" s="279">
        <v>8.5933831368554314E-2</v>
      </c>
      <c r="AC132" s="279">
        <v>8.5933831368554314E-2</v>
      </c>
      <c r="AD132" s="279">
        <v>8.5933831368554314E-2</v>
      </c>
      <c r="AE132" s="279">
        <v>8.5933831368554314E-2</v>
      </c>
      <c r="AF132" s="279">
        <v>8.5933831368554314E-2</v>
      </c>
      <c r="AG132" s="279">
        <v>8.5933831368554314E-2</v>
      </c>
    </row>
    <row r="133" spans="1:33" x14ac:dyDescent="0.25">
      <c r="A133" s="280" t="s">
        <v>30</v>
      </c>
      <c r="B133" s="280" t="s">
        <v>18</v>
      </c>
      <c r="C133" s="280" t="s">
        <v>115</v>
      </c>
      <c r="D133" s="280" t="s">
        <v>498</v>
      </c>
      <c r="E133" s="280" t="s">
        <v>17</v>
      </c>
      <c r="F133" s="280" t="s">
        <v>499</v>
      </c>
      <c r="G133" s="280">
        <v>0.12890074705283144</v>
      </c>
      <c r="H133" s="280">
        <v>0.12890074705283144</v>
      </c>
      <c r="I133" s="280">
        <v>0.12890074705283144</v>
      </c>
      <c r="J133" s="280">
        <v>0.12890074705283144</v>
      </c>
      <c r="K133" s="280">
        <v>0.12890074705283144</v>
      </c>
      <c r="L133" s="280">
        <v>0.12890074705283144</v>
      </c>
      <c r="M133" s="280">
        <v>0.12890074705283144</v>
      </c>
      <c r="N133" s="280">
        <v>0.12890074705283144</v>
      </c>
      <c r="O133" s="280">
        <v>0.12890074705283144</v>
      </c>
      <c r="P133" s="280">
        <v>0.12890074705283144</v>
      </c>
      <c r="Q133" s="280">
        <v>0.12890074705283144</v>
      </c>
      <c r="R133" s="280">
        <v>0.12890074705283144</v>
      </c>
      <c r="S133" s="280">
        <v>0.12890074705283144</v>
      </c>
      <c r="T133" s="280">
        <v>0.12890074705283144</v>
      </c>
      <c r="U133" s="280">
        <v>0.12890074705283144</v>
      </c>
      <c r="V133" s="280">
        <v>0.12890074705283144</v>
      </c>
      <c r="W133" s="280">
        <v>0.12890074705283144</v>
      </c>
      <c r="X133" s="280">
        <v>0.12890074705283144</v>
      </c>
      <c r="Y133" s="280">
        <v>0.12890074705283144</v>
      </c>
      <c r="Z133" s="280">
        <v>0.12890074705283144</v>
      </c>
      <c r="AA133" s="280">
        <v>0.12890074705283144</v>
      </c>
      <c r="AB133" s="280">
        <v>0.12890074705283144</v>
      </c>
      <c r="AC133" s="280">
        <v>0.12890074705283144</v>
      </c>
      <c r="AD133" s="280">
        <v>0.12890074705283144</v>
      </c>
      <c r="AE133" s="280">
        <v>0.12890074705283144</v>
      </c>
      <c r="AF133" s="280">
        <v>0.12890074705283144</v>
      </c>
      <c r="AG133" s="280">
        <v>0.12890074705283144</v>
      </c>
    </row>
    <row r="134" spans="1:33" x14ac:dyDescent="0.25">
      <c r="A134" s="277" t="s">
        <v>30</v>
      </c>
      <c r="B134" s="277" t="s">
        <v>18</v>
      </c>
      <c r="C134" s="277" t="s">
        <v>115</v>
      </c>
      <c r="D134" s="277" t="s">
        <v>92</v>
      </c>
      <c r="E134" s="277" t="s">
        <v>17</v>
      </c>
      <c r="F134" s="278" t="s">
        <v>277</v>
      </c>
      <c r="G134" s="279">
        <v>2.1053788685295807</v>
      </c>
      <c r="H134" s="279">
        <v>2.1053788685295807</v>
      </c>
      <c r="I134" s="279">
        <v>2.1053788685295807</v>
      </c>
      <c r="J134" s="279">
        <v>2.1053788685295807</v>
      </c>
      <c r="K134" s="279">
        <v>2.1053788685295807</v>
      </c>
      <c r="L134" s="279">
        <v>2.1053788685295807</v>
      </c>
      <c r="M134" s="279">
        <v>2.1053788685295807</v>
      </c>
      <c r="N134" s="279">
        <v>2.1053788685295807</v>
      </c>
      <c r="O134" s="279">
        <v>2.1053788685295807</v>
      </c>
      <c r="P134" s="279">
        <v>2.1053788685295807</v>
      </c>
      <c r="Q134" s="279">
        <v>2.1053788685295807</v>
      </c>
      <c r="R134" s="279">
        <v>2.1053788685295807</v>
      </c>
      <c r="S134" s="279">
        <v>2.1053788685295807</v>
      </c>
      <c r="T134" s="279">
        <v>2.1053788685295807</v>
      </c>
      <c r="U134" s="279">
        <v>2.1053788685295807</v>
      </c>
      <c r="V134" s="279">
        <v>2.1053788685295807</v>
      </c>
      <c r="W134" s="279">
        <v>2.1053788685295807</v>
      </c>
      <c r="X134" s="279">
        <v>2.1053788685295807</v>
      </c>
      <c r="Y134" s="279">
        <v>2.1053788685295807</v>
      </c>
      <c r="Z134" s="279">
        <v>2.1053788685295807</v>
      </c>
      <c r="AA134" s="279">
        <v>2.1053788685295807</v>
      </c>
      <c r="AB134" s="279">
        <v>2.1053788685295807</v>
      </c>
      <c r="AC134" s="279">
        <v>2.1053788685295807</v>
      </c>
      <c r="AD134" s="279">
        <v>2.1053788685295807</v>
      </c>
      <c r="AE134" s="279">
        <v>2.1053788685295807</v>
      </c>
      <c r="AF134" s="279">
        <v>2.1053788685295807</v>
      </c>
      <c r="AG134" s="279">
        <v>2.1053788685295807</v>
      </c>
    </row>
    <row r="135" spans="1:33" x14ac:dyDescent="0.25">
      <c r="A135" s="280" t="s">
        <v>30</v>
      </c>
      <c r="B135" s="280" t="s">
        <v>18</v>
      </c>
      <c r="C135" s="280" t="s">
        <v>115</v>
      </c>
      <c r="D135" s="280" t="s">
        <v>364</v>
      </c>
      <c r="E135" s="280" t="s">
        <v>17</v>
      </c>
      <c r="F135" s="280" t="s">
        <v>365</v>
      </c>
      <c r="G135" s="280">
        <v>0.85933831368554303</v>
      </c>
      <c r="H135" s="280">
        <v>0.85933831368554303</v>
      </c>
      <c r="I135" s="280">
        <v>0.85933831368554303</v>
      </c>
      <c r="J135" s="280">
        <v>0.85933831368554303</v>
      </c>
      <c r="K135" s="280">
        <v>0.85933831368554303</v>
      </c>
      <c r="L135" s="280">
        <v>0.85933831368554303</v>
      </c>
      <c r="M135" s="280">
        <v>0.85933831368554303</v>
      </c>
      <c r="N135" s="280">
        <v>0.85933831368554303</v>
      </c>
      <c r="O135" s="280">
        <v>0.85933831368554303</v>
      </c>
      <c r="P135" s="280">
        <v>0.85933831368554303</v>
      </c>
      <c r="Q135" s="280">
        <v>0.85933831368554303</v>
      </c>
      <c r="R135" s="280">
        <v>0.85933831368554303</v>
      </c>
      <c r="S135" s="280">
        <v>0.85933831368554303</v>
      </c>
      <c r="T135" s="280">
        <v>0.85933831368554303</v>
      </c>
      <c r="U135" s="280">
        <v>0.85933831368554303</v>
      </c>
      <c r="V135" s="280">
        <v>0.85933831368554303</v>
      </c>
      <c r="W135" s="280">
        <v>0.85933831368554303</v>
      </c>
      <c r="X135" s="280">
        <v>0.85933831368554303</v>
      </c>
      <c r="Y135" s="280">
        <v>0.85933831368554303</v>
      </c>
      <c r="Z135" s="280">
        <v>0.85933831368554303</v>
      </c>
      <c r="AA135" s="280">
        <v>0.85933831368554303</v>
      </c>
      <c r="AB135" s="280">
        <v>0.85933831368554303</v>
      </c>
      <c r="AC135" s="280">
        <v>0.85933831368554303</v>
      </c>
      <c r="AD135" s="280">
        <v>0.85933831368554303</v>
      </c>
      <c r="AE135" s="280">
        <v>0.85933831368554303</v>
      </c>
      <c r="AF135" s="280">
        <v>0.85933831368554303</v>
      </c>
      <c r="AG135" s="280">
        <v>0.85933831368554303</v>
      </c>
    </row>
    <row r="136" spans="1:33" x14ac:dyDescent="0.25">
      <c r="A136" s="277" t="s">
        <v>30</v>
      </c>
      <c r="B136" s="277" t="s">
        <v>18</v>
      </c>
      <c r="C136" s="277" t="s">
        <v>115</v>
      </c>
      <c r="D136" s="277" t="s">
        <v>152</v>
      </c>
      <c r="E136" s="277" t="s">
        <v>17</v>
      </c>
      <c r="F136" s="278" t="s">
        <v>153</v>
      </c>
      <c r="G136" s="279">
        <v>4.2966915684277157E-2</v>
      </c>
      <c r="H136" s="279">
        <v>4.2966915684277157E-2</v>
      </c>
      <c r="I136" s="279">
        <v>4.2966915684277157E-2</v>
      </c>
      <c r="J136" s="279">
        <v>4.2966915684277157E-2</v>
      </c>
      <c r="K136" s="279">
        <v>4.2966915684277157E-2</v>
      </c>
      <c r="L136" s="279">
        <v>4.2966915684277157E-2</v>
      </c>
      <c r="M136" s="279">
        <v>4.2966915684277157E-2</v>
      </c>
      <c r="N136" s="279">
        <v>4.2966915684277157E-2</v>
      </c>
      <c r="O136" s="279">
        <v>4.2966915684277157E-2</v>
      </c>
      <c r="P136" s="279">
        <v>4.2966915684277157E-2</v>
      </c>
      <c r="Q136" s="279">
        <v>4.2966915684277157E-2</v>
      </c>
      <c r="R136" s="279">
        <v>4.2966915684277157E-2</v>
      </c>
      <c r="S136" s="279">
        <v>4.2966915684277157E-2</v>
      </c>
      <c r="T136" s="279">
        <v>4.2966915684277157E-2</v>
      </c>
      <c r="U136" s="279">
        <v>4.2966915684277157E-2</v>
      </c>
      <c r="V136" s="279">
        <v>4.2966915684277157E-2</v>
      </c>
      <c r="W136" s="279">
        <v>4.2966915684277157E-2</v>
      </c>
      <c r="X136" s="279">
        <v>4.2966915684277157E-2</v>
      </c>
      <c r="Y136" s="279">
        <v>4.2966915684277157E-2</v>
      </c>
      <c r="Z136" s="279">
        <v>4.2966915684277157E-2</v>
      </c>
      <c r="AA136" s="279">
        <v>4.2966915684277157E-2</v>
      </c>
      <c r="AB136" s="279">
        <v>4.2966915684277157E-2</v>
      </c>
      <c r="AC136" s="279">
        <v>4.2966915684277157E-2</v>
      </c>
      <c r="AD136" s="279">
        <v>4.2966915684277157E-2</v>
      </c>
      <c r="AE136" s="279">
        <v>4.2966915684277157E-2</v>
      </c>
      <c r="AF136" s="279">
        <v>4.2966915684277157E-2</v>
      </c>
      <c r="AG136" s="279">
        <v>4.2966915684277157E-2</v>
      </c>
    </row>
    <row r="137" spans="1:33" x14ac:dyDescent="0.25">
      <c r="A137" s="277" t="s">
        <v>30</v>
      </c>
      <c r="B137" s="277" t="s">
        <v>18</v>
      </c>
      <c r="C137" s="277" t="s">
        <v>115</v>
      </c>
      <c r="D137" s="277" t="s">
        <v>261</v>
      </c>
      <c r="E137" s="277" t="s">
        <v>17</v>
      </c>
      <c r="F137" s="278" t="s">
        <v>262</v>
      </c>
      <c r="G137" s="279">
        <v>2.3631803626352434</v>
      </c>
      <c r="H137" s="279">
        <v>2.3631803626352434</v>
      </c>
      <c r="I137" s="279">
        <v>2.3631803626352434</v>
      </c>
      <c r="J137" s="279">
        <v>2.3631803626352434</v>
      </c>
      <c r="K137" s="279">
        <v>2.3631803626352434</v>
      </c>
      <c r="L137" s="279">
        <v>2.3631803626352434</v>
      </c>
      <c r="M137" s="279">
        <v>2.3631803626352434</v>
      </c>
      <c r="N137" s="279">
        <v>2.3631803626352434</v>
      </c>
      <c r="O137" s="279">
        <v>2.3631803626352434</v>
      </c>
      <c r="P137" s="279">
        <v>2.3631803626352434</v>
      </c>
      <c r="Q137" s="279">
        <v>2.3631803626352434</v>
      </c>
      <c r="R137" s="279">
        <v>2.3631803626352434</v>
      </c>
      <c r="S137" s="279">
        <v>2.3631803626352434</v>
      </c>
      <c r="T137" s="279">
        <v>2.3631803626352434</v>
      </c>
      <c r="U137" s="279">
        <v>2.3631803626352434</v>
      </c>
      <c r="V137" s="279">
        <v>2.3631803626352434</v>
      </c>
      <c r="W137" s="279">
        <v>2.3631803626352434</v>
      </c>
      <c r="X137" s="279">
        <v>2.3631803626352434</v>
      </c>
      <c r="Y137" s="279">
        <v>2.3631803626352434</v>
      </c>
      <c r="Z137" s="279">
        <v>2.3631803626352434</v>
      </c>
      <c r="AA137" s="279">
        <v>2.3631803626352434</v>
      </c>
      <c r="AB137" s="279">
        <v>2.3631803626352434</v>
      </c>
      <c r="AC137" s="279">
        <v>2.3631803626352434</v>
      </c>
      <c r="AD137" s="279">
        <v>2.3631803626352434</v>
      </c>
      <c r="AE137" s="279">
        <v>2.3631803626352434</v>
      </c>
      <c r="AF137" s="279">
        <v>2.3631803626352434</v>
      </c>
      <c r="AG137" s="279">
        <v>2.3631803626352434</v>
      </c>
    </row>
    <row r="138" spans="1:33" x14ac:dyDescent="0.25">
      <c r="A138" s="277" t="s">
        <v>30</v>
      </c>
      <c r="B138" s="277" t="s">
        <v>18</v>
      </c>
      <c r="C138" s="277" t="s">
        <v>115</v>
      </c>
      <c r="D138" s="277" t="s">
        <v>287</v>
      </c>
      <c r="E138" s="277" t="s">
        <v>17</v>
      </c>
      <c r="F138" s="278" t="s">
        <v>288</v>
      </c>
      <c r="G138" s="279">
        <v>5.6286659546403079</v>
      </c>
      <c r="H138" s="279">
        <v>5.6286659546403079</v>
      </c>
      <c r="I138" s="279">
        <v>5.6286659546403079</v>
      </c>
      <c r="J138" s="279">
        <v>5.6286659546403079</v>
      </c>
      <c r="K138" s="279">
        <v>5.6286659546403079</v>
      </c>
      <c r="L138" s="279">
        <v>5.6286659546403079</v>
      </c>
      <c r="M138" s="279">
        <v>5.6286659546403079</v>
      </c>
      <c r="N138" s="279">
        <v>5.6286659546403079</v>
      </c>
      <c r="O138" s="279">
        <v>5.6286659546403079</v>
      </c>
      <c r="P138" s="279">
        <v>5.6286659546403079</v>
      </c>
      <c r="Q138" s="279">
        <v>5.6286659546403079</v>
      </c>
      <c r="R138" s="279">
        <v>5.6286659546403079</v>
      </c>
      <c r="S138" s="279">
        <v>5.6286659546403079</v>
      </c>
      <c r="T138" s="279">
        <v>5.6286659546403079</v>
      </c>
      <c r="U138" s="279">
        <v>5.6286659546403079</v>
      </c>
      <c r="V138" s="279">
        <v>5.6286659546403079</v>
      </c>
      <c r="W138" s="279">
        <v>5.6286659546403079</v>
      </c>
      <c r="X138" s="279">
        <v>5.6286659546403079</v>
      </c>
      <c r="Y138" s="279">
        <v>5.6286659546403079</v>
      </c>
      <c r="Z138" s="279">
        <v>5.6286659546403079</v>
      </c>
      <c r="AA138" s="279">
        <v>5.6286659546403079</v>
      </c>
      <c r="AB138" s="279">
        <v>5.6286659546403079</v>
      </c>
      <c r="AC138" s="279">
        <v>5.6286659546403079</v>
      </c>
      <c r="AD138" s="279">
        <v>5.6286659546403079</v>
      </c>
      <c r="AE138" s="279">
        <v>5.6286659546403079</v>
      </c>
      <c r="AF138" s="279">
        <v>5.6286659546403079</v>
      </c>
      <c r="AG138" s="279">
        <v>5.6286659546403079</v>
      </c>
    </row>
    <row r="139" spans="1:33" x14ac:dyDescent="0.25">
      <c r="A139" s="280" t="s">
        <v>30</v>
      </c>
      <c r="B139" s="280" t="s">
        <v>18</v>
      </c>
      <c r="C139" s="280" t="s">
        <v>115</v>
      </c>
      <c r="D139" s="280" t="s">
        <v>475</v>
      </c>
      <c r="E139" s="280" t="s">
        <v>17</v>
      </c>
      <c r="F139" s="280" t="s">
        <v>476</v>
      </c>
      <c r="G139" s="280">
        <v>1.2245570970018991</v>
      </c>
      <c r="H139" s="280">
        <v>1.2245570970018991</v>
      </c>
      <c r="I139" s="280">
        <v>1.2245570970018991</v>
      </c>
      <c r="J139" s="280">
        <v>1.2245570970018991</v>
      </c>
      <c r="K139" s="280">
        <v>1.2245570970018991</v>
      </c>
      <c r="L139" s="280">
        <v>1.2245570970018991</v>
      </c>
      <c r="M139" s="280">
        <v>1.2245570970018991</v>
      </c>
      <c r="N139" s="280">
        <v>1.2245570970018991</v>
      </c>
      <c r="O139" s="280">
        <v>1.2245570970018991</v>
      </c>
      <c r="P139" s="280">
        <v>1.2245570970018991</v>
      </c>
      <c r="Q139" s="280">
        <v>1.2245570970018991</v>
      </c>
      <c r="R139" s="280">
        <v>1.2245570970018991</v>
      </c>
      <c r="S139" s="280">
        <v>1.2245570970018991</v>
      </c>
      <c r="T139" s="280">
        <v>1.2245570970018991</v>
      </c>
      <c r="U139" s="280">
        <v>1.2245570970018991</v>
      </c>
      <c r="V139" s="280">
        <v>1.2245570970018991</v>
      </c>
      <c r="W139" s="280">
        <v>1.2245570970018991</v>
      </c>
      <c r="X139" s="280">
        <v>1.2245570970018991</v>
      </c>
      <c r="Y139" s="280">
        <v>1.2245570970018991</v>
      </c>
      <c r="Z139" s="280">
        <v>1.2245570970018991</v>
      </c>
      <c r="AA139" s="280">
        <v>1.2245570970018991</v>
      </c>
      <c r="AB139" s="280">
        <v>1.2245570970018991</v>
      </c>
      <c r="AC139" s="280">
        <v>1.2245570970018991</v>
      </c>
      <c r="AD139" s="280">
        <v>1.2245570970018991</v>
      </c>
      <c r="AE139" s="280">
        <v>1.2245570970018991</v>
      </c>
      <c r="AF139" s="280">
        <v>1.2245570970018991</v>
      </c>
      <c r="AG139" s="280">
        <v>1.2245570970018991</v>
      </c>
    </row>
    <row r="140" spans="1:33" x14ac:dyDescent="0.25">
      <c r="A140" s="277" t="s">
        <v>30</v>
      </c>
      <c r="B140" s="277" t="s">
        <v>18</v>
      </c>
      <c r="C140" s="277" t="s">
        <v>115</v>
      </c>
      <c r="D140" s="277" t="s">
        <v>187</v>
      </c>
      <c r="E140" s="277" t="s">
        <v>17</v>
      </c>
      <c r="F140" s="278" t="s">
        <v>188</v>
      </c>
      <c r="G140" s="279">
        <v>0.55856990389560301</v>
      </c>
      <c r="H140" s="279">
        <v>0.55856990389560301</v>
      </c>
      <c r="I140" s="279">
        <v>0.55856990389560301</v>
      </c>
      <c r="J140" s="279">
        <v>0.55856990389560301</v>
      </c>
      <c r="K140" s="279">
        <v>0.55856990389560301</v>
      </c>
      <c r="L140" s="279">
        <v>0.55856990389560301</v>
      </c>
      <c r="M140" s="279">
        <v>0.55856990389560301</v>
      </c>
      <c r="N140" s="279">
        <v>0.55856990389560301</v>
      </c>
      <c r="O140" s="279">
        <v>0.55856990389560301</v>
      </c>
      <c r="P140" s="279">
        <v>0.55856990389560301</v>
      </c>
      <c r="Q140" s="279">
        <v>0.55856990389560301</v>
      </c>
      <c r="R140" s="279">
        <v>0.55856990389560301</v>
      </c>
      <c r="S140" s="279">
        <v>0.55856990389560301</v>
      </c>
      <c r="T140" s="279">
        <v>0.55856990389560301</v>
      </c>
      <c r="U140" s="279">
        <v>0.55856990389560301</v>
      </c>
      <c r="V140" s="279">
        <v>0.55856990389560301</v>
      </c>
      <c r="W140" s="279">
        <v>0.55856990389560301</v>
      </c>
      <c r="X140" s="279">
        <v>0.55856990389560301</v>
      </c>
      <c r="Y140" s="279">
        <v>0.55856990389560301</v>
      </c>
      <c r="Z140" s="279">
        <v>0.55856990389560301</v>
      </c>
      <c r="AA140" s="279">
        <v>0.55856990389560301</v>
      </c>
      <c r="AB140" s="279">
        <v>0.55856990389560301</v>
      </c>
      <c r="AC140" s="279">
        <v>0.55856990389560301</v>
      </c>
      <c r="AD140" s="279">
        <v>0.55856990389560301</v>
      </c>
      <c r="AE140" s="279">
        <v>0.55856990389560301</v>
      </c>
      <c r="AF140" s="279">
        <v>0.55856990389560301</v>
      </c>
      <c r="AG140" s="279">
        <v>0.55856990389560301</v>
      </c>
    </row>
    <row r="141" spans="1:33" x14ac:dyDescent="0.25">
      <c r="A141" s="280" t="s">
        <v>30</v>
      </c>
      <c r="B141" s="280" t="s">
        <v>18</v>
      </c>
      <c r="C141" s="280" t="s">
        <v>115</v>
      </c>
      <c r="D141" s="280" t="s">
        <v>446</v>
      </c>
      <c r="E141" s="280" t="s">
        <v>17</v>
      </c>
      <c r="F141" s="280" t="s">
        <v>447</v>
      </c>
      <c r="G141" s="280">
        <v>0.88082177152768171</v>
      </c>
      <c r="H141" s="280">
        <v>0.88082177152768171</v>
      </c>
      <c r="I141" s="280">
        <v>0.88082177152768171</v>
      </c>
      <c r="J141" s="280">
        <v>0.88082177152768171</v>
      </c>
      <c r="K141" s="280">
        <v>0.88082177152768171</v>
      </c>
      <c r="L141" s="280">
        <v>0.88082177152768171</v>
      </c>
      <c r="M141" s="280">
        <v>0.88082177152768171</v>
      </c>
      <c r="N141" s="280">
        <v>0.88082177152768171</v>
      </c>
      <c r="O141" s="280">
        <v>0.88082177152768171</v>
      </c>
      <c r="P141" s="280">
        <v>0.88082177152768171</v>
      </c>
      <c r="Q141" s="280">
        <v>0.88082177152768171</v>
      </c>
      <c r="R141" s="280">
        <v>0.88082177152768171</v>
      </c>
      <c r="S141" s="280">
        <v>0.88082177152768171</v>
      </c>
      <c r="T141" s="280">
        <v>0.88082177152768171</v>
      </c>
      <c r="U141" s="280">
        <v>0.88082177152768171</v>
      </c>
      <c r="V141" s="280">
        <v>0.88082177152768171</v>
      </c>
      <c r="W141" s="280">
        <v>0.88082177152768171</v>
      </c>
      <c r="X141" s="280">
        <v>0.88082177152768171</v>
      </c>
      <c r="Y141" s="280">
        <v>0.88082177152768171</v>
      </c>
      <c r="Z141" s="280">
        <v>0.88082177152768171</v>
      </c>
      <c r="AA141" s="280">
        <v>0.88082177152768171</v>
      </c>
      <c r="AB141" s="280">
        <v>0.88082177152768171</v>
      </c>
      <c r="AC141" s="280">
        <v>0.88082177152768171</v>
      </c>
      <c r="AD141" s="280">
        <v>0.88082177152768171</v>
      </c>
      <c r="AE141" s="280">
        <v>0.88082177152768171</v>
      </c>
      <c r="AF141" s="280">
        <v>0.88082177152768171</v>
      </c>
      <c r="AG141" s="280">
        <v>0.88082177152768171</v>
      </c>
    </row>
    <row r="142" spans="1:33" x14ac:dyDescent="0.25">
      <c r="A142" s="277" t="s">
        <v>30</v>
      </c>
      <c r="B142" s="277" t="s">
        <v>18</v>
      </c>
      <c r="C142" s="277" t="s">
        <v>115</v>
      </c>
      <c r="D142" s="277" t="s">
        <v>253</v>
      </c>
      <c r="E142" s="277" t="s">
        <v>17</v>
      </c>
      <c r="F142" s="278" t="s">
        <v>254</v>
      </c>
      <c r="G142" s="279">
        <v>1.2460405548440374</v>
      </c>
      <c r="H142" s="279">
        <v>1.2460405548440374</v>
      </c>
      <c r="I142" s="279">
        <v>1.2460405548440374</v>
      </c>
      <c r="J142" s="279">
        <v>1.2460405548440374</v>
      </c>
      <c r="K142" s="279">
        <v>1.2460405548440374</v>
      </c>
      <c r="L142" s="279">
        <v>1.2460405548440374</v>
      </c>
      <c r="M142" s="279">
        <v>1.2460405548440374</v>
      </c>
      <c r="N142" s="279">
        <v>1.2460405548440374</v>
      </c>
      <c r="O142" s="279">
        <v>1.2460405548440374</v>
      </c>
      <c r="P142" s="279">
        <v>1.2460405548440374</v>
      </c>
      <c r="Q142" s="279">
        <v>1.2460405548440374</v>
      </c>
      <c r="R142" s="279">
        <v>1.2460405548440374</v>
      </c>
      <c r="S142" s="279">
        <v>1.2460405548440374</v>
      </c>
      <c r="T142" s="279">
        <v>1.2460405548440374</v>
      </c>
      <c r="U142" s="279">
        <v>1.2460405548440374</v>
      </c>
      <c r="V142" s="279">
        <v>1.2460405548440374</v>
      </c>
      <c r="W142" s="279">
        <v>1.2460405548440374</v>
      </c>
      <c r="X142" s="279">
        <v>1.2460405548440374</v>
      </c>
      <c r="Y142" s="279">
        <v>1.2460405548440374</v>
      </c>
      <c r="Z142" s="279">
        <v>1.2460405548440374</v>
      </c>
      <c r="AA142" s="279">
        <v>1.2460405548440374</v>
      </c>
      <c r="AB142" s="279">
        <v>1.2460405548440374</v>
      </c>
      <c r="AC142" s="279">
        <v>1.2460405548440374</v>
      </c>
      <c r="AD142" s="279">
        <v>1.2460405548440374</v>
      </c>
      <c r="AE142" s="279">
        <v>1.2460405548440374</v>
      </c>
      <c r="AF142" s="279">
        <v>1.2460405548440374</v>
      </c>
      <c r="AG142" s="279">
        <v>1.2460405548440374</v>
      </c>
    </row>
    <row r="143" spans="1:33" x14ac:dyDescent="0.25">
      <c r="A143" s="280" t="s">
        <v>30</v>
      </c>
      <c r="B143" s="280" t="s">
        <v>18</v>
      </c>
      <c r="C143" s="280" t="s">
        <v>115</v>
      </c>
      <c r="D143" s="280" t="s">
        <v>379</v>
      </c>
      <c r="E143" s="280" t="s">
        <v>17</v>
      </c>
      <c r="F143" s="280" t="s">
        <v>380</v>
      </c>
      <c r="G143" s="280">
        <v>14.415400212074987</v>
      </c>
      <c r="H143" s="280">
        <v>14.415400212074987</v>
      </c>
      <c r="I143" s="280">
        <v>14.415400212074987</v>
      </c>
      <c r="J143" s="280">
        <v>14.415400212074987</v>
      </c>
      <c r="K143" s="280">
        <v>14.415400212074987</v>
      </c>
      <c r="L143" s="280">
        <v>14.415400212074987</v>
      </c>
      <c r="M143" s="280">
        <v>14.415400212074987</v>
      </c>
      <c r="N143" s="280">
        <v>14.415400212074987</v>
      </c>
      <c r="O143" s="280">
        <v>14.415400212074987</v>
      </c>
      <c r="P143" s="280">
        <v>14.415400212074987</v>
      </c>
      <c r="Q143" s="280">
        <v>14.415400212074987</v>
      </c>
      <c r="R143" s="280">
        <v>14.415400212074987</v>
      </c>
      <c r="S143" s="280">
        <v>14.415400212074987</v>
      </c>
      <c r="T143" s="280">
        <v>14.415400212074987</v>
      </c>
      <c r="U143" s="280">
        <v>14.415400212074987</v>
      </c>
      <c r="V143" s="280">
        <v>14.415400212074987</v>
      </c>
      <c r="W143" s="280">
        <v>14.415400212074987</v>
      </c>
      <c r="X143" s="280">
        <v>14.415400212074987</v>
      </c>
      <c r="Y143" s="280">
        <v>14.415400212074987</v>
      </c>
      <c r="Z143" s="280">
        <v>14.415400212074987</v>
      </c>
      <c r="AA143" s="280">
        <v>14.415400212074987</v>
      </c>
      <c r="AB143" s="280">
        <v>14.415400212074987</v>
      </c>
      <c r="AC143" s="280">
        <v>14.415400212074987</v>
      </c>
      <c r="AD143" s="280">
        <v>14.415400212074987</v>
      </c>
      <c r="AE143" s="280">
        <v>14.415400212074987</v>
      </c>
      <c r="AF143" s="280">
        <v>14.415400212074987</v>
      </c>
      <c r="AG143" s="280">
        <v>14.415400212074987</v>
      </c>
    </row>
    <row r="144" spans="1:33" x14ac:dyDescent="0.25">
      <c r="A144" s="280" t="s">
        <v>30</v>
      </c>
      <c r="B144" s="280" t="s">
        <v>18</v>
      </c>
      <c r="C144" s="280" t="s">
        <v>115</v>
      </c>
      <c r="D144" s="280" t="s">
        <v>381</v>
      </c>
      <c r="E144" s="280" t="s">
        <v>17</v>
      </c>
      <c r="F144" s="280" t="s">
        <v>382</v>
      </c>
      <c r="G144" s="280">
        <v>0.15038420489497004</v>
      </c>
      <c r="H144" s="280">
        <v>0.15038420489497004</v>
      </c>
      <c r="I144" s="280">
        <v>0.15038420489497004</v>
      </c>
      <c r="J144" s="280">
        <v>0.15038420489497004</v>
      </c>
      <c r="K144" s="280">
        <v>0.15038420489497004</v>
      </c>
      <c r="L144" s="280">
        <v>0.15038420489497004</v>
      </c>
      <c r="M144" s="280">
        <v>0.15038420489497004</v>
      </c>
      <c r="N144" s="280">
        <v>0.15038420489497004</v>
      </c>
      <c r="O144" s="280">
        <v>0.15038420489497004</v>
      </c>
      <c r="P144" s="280">
        <v>0.15038420489497004</v>
      </c>
      <c r="Q144" s="280">
        <v>0.15038420489497004</v>
      </c>
      <c r="R144" s="280">
        <v>0.15038420489497004</v>
      </c>
      <c r="S144" s="280">
        <v>0.15038420489497004</v>
      </c>
      <c r="T144" s="280">
        <v>0.15038420489497004</v>
      </c>
      <c r="U144" s="280">
        <v>0.15038420489497004</v>
      </c>
      <c r="V144" s="280">
        <v>0.15038420489497004</v>
      </c>
      <c r="W144" s="280">
        <v>0.15038420489497004</v>
      </c>
      <c r="X144" s="280">
        <v>0.15038420489497004</v>
      </c>
      <c r="Y144" s="280">
        <v>0.15038420489497004</v>
      </c>
      <c r="Z144" s="280">
        <v>0.15038420489497004</v>
      </c>
      <c r="AA144" s="280">
        <v>0.15038420489497004</v>
      </c>
      <c r="AB144" s="280">
        <v>0.15038420489497004</v>
      </c>
      <c r="AC144" s="280">
        <v>0.15038420489497004</v>
      </c>
      <c r="AD144" s="280">
        <v>0.15038420489497004</v>
      </c>
      <c r="AE144" s="280">
        <v>0.15038420489497004</v>
      </c>
      <c r="AF144" s="280">
        <v>0.15038420489497004</v>
      </c>
      <c r="AG144" s="280">
        <v>0.15038420489497004</v>
      </c>
    </row>
    <row r="145" spans="1:33" x14ac:dyDescent="0.25">
      <c r="A145" s="280" t="s">
        <v>30</v>
      </c>
      <c r="B145" s="280" t="s">
        <v>18</v>
      </c>
      <c r="C145" s="280" t="s">
        <v>115</v>
      </c>
      <c r="D145" s="280" t="s">
        <v>426</v>
      </c>
      <c r="E145" s="280" t="s">
        <v>17</v>
      </c>
      <c r="F145" s="280" t="s">
        <v>427</v>
      </c>
      <c r="G145" s="280">
        <v>0.62302027742201871</v>
      </c>
      <c r="H145" s="280">
        <v>0.62302027742201871</v>
      </c>
      <c r="I145" s="280">
        <v>0.62302027742201871</v>
      </c>
      <c r="J145" s="280">
        <v>0.62302027742201871</v>
      </c>
      <c r="K145" s="280">
        <v>0.62302027742201871</v>
      </c>
      <c r="L145" s="280">
        <v>0.62302027742201871</v>
      </c>
      <c r="M145" s="280">
        <v>0.62302027742201871</v>
      </c>
      <c r="N145" s="280">
        <v>0.62302027742201871</v>
      </c>
      <c r="O145" s="280">
        <v>0.62302027742201871</v>
      </c>
      <c r="P145" s="280">
        <v>0.62302027742201871</v>
      </c>
      <c r="Q145" s="280">
        <v>0.62302027742201871</v>
      </c>
      <c r="R145" s="280">
        <v>0.62302027742201871</v>
      </c>
      <c r="S145" s="280">
        <v>0.62302027742201871</v>
      </c>
      <c r="T145" s="280">
        <v>0.62302027742201871</v>
      </c>
      <c r="U145" s="280">
        <v>0.62302027742201871</v>
      </c>
      <c r="V145" s="280">
        <v>0.62302027742201871</v>
      </c>
      <c r="W145" s="280">
        <v>0.62302027742201871</v>
      </c>
      <c r="X145" s="280">
        <v>0.62302027742201871</v>
      </c>
      <c r="Y145" s="280">
        <v>0.62302027742201871</v>
      </c>
      <c r="Z145" s="280">
        <v>0.62302027742201871</v>
      </c>
      <c r="AA145" s="280">
        <v>0.62302027742201871</v>
      </c>
      <c r="AB145" s="280">
        <v>0.62302027742201871</v>
      </c>
      <c r="AC145" s="280">
        <v>0.62302027742201871</v>
      </c>
      <c r="AD145" s="280">
        <v>0.62302027742201871</v>
      </c>
      <c r="AE145" s="280">
        <v>0.62302027742201871</v>
      </c>
      <c r="AF145" s="280">
        <v>0.62302027742201871</v>
      </c>
      <c r="AG145" s="280">
        <v>0.62302027742201871</v>
      </c>
    </row>
    <row r="146" spans="1:33" x14ac:dyDescent="0.25">
      <c r="A146" s="277" t="s">
        <v>30</v>
      </c>
      <c r="B146" s="277" t="s">
        <v>18</v>
      </c>
      <c r="C146" s="277" t="s">
        <v>115</v>
      </c>
      <c r="D146" s="277" t="s">
        <v>309</v>
      </c>
      <c r="E146" s="277" t="s">
        <v>17</v>
      </c>
      <c r="F146" s="278" t="s">
        <v>310</v>
      </c>
      <c r="G146" s="279">
        <v>2.7713660616358768</v>
      </c>
      <c r="H146" s="279">
        <v>2.7713660616358768</v>
      </c>
      <c r="I146" s="279">
        <v>2.7713660616358768</v>
      </c>
      <c r="J146" s="279">
        <v>2.7713660616358768</v>
      </c>
      <c r="K146" s="279">
        <v>2.7713660616358768</v>
      </c>
      <c r="L146" s="279">
        <v>2.7713660616358768</v>
      </c>
      <c r="M146" s="279">
        <v>2.7713660616358768</v>
      </c>
      <c r="N146" s="279">
        <v>2.7713660616358768</v>
      </c>
      <c r="O146" s="279">
        <v>2.7713660616358768</v>
      </c>
      <c r="P146" s="279">
        <v>2.7713660616358768</v>
      </c>
      <c r="Q146" s="279">
        <v>2.7713660616358768</v>
      </c>
      <c r="R146" s="279">
        <v>2.7713660616358768</v>
      </c>
      <c r="S146" s="279">
        <v>2.7713660616358768</v>
      </c>
      <c r="T146" s="279">
        <v>2.7713660616358768</v>
      </c>
      <c r="U146" s="279">
        <v>2.7713660616358768</v>
      </c>
      <c r="V146" s="279">
        <v>2.7713660616358768</v>
      </c>
      <c r="W146" s="279">
        <v>2.7713660616358768</v>
      </c>
      <c r="X146" s="279">
        <v>2.7713660616358768</v>
      </c>
      <c r="Y146" s="279">
        <v>2.7713660616358768</v>
      </c>
      <c r="Z146" s="279">
        <v>2.7713660616358768</v>
      </c>
      <c r="AA146" s="279">
        <v>2.7713660616358768</v>
      </c>
      <c r="AB146" s="279">
        <v>2.7713660616358768</v>
      </c>
      <c r="AC146" s="279">
        <v>2.7713660616358768</v>
      </c>
      <c r="AD146" s="279">
        <v>2.7713660616358768</v>
      </c>
      <c r="AE146" s="279">
        <v>2.7713660616358768</v>
      </c>
      <c r="AF146" s="279">
        <v>2.7713660616358768</v>
      </c>
      <c r="AG146" s="279">
        <v>2.7713660616358768</v>
      </c>
    </row>
    <row r="147" spans="1:33" x14ac:dyDescent="0.25">
      <c r="A147" s="280" t="s">
        <v>30</v>
      </c>
      <c r="B147" s="280" t="s">
        <v>18</v>
      </c>
      <c r="C147" s="280" t="s">
        <v>115</v>
      </c>
      <c r="D147" s="280" t="s">
        <v>448</v>
      </c>
      <c r="E147" s="280" t="s">
        <v>17</v>
      </c>
      <c r="F147" s="280" t="s">
        <v>449</v>
      </c>
      <c r="G147" s="280">
        <v>0.21483457842138576</v>
      </c>
      <c r="H147" s="280">
        <v>0.21483457842138576</v>
      </c>
      <c r="I147" s="280">
        <v>0.21483457842138576</v>
      </c>
      <c r="J147" s="280">
        <v>0.21483457842138576</v>
      </c>
      <c r="K147" s="280">
        <v>0.21483457842138576</v>
      </c>
      <c r="L147" s="280">
        <v>0.21483457842138576</v>
      </c>
      <c r="M147" s="280">
        <v>0.21483457842138576</v>
      </c>
      <c r="N147" s="280">
        <v>0.21483457842138576</v>
      </c>
      <c r="O147" s="280">
        <v>0.21483457842138576</v>
      </c>
      <c r="P147" s="280">
        <v>0.21483457842138576</v>
      </c>
      <c r="Q147" s="280">
        <v>0.21483457842138576</v>
      </c>
      <c r="R147" s="280">
        <v>0.21483457842138576</v>
      </c>
      <c r="S147" s="280">
        <v>0.21483457842138576</v>
      </c>
      <c r="T147" s="280">
        <v>0.21483457842138576</v>
      </c>
      <c r="U147" s="280">
        <v>0.21483457842138576</v>
      </c>
      <c r="V147" s="280">
        <v>0.21483457842138576</v>
      </c>
      <c r="W147" s="280">
        <v>0.21483457842138576</v>
      </c>
      <c r="X147" s="280">
        <v>0.21483457842138576</v>
      </c>
      <c r="Y147" s="280">
        <v>0.21483457842138576</v>
      </c>
      <c r="Z147" s="280">
        <v>0.21483457842138576</v>
      </c>
      <c r="AA147" s="280">
        <v>0.21483457842138576</v>
      </c>
      <c r="AB147" s="280">
        <v>0.21483457842138576</v>
      </c>
      <c r="AC147" s="280">
        <v>0.21483457842138576</v>
      </c>
      <c r="AD147" s="280">
        <v>0.21483457842138576</v>
      </c>
      <c r="AE147" s="280">
        <v>0.21483457842138576</v>
      </c>
      <c r="AF147" s="280">
        <v>0.21483457842138576</v>
      </c>
      <c r="AG147" s="280">
        <v>0.21483457842138576</v>
      </c>
    </row>
    <row r="148" spans="1:33" x14ac:dyDescent="0.25">
      <c r="A148" s="277" t="s">
        <v>30</v>
      </c>
      <c r="B148" s="277" t="s">
        <v>18</v>
      </c>
      <c r="C148" s="277" t="s">
        <v>115</v>
      </c>
      <c r="D148" s="277" t="s">
        <v>297</v>
      </c>
      <c r="E148" s="277" t="s">
        <v>17</v>
      </c>
      <c r="F148" s="278" t="s">
        <v>298</v>
      </c>
      <c r="G148" s="279">
        <v>10.290576306384379</v>
      </c>
      <c r="H148" s="279">
        <v>10.290576306384379</v>
      </c>
      <c r="I148" s="279">
        <v>10.290576306384379</v>
      </c>
      <c r="J148" s="279">
        <v>10.290576306384379</v>
      </c>
      <c r="K148" s="279">
        <v>10.290576306384379</v>
      </c>
      <c r="L148" s="279">
        <v>10.290576306384379</v>
      </c>
      <c r="M148" s="279">
        <v>10.290576306384379</v>
      </c>
      <c r="N148" s="279">
        <v>10.290576306384379</v>
      </c>
      <c r="O148" s="279">
        <v>10.290576306384379</v>
      </c>
      <c r="P148" s="279">
        <v>10.290576306384379</v>
      </c>
      <c r="Q148" s="279">
        <v>10.290576306384379</v>
      </c>
      <c r="R148" s="279">
        <v>10.290576306384379</v>
      </c>
      <c r="S148" s="279">
        <v>10.290576306384379</v>
      </c>
      <c r="T148" s="279">
        <v>10.290576306384379</v>
      </c>
      <c r="U148" s="279">
        <v>10.290576306384379</v>
      </c>
      <c r="V148" s="279">
        <v>10.290576306384379</v>
      </c>
      <c r="W148" s="279">
        <v>10.290576306384379</v>
      </c>
      <c r="X148" s="279">
        <v>10.290576306384379</v>
      </c>
      <c r="Y148" s="279">
        <v>10.290576306384379</v>
      </c>
      <c r="Z148" s="279">
        <v>10.290576306384379</v>
      </c>
      <c r="AA148" s="279">
        <v>10.290576306384379</v>
      </c>
      <c r="AB148" s="279">
        <v>10.290576306384379</v>
      </c>
      <c r="AC148" s="279">
        <v>10.290576306384379</v>
      </c>
      <c r="AD148" s="279">
        <v>10.290576306384379</v>
      </c>
      <c r="AE148" s="279">
        <v>10.290576306384379</v>
      </c>
      <c r="AF148" s="279">
        <v>10.290576306384379</v>
      </c>
      <c r="AG148" s="279">
        <v>10.290576306384379</v>
      </c>
    </row>
    <row r="149" spans="1:33" x14ac:dyDescent="0.25">
      <c r="A149" s="280" t="s">
        <v>30</v>
      </c>
      <c r="B149" s="280" t="s">
        <v>18</v>
      </c>
      <c r="C149" s="280" t="s">
        <v>115</v>
      </c>
      <c r="D149" s="280" t="s">
        <v>397</v>
      </c>
      <c r="E149" s="280" t="s">
        <v>17</v>
      </c>
      <c r="F149" s="280" t="s">
        <v>398</v>
      </c>
      <c r="G149" s="280">
        <v>0.83785485584340436</v>
      </c>
      <c r="H149" s="280">
        <v>0.83785485584340436</v>
      </c>
      <c r="I149" s="280">
        <v>0.83785485584340436</v>
      </c>
      <c r="J149" s="280">
        <v>0.83785485584340436</v>
      </c>
      <c r="K149" s="280">
        <v>0.83785485584340436</v>
      </c>
      <c r="L149" s="280">
        <v>0.83785485584340436</v>
      </c>
      <c r="M149" s="280">
        <v>0.83785485584340436</v>
      </c>
      <c r="N149" s="280">
        <v>0.83785485584340436</v>
      </c>
      <c r="O149" s="280">
        <v>0.83785485584340436</v>
      </c>
      <c r="P149" s="280">
        <v>0.83785485584340436</v>
      </c>
      <c r="Q149" s="280">
        <v>0.83785485584340436</v>
      </c>
      <c r="R149" s="280">
        <v>0.83785485584340436</v>
      </c>
      <c r="S149" s="280">
        <v>0.83785485584340436</v>
      </c>
      <c r="T149" s="280">
        <v>0.83785485584340436</v>
      </c>
      <c r="U149" s="280">
        <v>0.83785485584340436</v>
      </c>
      <c r="V149" s="280">
        <v>0.83785485584340436</v>
      </c>
      <c r="W149" s="280">
        <v>0.83785485584340436</v>
      </c>
      <c r="X149" s="280">
        <v>0.83785485584340436</v>
      </c>
      <c r="Y149" s="280">
        <v>0.83785485584340436</v>
      </c>
      <c r="Z149" s="280">
        <v>0.83785485584340436</v>
      </c>
      <c r="AA149" s="280">
        <v>0.83785485584340436</v>
      </c>
      <c r="AB149" s="280">
        <v>0.83785485584340436</v>
      </c>
      <c r="AC149" s="280">
        <v>0.83785485584340436</v>
      </c>
      <c r="AD149" s="280">
        <v>0.83785485584340436</v>
      </c>
      <c r="AE149" s="280">
        <v>0.83785485584340436</v>
      </c>
      <c r="AF149" s="280">
        <v>0.83785485584340436</v>
      </c>
      <c r="AG149" s="280">
        <v>0.83785485584340436</v>
      </c>
    </row>
    <row r="150" spans="1:33" x14ac:dyDescent="0.25">
      <c r="A150" s="277" t="s">
        <v>30</v>
      </c>
      <c r="B150" s="277" t="s">
        <v>18</v>
      </c>
      <c r="C150" s="277" t="s">
        <v>115</v>
      </c>
      <c r="D150" s="277" t="s">
        <v>49</v>
      </c>
      <c r="E150" s="277" t="s">
        <v>17</v>
      </c>
      <c r="F150" s="278" t="s">
        <v>226</v>
      </c>
      <c r="G150" s="279">
        <v>22.21389540877129</v>
      </c>
      <c r="H150" s="279">
        <v>22.21389540877129</v>
      </c>
      <c r="I150" s="279">
        <v>22.21389540877129</v>
      </c>
      <c r="J150" s="279">
        <v>22.21389540877129</v>
      </c>
      <c r="K150" s="279">
        <v>22.21389540877129</v>
      </c>
      <c r="L150" s="279">
        <v>22.21389540877129</v>
      </c>
      <c r="M150" s="279">
        <v>22.21389540877129</v>
      </c>
      <c r="N150" s="279">
        <v>22.21389540877129</v>
      </c>
      <c r="O150" s="279">
        <v>22.21389540877129</v>
      </c>
      <c r="P150" s="279">
        <v>22.21389540877129</v>
      </c>
      <c r="Q150" s="279">
        <v>22.21389540877129</v>
      </c>
      <c r="R150" s="279">
        <v>22.21389540877129</v>
      </c>
      <c r="S150" s="279">
        <v>22.21389540877129</v>
      </c>
      <c r="T150" s="279">
        <v>22.21389540877129</v>
      </c>
      <c r="U150" s="279">
        <v>22.21389540877129</v>
      </c>
      <c r="V150" s="279">
        <v>22.21389540877129</v>
      </c>
      <c r="W150" s="279">
        <v>22.21389540877129</v>
      </c>
      <c r="X150" s="279">
        <v>22.21389540877129</v>
      </c>
      <c r="Y150" s="279">
        <v>22.21389540877129</v>
      </c>
      <c r="Z150" s="279">
        <v>22.21389540877129</v>
      </c>
      <c r="AA150" s="279">
        <v>22.21389540877129</v>
      </c>
      <c r="AB150" s="279">
        <v>22.21389540877129</v>
      </c>
      <c r="AC150" s="279">
        <v>22.21389540877129</v>
      </c>
      <c r="AD150" s="279">
        <v>22.21389540877129</v>
      </c>
      <c r="AE150" s="279">
        <v>22.21389540877129</v>
      </c>
      <c r="AF150" s="279">
        <v>22.21389540877129</v>
      </c>
      <c r="AG150" s="279">
        <v>22.21389540877129</v>
      </c>
    </row>
    <row r="151" spans="1:33" x14ac:dyDescent="0.25">
      <c r="A151" s="280" t="s">
        <v>30</v>
      </c>
      <c r="B151" s="280" t="s">
        <v>18</v>
      </c>
      <c r="C151" s="280" t="s">
        <v>115</v>
      </c>
      <c r="D151" s="280" t="s">
        <v>419</v>
      </c>
      <c r="E151" s="280" t="s">
        <v>17</v>
      </c>
      <c r="F151" s="280" t="s">
        <v>420</v>
      </c>
      <c r="G151" s="280">
        <v>62.130160079464765</v>
      </c>
      <c r="H151" s="280">
        <v>62.130160079464765</v>
      </c>
      <c r="I151" s="280">
        <v>62.130160079464765</v>
      </c>
      <c r="J151" s="280">
        <v>62.130160079464765</v>
      </c>
      <c r="K151" s="280">
        <v>62.130160079464765</v>
      </c>
      <c r="L151" s="280">
        <v>62.130160079464765</v>
      </c>
      <c r="M151" s="280">
        <v>62.130160079464765</v>
      </c>
      <c r="N151" s="280">
        <v>62.130160079464765</v>
      </c>
      <c r="O151" s="280">
        <v>62.130160079464765</v>
      </c>
      <c r="P151" s="280">
        <v>62.130160079464765</v>
      </c>
      <c r="Q151" s="280">
        <v>62.130160079464765</v>
      </c>
      <c r="R151" s="280">
        <v>62.130160079464765</v>
      </c>
      <c r="S151" s="280">
        <v>62.130160079464765</v>
      </c>
      <c r="T151" s="280">
        <v>62.130160079464765</v>
      </c>
      <c r="U151" s="280">
        <v>62.130160079464765</v>
      </c>
      <c r="V151" s="280">
        <v>62.130160079464765</v>
      </c>
      <c r="W151" s="280">
        <v>62.130160079464765</v>
      </c>
      <c r="X151" s="280">
        <v>62.130160079464765</v>
      </c>
      <c r="Y151" s="280">
        <v>62.130160079464765</v>
      </c>
      <c r="Z151" s="280">
        <v>62.130160079464765</v>
      </c>
      <c r="AA151" s="280">
        <v>62.130160079464765</v>
      </c>
      <c r="AB151" s="280">
        <v>62.130160079464765</v>
      </c>
      <c r="AC151" s="280">
        <v>62.130160079464765</v>
      </c>
      <c r="AD151" s="280">
        <v>62.130160079464765</v>
      </c>
      <c r="AE151" s="280">
        <v>62.130160079464765</v>
      </c>
      <c r="AF151" s="280">
        <v>62.130160079464765</v>
      </c>
      <c r="AG151" s="280">
        <v>62.130160079464765</v>
      </c>
    </row>
    <row r="152" spans="1:33" x14ac:dyDescent="0.25">
      <c r="A152" s="277" t="s">
        <v>30</v>
      </c>
      <c r="B152" s="277" t="s">
        <v>18</v>
      </c>
      <c r="C152" s="277" t="s">
        <v>115</v>
      </c>
      <c r="D152" s="277" t="s">
        <v>18</v>
      </c>
      <c r="E152" s="277" t="s">
        <v>17</v>
      </c>
      <c r="F152" s="278" t="s">
        <v>151</v>
      </c>
      <c r="G152" s="279">
        <v>1442.9149625093958</v>
      </c>
      <c r="H152" s="279">
        <v>1442.9149625093958</v>
      </c>
      <c r="I152" s="279">
        <v>1442.9149625093958</v>
      </c>
      <c r="J152" s="279">
        <v>1442.9149625093958</v>
      </c>
      <c r="K152" s="279">
        <v>1442.9149625093958</v>
      </c>
      <c r="L152" s="279">
        <v>1442.9149625093958</v>
      </c>
      <c r="M152" s="279">
        <v>1442.9149625093958</v>
      </c>
      <c r="N152" s="279">
        <v>1442.9149625093958</v>
      </c>
      <c r="O152" s="279">
        <v>1442.9149625093958</v>
      </c>
      <c r="P152" s="279">
        <v>1442.9149625093958</v>
      </c>
      <c r="Q152" s="279">
        <v>1442.9149625093958</v>
      </c>
      <c r="R152" s="279">
        <v>1442.9149625093958</v>
      </c>
      <c r="S152" s="279">
        <v>1442.9149625093958</v>
      </c>
      <c r="T152" s="279">
        <v>1442.9149625093958</v>
      </c>
      <c r="U152" s="279">
        <v>1442.9149625093958</v>
      </c>
      <c r="V152" s="279">
        <v>1442.9149625093958</v>
      </c>
      <c r="W152" s="279">
        <v>1442.9149625093958</v>
      </c>
      <c r="X152" s="279">
        <v>1442.9149625093958</v>
      </c>
      <c r="Y152" s="279">
        <v>1442.9149625093958</v>
      </c>
      <c r="Z152" s="279">
        <v>1442.9149625093958</v>
      </c>
      <c r="AA152" s="279">
        <v>1442.9149625093958</v>
      </c>
      <c r="AB152" s="279">
        <v>1442.9149625093958</v>
      </c>
      <c r="AC152" s="279">
        <v>1442.9149625093958</v>
      </c>
      <c r="AD152" s="279">
        <v>1442.9149625093958</v>
      </c>
      <c r="AE152" s="279">
        <v>1442.9149625093958</v>
      </c>
      <c r="AF152" s="279">
        <v>1442.9149625093958</v>
      </c>
      <c r="AG152" s="279">
        <v>1442.9149625093958</v>
      </c>
    </row>
    <row r="153" spans="1:33" x14ac:dyDescent="0.25">
      <c r="A153" s="277" t="s">
        <v>30</v>
      </c>
      <c r="B153" s="277" t="s">
        <v>18</v>
      </c>
      <c r="C153" s="277" t="s">
        <v>115</v>
      </c>
      <c r="D153" s="277" t="s">
        <v>204</v>
      </c>
      <c r="E153" s="277" t="s">
        <v>17</v>
      </c>
      <c r="F153" s="278" t="s">
        <v>205</v>
      </c>
      <c r="G153" s="279">
        <v>0.34373532547421726</v>
      </c>
      <c r="H153" s="279">
        <v>0.34373532547421726</v>
      </c>
      <c r="I153" s="279">
        <v>0.34373532547421726</v>
      </c>
      <c r="J153" s="279">
        <v>0.34373532547421726</v>
      </c>
      <c r="K153" s="279">
        <v>0.34373532547421726</v>
      </c>
      <c r="L153" s="279">
        <v>0.34373532547421726</v>
      </c>
      <c r="M153" s="279">
        <v>0.34373532547421726</v>
      </c>
      <c r="N153" s="279">
        <v>0.34373532547421726</v>
      </c>
      <c r="O153" s="279">
        <v>0.34373532547421726</v>
      </c>
      <c r="P153" s="279">
        <v>0.34373532547421726</v>
      </c>
      <c r="Q153" s="279">
        <v>0.34373532547421726</v>
      </c>
      <c r="R153" s="279">
        <v>0.34373532547421726</v>
      </c>
      <c r="S153" s="279">
        <v>0.34373532547421726</v>
      </c>
      <c r="T153" s="279">
        <v>0.34373532547421726</v>
      </c>
      <c r="U153" s="279">
        <v>0.34373532547421726</v>
      </c>
      <c r="V153" s="279">
        <v>0.34373532547421726</v>
      </c>
      <c r="W153" s="279">
        <v>0.34373532547421726</v>
      </c>
      <c r="X153" s="279">
        <v>0.34373532547421726</v>
      </c>
      <c r="Y153" s="279">
        <v>0.34373532547421726</v>
      </c>
      <c r="Z153" s="279">
        <v>0.34373532547421726</v>
      </c>
      <c r="AA153" s="279">
        <v>0.34373532547421726</v>
      </c>
      <c r="AB153" s="279">
        <v>0.34373532547421726</v>
      </c>
      <c r="AC153" s="279">
        <v>0.34373532547421726</v>
      </c>
      <c r="AD153" s="279">
        <v>0.34373532547421726</v>
      </c>
      <c r="AE153" s="279">
        <v>0.34373532547421726</v>
      </c>
      <c r="AF153" s="279">
        <v>0.34373532547421726</v>
      </c>
      <c r="AG153" s="279">
        <v>0.34373532547421726</v>
      </c>
    </row>
    <row r="154" spans="1:33" x14ac:dyDescent="0.25">
      <c r="A154" s="277" t="s">
        <v>30</v>
      </c>
      <c r="B154" s="277" t="s">
        <v>18</v>
      </c>
      <c r="C154" s="277" t="s">
        <v>115</v>
      </c>
      <c r="D154" s="277" t="s">
        <v>208</v>
      </c>
      <c r="E154" s="277" t="s">
        <v>17</v>
      </c>
      <c r="F154" s="278" t="s">
        <v>209</v>
      </c>
      <c r="G154" s="279">
        <v>1.9335112057924724</v>
      </c>
      <c r="H154" s="279">
        <v>1.9335112057924724</v>
      </c>
      <c r="I154" s="279">
        <v>1.9335112057924724</v>
      </c>
      <c r="J154" s="279">
        <v>1.9335112057924724</v>
      </c>
      <c r="K154" s="279">
        <v>1.9335112057924724</v>
      </c>
      <c r="L154" s="279">
        <v>1.9335112057924724</v>
      </c>
      <c r="M154" s="279">
        <v>1.9335112057924724</v>
      </c>
      <c r="N154" s="279">
        <v>1.9335112057924724</v>
      </c>
      <c r="O154" s="279">
        <v>1.9335112057924724</v>
      </c>
      <c r="P154" s="279">
        <v>1.9335112057924724</v>
      </c>
      <c r="Q154" s="279">
        <v>1.9335112057924724</v>
      </c>
      <c r="R154" s="279">
        <v>1.9335112057924724</v>
      </c>
      <c r="S154" s="279">
        <v>1.9335112057924724</v>
      </c>
      <c r="T154" s="279">
        <v>1.9335112057924724</v>
      </c>
      <c r="U154" s="279">
        <v>1.9335112057924724</v>
      </c>
      <c r="V154" s="279">
        <v>1.9335112057924724</v>
      </c>
      <c r="W154" s="279">
        <v>1.9335112057924724</v>
      </c>
      <c r="X154" s="279">
        <v>1.9335112057924724</v>
      </c>
      <c r="Y154" s="279">
        <v>1.9335112057924724</v>
      </c>
      <c r="Z154" s="279">
        <v>1.9335112057924724</v>
      </c>
      <c r="AA154" s="279">
        <v>1.9335112057924724</v>
      </c>
      <c r="AB154" s="279">
        <v>1.9335112057924724</v>
      </c>
      <c r="AC154" s="279">
        <v>1.9335112057924724</v>
      </c>
      <c r="AD154" s="279">
        <v>1.9335112057924724</v>
      </c>
      <c r="AE154" s="279">
        <v>1.9335112057924724</v>
      </c>
      <c r="AF154" s="279">
        <v>1.9335112057924724</v>
      </c>
      <c r="AG154" s="279">
        <v>1.9335112057924724</v>
      </c>
    </row>
    <row r="155" spans="1:33" x14ac:dyDescent="0.25">
      <c r="A155" s="277" t="s">
        <v>30</v>
      </c>
      <c r="B155" s="277" t="s">
        <v>18</v>
      </c>
      <c r="C155" s="277" t="s">
        <v>115</v>
      </c>
      <c r="D155" s="277" t="s">
        <v>336</v>
      </c>
      <c r="E155" s="277" t="s">
        <v>17</v>
      </c>
      <c r="F155" s="278" t="s">
        <v>337</v>
      </c>
      <c r="G155" s="279">
        <v>52.441120592660269</v>
      </c>
      <c r="H155" s="279">
        <v>52.441120592660269</v>
      </c>
      <c r="I155" s="279">
        <v>52.441120592660269</v>
      </c>
      <c r="J155" s="279">
        <v>52.441120592660269</v>
      </c>
      <c r="K155" s="279">
        <v>52.441120592660269</v>
      </c>
      <c r="L155" s="279">
        <v>52.441120592660269</v>
      </c>
      <c r="M155" s="279">
        <v>52.441120592660269</v>
      </c>
      <c r="N155" s="279">
        <v>52.441120592660269</v>
      </c>
      <c r="O155" s="279">
        <v>52.441120592660269</v>
      </c>
      <c r="P155" s="279">
        <v>52.441120592660269</v>
      </c>
      <c r="Q155" s="279">
        <v>52.441120592660269</v>
      </c>
      <c r="R155" s="279">
        <v>52.441120592660269</v>
      </c>
      <c r="S155" s="279">
        <v>52.441120592660269</v>
      </c>
      <c r="T155" s="279">
        <v>52.441120592660269</v>
      </c>
      <c r="U155" s="279">
        <v>52.441120592660269</v>
      </c>
      <c r="V155" s="279">
        <v>52.441120592660269</v>
      </c>
      <c r="W155" s="279">
        <v>52.441120592660269</v>
      </c>
      <c r="X155" s="279">
        <v>52.441120592660269</v>
      </c>
      <c r="Y155" s="279">
        <v>52.441120592660269</v>
      </c>
      <c r="Z155" s="279">
        <v>52.441120592660269</v>
      </c>
      <c r="AA155" s="279">
        <v>52.441120592660269</v>
      </c>
      <c r="AB155" s="279">
        <v>52.441120592660269</v>
      </c>
      <c r="AC155" s="279">
        <v>52.441120592660269</v>
      </c>
      <c r="AD155" s="279">
        <v>52.441120592660269</v>
      </c>
      <c r="AE155" s="279">
        <v>52.441120592660269</v>
      </c>
      <c r="AF155" s="279">
        <v>52.441120592660269</v>
      </c>
      <c r="AG155" s="279">
        <v>52.441120592660269</v>
      </c>
    </row>
    <row r="156" spans="1:33" x14ac:dyDescent="0.25">
      <c r="A156" s="277" t="s">
        <v>30</v>
      </c>
      <c r="B156" s="277" t="s">
        <v>18</v>
      </c>
      <c r="C156" s="277" t="s">
        <v>115</v>
      </c>
      <c r="D156" s="277" t="s">
        <v>307</v>
      </c>
      <c r="E156" s="277" t="s">
        <v>17</v>
      </c>
      <c r="F156" s="278" t="s">
        <v>308</v>
      </c>
      <c r="G156" s="279">
        <v>23.588836710668158</v>
      </c>
      <c r="H156" s="279">
        <v>23.588836710668158</v>
      </c>
      <c r="I156" s="279">
        <v>23.588836710668158</v>
      </c>
      <c r="J156" s="279">
        <v>23.588836710668158</v>
      </c>
      <c r="K156" s="279">
        <v>23.588836710668158</v>
      </c>
      <c r="L156" s="279">
        <v>23.588836710668158</v>
      </c>
      <c r="M156" s="279">
        <v>23.588836710668158</v>
      </c>
      <c r="N156" s="279">
        <v>23.588836710668158</v>
      </c>
      <c r="O156" s="279">
        <v>23.588836710668158</v>
      </c>
      <c r="P156" s="279">
        <v>23.588836710668158</v>
      </c>
      <c r="Q156" s="279">
        <v>23.588836710668158</v>
      </c>
      <c r="R156" s="279">
        <v>23.588836710668158</v>
      </c>
      <c r="S156" s="279">
        <v>23.588836710668158</v>
      </c>
      <c r="T156" s="279">
        <v>23.588836710668158</v>
      </c>
      <c r="U156" s="279">
        <v>23.588836710668158</v>
      </c>
      <c r="V156" s="279">
        <v>23.588836710668158</v>
      </c>
      <c r="W156" s="279">
        <v>23.588836710668158</v>
      </c>
      <c r="X156" s="279">
        <v>23.588836710668158</v>
      </c>
      <c r="Y156" s="279">
        <v>23.588836710668158</v>
      </c>
      <c r="Z156" s="279">
        <v>23.588836710668158</v>
      </c>
      <c r="AA156" s="279">
        <v>23.588836710668158</v>
      </c>
      <c r="AB156" s="279">
        <v>23.588836710668158</v>
      </c>
      <c r="AC156" s="279">
        <v>23.588836710668158</v>
      </c>
      <c r="AD156" s="279">
        <v>23.588836710668158</v>
      </c>
      <c r="AE156" s="279">
        <v>23.588836710668158</v>
      </c>
      <c r="AF156" s="279">
        <v>23.588836710668158</v>
      </c>
      <c r="AG156" s="279">
        <v>23.588836710668158</v>
      </c>
    </row>
    <row r="157" spans="1:33" x14ac:dyDescent="0.25">
      <c r="A157" s="280" t="s">
        <v>30</v>
      </c>
      <c r="B157" s="280" t="s">
        <v>18</v>
      </c>
      <c r="C157" s="280" t="s">
        <v>115</v>
      </c>
      <c r="D157" s="280" t="s">
        <v>417</v>
      </c>
      <c r="E157" s="280" t="s">
        <v>17</v>
      </c>
      <c r="F157" s="280" t="s">
        <v>418</v>
      </c>
      <c r="G157" s="280">
        <v>15.274738525760531</v>
      </c>
      <c r="H157" s="280">
        <v>15.274738525760531</v>
      </c>
      <c r="I157" s="280">
        <v>15.274738525760531</v>
      </c>
      <c r="J157" s="280">
        <v>15.274738525760531</v>
      </c>
      <c r="K157" s="280">
        <v>15.274738525760531</v>
      </c>
      <c r="L157" s="280">
        <v>15.274738525760531</v>
      </c>
      <c r="M157" s="280">
        <v>15.274738525760531</v>
      </c>
      <c r="N157" s="280">
        <v>15.274738525760531</v>
      </c>
      <c r="O157" s="280">
        <v>15.274738525760531</v>
      </c>
      <c r="P157" s="280">
        <v>15.274738525760531</v>
      </c>
      <c r="Q157" s="280">
        <v>15.274738525760531</v>
      </c>
      <c r="R157" s="280">
        <v>15.274738525760531</v>
      </c>
      <c r="S157" s="280">
        <v>15.274738525760531</v>
      </c>
      <c r="T157" s="280">
        <v>15.274738525760531</v>
      </c>
      <c r="U157" s="280">
        <v>15.274738525760531</v>
      </c>
      <c r="V157" s="280">
        <v>15.274738525760531</v>
      </c>
      <c r="W157" s="280">
        <v>15.274738525760531</v>
      </c>
      <c r="X157" s="280">
        <v>15.274738525760531</v>
      </c>
      <c r="Y157" s="280">
        <v>15.274738525760531</v>
      </c>
      <c r="Z157" s="280">
        <v>15.274738525760531</v>
      </c>
      <c r="AA157" s="280">
        <v>15.274738525760531</v>
      </c>
      <c r="AB157" s="280">
        <v>15.274738525760531</v>
      </c>
      <c r="AC157" s="280">
        <v>15.274738525760531</v>
      </c>
      <c r="AD157" s="280">
        <v>15.274738525760531</v>
      </c>
      <c r="AE157" s="280">
        <v>15.274738525760531</v>
      </c>
      <c r="AF157" s="280">
        <v>15.274738525760531</v>
      </c>
      <c r="AG157" s="280">
        <v>15.274738525760531</v>
      </c>
    </row>
    <row r="158" spans="1:33" x14ac:dyDescent="0.25">
      <c r="A158" s="277" t="s">
        <v>30</v>
      </c>
      <c r="B158" s="277" t="s">
        <v>18</v>
      </c>
      <c r="C158" s="277" t="s">
        <v>115</v>
      </c>
      <c r="D158" s="277" t="s">
        <v>106</v>
      </c>
      <c r="E158" s="277" t="s">
        <v>17</v>
      </c>
      <c r="F158" s="278" t="s">
        <v>191</v>
      </c>
      <c r="G158" s="279">
        <v>0.53708644605346445</v>
      </c>
      <c r="H158" s="279">
        <v>0.53708644605346445</v>
      </c>
      <c r="I158" s="279">
        <v>0.53708644605346445</v>
      </c>
      <c r="J158" s="279">
        <v>0.53708644605346445</v>
      </c>
      <c r="K158" s="279">
        <v>0.53708644605346445</v>
      </c>
      <c r="L158" s="279">
        <v>0.53708644605346445</v>
      </c>
      <c r="M158" s="279">
        <v>0.53708644605346445</v>
      </c>
      <c r="N158" s="279">
        <v>0.53708644605346445</v>
      </c>
      <c r="O158" s="279">
        <v>0.53708644605346445</v>
      </c>
      <c r="P158" s="279">
        <v>0.53708644605346445</v>
      </c>
      <c r="Q158" s="279">
        <v>0.53708644605346445</v>
      </c>
      <c r="R158" s="279">
        <v>0.53708644605346445</v>
      </c>
      <c r="S158" s="279">
        <v>0.53708644605346445</v>
      </c>
      <c r="T158" s="279">
        <v>0.53708644605346445</v>
      </c>
      <c r="U158" s="279">
        <v>0.53708644605346445</v>
      </c>
      <c r="V158" s="279">
        <v>0.53708644605346445</v>
      </c>
      <c r="W158" s="279">
        <v>0.53708644605346445</v>
      </c>
      <c r="X158" s="279">
        <v>0.53708644605346445</v>
      </c>
      <c r="Y158" s="279">
        <v>0.53708644605346445</v>
      </c>
      <c r="Z158" s="279">
        <v>0.53708644605346445</v>
      </c>
      <c r="AA158" s="279">
        <v>0.53708644605346445</v>
      </c>
      <c r="AB158" s="279">
        <v>0.53708644605346445</v>
      </c>
      <c r="AC158" s="279">
        <v>0.53708644605346445</v>
      </c>
      <c r="AD158" s="279">
        <v>0.53708644605346445</v>
      </c>
      <c r="AE158" s="279">
        <v>0.53708644605346445</v>
      </c>
      <c r="AF158" s="279">
        <v>0.53708644605346445</v>
      </c>
      <c r="AG158" s="279">
        <v>0.53708644605346445</v>
      </c>
    </row>
    <row r="159" spans="1:33" x14ac:dyDescent="0.25">
      <c r="A159" s="280" t="s">
        <v>30</v>
      </c>
      <c r="B159" s="280" t="s">
        <v>18</v>
      </c>
      <c r="C159" s="280" t="s">
        <v>115</v>
      </c>
      <c r="D159" s="280" t="s">
        <v>401</v>
      </c>
      <c r="E159" s="280" t="s">
        <v>17</v>
      </c>
      <c r="F159" s="280" t="s">
        <v>402</v>
      </c>
      <c r="G159" s="280">
        <v>0.58005336173774158</v>
      </c>
      <c r="H159" s="280">
        <v>0.58005336173774158</v>
      </c>
      <c r="I159" s="280">
        <v>0.58005336173774158</v>
      </c>
      <c r="J159" s="280">
        <v>0.58005336173774158</v>
      </c>
      <c r="K159" s="280">
        <v>0.58005336173774158</v>
      </c>
      <c r="L159" s="280">
        <v>0.58005336173774158</v>
      </c>
      <c r="M159" s="280">
        <v>0.58005336173774158</v>
      </c>
      <c r="N159" s="280">
        <v>0.58005336173774158</v>
      </c>
      <c r="O159" s="280">
        <v>0.58005336173774158</v>
      </c>
      <c r="P159" s="280">
        <v>0.58005336173774158</v>
      </c>
      <c r="Q159" s="280">
        <v>0.58005336173774158</v>
      </c>
      <c r="R159" s="280">
        <v>0.58005336173774158</v>
      </c>
      <c r="S159" s="280">
        <v>0.58005336173774158</v>
      </c>
      <c r="T159" s="280">
        <v>0.58005336173774158</v>
      </c>
      <c r="U159" s="280">
        <v>0.58005336173774158</v>
      </c>
      <c r="V159" s="280">
        <v>0.58005336173774158</v>
      </c>
      <c r="W159" s="280">
        <v>0.58005336173774158</v>
      </c>
      <c r="X159" s="280">
        <v>0.58005336173774158</v>
      </c>
      <c r="Y159" s="280">
        <v>0.58005336173774158</v>
      </c>
      <c r="Z159" s="280">
        <v>0.58005336173774158</v>
      </c>
      <c r="AA159" s="280">
        <v>0.58005336173774158</v>
      </c>
      <c r="AB159" s="280">
        <v>0.58005336173774158</v>
      </c>
      <c r="AC159" s="280">
        <v>0.58005336173774158</v>
      </c>
      <c r="AD159" s="280">
        <v>0.58005336173774158</v>
      </c>
      <c r="AE159" s="280">
        <v>0.58005336173774158</v>
      </c>
      <c r="AF159" s="280">
        <v>0.58005336173774158</v>
      </c>
      <c r="AG159" s="280">
        <v>0.58005336173774158</v>
      </c>
    </row>
    <row r="160" spans="1:33" x14ac:dyDescent="0.25">
      <c r="A160" s="280" t="s">
        <v>30</v>
      </c>
      <c r="B160" s="280" t="s">
        <v>18</v>
      </c>
      <c r="C160" s="280" t="s">
        <v>115</v>
      </c>
      <c r="D160" s="280" t="s">
        <v>528</v>
      </c>
      <c r="E160" s="280" t="s">
        <v>17</v>
      </c>
      <c r="F160" s="280" t="s">
        <v>529</v>
      </c>
      <c r="G160" s="280">
        <v>4.9197118458497346</v>
      </c>
      <c r="H160" s="280">
        <v>4.9197118458497346</v>
      </c>
      <c r="I160" s="280">
        <v>4.9197118458497346</v>
      </c>
      <c r="J160" s="280">
        <v>4.9197118458497346</v>
      </c>
      <c r="K160" s="280">
        <v>4.9197118458497346</v>
      </c>
      <c r="L160" s="280">
        <v>4.9197118458497346</v>
      </c>
      <c r="M160" s="280">
        <v>4.9197118458497346</v>
      </c>
      <c r="N160" s="280">
        <v>4.9197118458497346</v>
      </c>
      <c r="O160" s="280">
        <v>4.9197118458497346</v>
      </c>
      <c r="P160" s="280">
        <v>4.9197118458497346</v>
      </c>
      <c r="Q160" s="280">
        <v>4.9197118458497346</v>
      </c>
      <c r="R160" s="280">
        <v>4.9197118458497346</v>
      </c>
      <c r="S160" s="280">
        <v>4.9197118458497346</v>
      </c>
      <c r="T160" s="280">
        <v>4.9197118458497346</v>
      </c>
      <c r="U160" s="280">
        <v>4.9197118458497346</v>
      </c>
      <c r="V160" s="280">
        <v>4.9197118458497346</v>
      </c>
      <c r="W160" s="280">
        <v>4.9197118458497346</v>
      </c>
      <c r="X160" s="280">
        <v>4.9197118458497346</v>
      </c>
      <c r="Y160" s="280">
        <v>4.9197118458497346</v>
      </c>
      <c r="Z160" s="280">
        <v>4.9197118458497346</v>
      </c>
      <c r="AA160" s="280">
        <v>4.9197118458497346</v>
      </c>
      <c r="AB160" s="280">
        <v>4.9197118458497346</v>
      </c>
      <c r="AC160" s="280">
        <v>4.9197118458497346</v>
      </c>
      <c r="AD160" s="280">
        <v>4.9197118458497346</v>
      </c>
      <c r="AE160" s="280">
        <v>4.9197118458497346</v>
      </c>
      <c r="AF160" s="280">
        <v>4.9197118458497346</v>
      </c>
      <c r="AG160" s="280">
        <v>4.9197118458497346</v>
      </c>
    </row>
    <row r="161" spans="1:33" x14ac:dyDescent="0.25">
      <c r="A161" s="280" t="s">
        <v>30</v>
      </c>
      <c r="B161" s="280" t="s">
        <v>18</v>
      </c>
      <c r="C161" s="280" t="s">
        <v>115</v>
      </c>
      <c r="D161" s="280" t="s">
        <v>473</v>
      </c>
      <c r="E161" s="280" t="s">
        <v>17</v>
      </c>
      <c r="F161" s="280" t="s">
        <v>474</v>
      </c>
      <c r="G161" s="280">
        <v>4.6833938095862102</v>
      </c>
      <c r="H161" s="280">
        <v>4.6833938095862102</v>
      </c>
      <c r="I161" s="280">
        <v>4.6833938095862102</v>
      </c>
      <c r="J161" s="280">
        <v>4.6833938095862102</v>
      </c>
      <c r="K161" s="280">
        <v>4.6833938095862102</v>
      </c>
      <c r="L161" s="280">
        <v>4.6833938095862102</v>
      </c>
      <c r="M161" s="280">
        <v>4.6833938095862102</v>
      </c>
      <c r="N161" s="280">
        <v>4.6833938095862102</v>
      </c>
      <c r="O161" s="280">
        <v>4.6833938095862102</v>
      </c>
      <c r="P161" s="280">
        <v>4.6833938095862102</v>
      </c>
      <c r="Q161" s="280">
        <v>4.6833938095862102</v>
      </c>
      <c r="R161" s="280">
        <v>4.6833938095862102</v>
      </c>
      <c r="S161" s="280">
        <v>4.6833938095862102</v>
      </c>
      <c r="T161" s="280">
        <v>4.6833938095862102</v>
      </c>
      <c r="U161" s="280">
        <v>4.6833938095862102</v>
      </c>
      <c r="V161" s="280">
        <v>4.6833938095862102</v>
      </c>
      <c r="W161" s="280">
        <v>4.6833938095862102</v>
      </c>
      <c r="X161" s="280">
        <v>4.6833938095862102</v>
      </c>
      <c r="Y161" s="280">
        <v>4.6833938095862102</v>
      </c>
      <c r="Z161" s="280">
        <v>4.6833938095862102</v>
      </c>
      <c r="AA161" s="280">
        <v>4.6833938095862102</v>
      </c>
      <c r="AB161" s="280">
        <v>4.6833938095862102</v>
      </c>
      <c r="AC161" s="280">
        <v>4.6833938095862102</v>
      </c>
      <c r="AD161" s="280">
        <v>4.6833938095862102</v>
      </c>
      <c r="AE161" s="280">
        <v>4.6833938095862102</v>
      </c>
      <c r="AF161" s="280">
        <v>4.6833938095862102</v>
      </c>
      <c r="AG161" s="280">
        <v>4.6833938095862102</v>
      </c>
    </row>
    <row r="162" spans="1:33" x14ac:dyDescent="0.25">
      <c r="A162" s="280" t="s">
        <v>30</v>
      </c>
      <c r="B162" s="280" t="s">
        <v>18</v>
      </c>
      <c r="C162" s="280" t="s">
        <v>115</v>
      </c>
      <c r="D162" s="280" t="s">
        <v>110</v>
      </c>
      <c r="E162" s="280" t="s">
        <v>17</v>
      </c>
      <c r="F162" s="280" t="s">
        <v>523</v>
      </c>
      <c r="G162" s="280">
        <v>14.329466380706432</v>
      </c>
      <c r="H162" s="280">
        <v>14.329466380706432</v>
      </c>
      <c r="I162" s="280">
        <v>14.329466380706432</v>
      </c>
      <c r="J162" s="280">
        <v>14.329466380706432</v>
      </c>
      <c r="K162" s="280">
        <v>14.329466380706432</v>
      </c>
      <c r="L162" s="280">
        <v>14.329466380706432</v>
      </c>
      <c r="M162" s="280">
        <v>14.329466380706432</v>
      </c>
      <c r="N162" s="280">
        <v>14.329466380706432</v>
      </c>
      <c r="O162" s="280">
        <v>14.329466380706432</v>
      </c>
      <c r="P162" s="280">
        <v>14.329466380706432</v>
      </c>
      <c r="Q162" s="280">
        <v>14.329466380706432</v>
      </c>
      <c r="R162" s="280">
        <v>14.329466380706432</v>
      </c>
      <c r="S162" s="280">
        <v>14.329466380706432</v>
      </c>
      <c r="T162" s="280">
        <v>14.329466380706432</v>
      </c>
      <c r="U162" s="280">
        <v>14.329466380706432</v>
      </c>
      <c r="V162" s="280">
        <v>14.329466380706432</v>
      </c>
      <c r="W162" s="280">
        <v>14.329466380706432</v>
      </c>
      <c r="X162" s="280">
        <v>14.329466380706432</v>
      </c>
      <c r="Y162" s="280">
        <v>14.329466380706432</v>
      </c>
      <c r="Z162" s="280">
        <v>14.329466380706432</v>
      </c>
      <c r="AA162" s="280">
        <v>14.329466380706432</v>
      </c>
      <c r="AB162" s="280">
        <v>14.329466380706432</v>
      </c>
      <c r="AC162" s="280">
        <v>14.329466380706432</v>
      </c>
      <c r="AD162" s="280">
        <v>14.329466380706432</v>
      </c>
      <c r="AE162" s="280">
        <v>14.329466380706432</v>
      </c>
      <c r="AF162" s="280">
        <v>14.329466380706432</v>
      </c>
      <c r="AG162" s="280">
        <v>14.329466380706432</v>
      </c>
    </row>
    <row r="163" spans="1:33" x14ac:dyDescent="0.25">
      <c r="A163" s="280" t="s">
        <v>30</v>
      </c>
      <c r="B163" s="280" t="s">
        <v>18</v>
      </c>
      <c r="C163" s="280" t="s">
        <v>115</v>
      </c>
      <c r="D163" s="280" t="s">
        <v>455</v>
      </c>
      <c r="E163" s="280" t="s">
        <v>17</v>
      </c>
      <c r="F163" s="280" t="s">
        <v>456</v>
      </c>
      <c r="G163" s="280">
        <v>4.5759765203755167</v>
      </c>
      <c r="H163" s="280">
        <v>4.5759765203755167</v>
      </c>
      <c r="I163" s="280">
        <v>4.5759765203755167</v>
      </c>
      <c r="J163" s="280">
        <v>4.5759765203755167</v>
      </c>
      <c r="K163" s="280">
        <v>4.5759765203755167</v>
      </c>
      <c r="L163" s="280">
        <v>4.5759765203755167</v>
      </c>
      <c r="M163" s="280">
        <v>4.5759765203755167</v>
      </c>
      <c r="N163" s="280">
        <v>4.5759765203755167</v>
      </c>
      <c r="O163" s="280">
        <v>4.5759765203755167</v>
      </c>
      <c r="P163" s="280">
        <v>4.5759765203755167</v>
      </c>
      <c r="Q163" s="280">
        <v>4.5759765203755167</v>
      </c>
      <c r="R163" s="280">
        <v>4.5759765203755167</v>
      </c>
      <c r="S163" s="280">
        <v>4.5759765203755167</v>
      </c>
      <c r="T163" s="280">
        <v>4.5759765203755167</v>
      </c>
      <c r="U163" s="280">
        <v>4.5759765203755167</v>
      </c>
      <c r="V163" s="280">
        <v>4.5759765203755167</v>
      </c>
      <c r="W163" s="280">
        <v>4.5759765203755167</v>
      </c>
      <c r="X163" s="280">
        <v>4.5759765203755167</v>
      </c>
      <c r="Y163" s="280">
        <v>4.5759765203755167</v>
      </c>
      <c r="Z163" s="280">
        <v>4.5759765203755167</v>
      </c>
      <c r="AA163" s="280">
        <v>4.5759765203755167</v>
      </c>
      <c r="AB163" s="280">
        <v>4.5759765203755167</v>
      </c>
      <c r="AC163" s="280">
        <v>4.5759765203755167</v>
      </c>
      <c r="AD163" s="280">
        <v>4.5759765203755167</v>
      </c>
      <c r="AE163" s="280">
        <v>4.5759765203755167</v>
      </c>
      <c r="AF163" s="280">
        <v>4.5759765203755167</v>
      </c>
      <c r="AG163" s="280">
        <v>4.5759765203755167</v>
      </c>
    </row>
    <row r="164" spans="1:33" x14ac:dyDescent="0.25">
      <c r="A164" s="277" t="s">
        <v>30</v>
      </c>
      <c r="B164" s="277" t="s">
        <v>18</v>
      </c>
      <c r="C164" s="277" t="s">
        <v>115</v>
      </c>
      <c r="D164" s="277" t="s">
        <v>334</v>
      </c>
      <c r="E164" s="277" t="s">
        <v>17</v>
      </c>
      <c r="F164" s="278" t="s">
        <v>335</v>
      </c>
      <c r="G164" s="279">
        <v>0.15038420489497004</v>
      </c>
      <c r="H164" s="279">
        <v>0.15038420489497004</v>
      </c>
      <c r="I164" s="279">
        <v>0.15038420489497004</v>
      </c>
      <c r="J164" s="279">
        <v>0.15038420489497004</v>
      </c>
      <c r="K164" s="279">
        <v>0.15038420489497004</v>
      </c>
      <c r="L164" s="279">
        <v>0.15038420489497004</v>
      </c>
      <c r="M164" s="279">
        <v>0.15038420489497004</v>
      </c>
      <c r="N164" s="279">
        <v>0.15038420489497004</v>
      </c>
      <c r="O164" s="279">
        <v>0.15038420489497004</v>
      </c>
      <c r="P164" s="279">
        <v>0.15038420489497004</v>
      </c>
      <c r="Q164" s="279">
        <v>0.15038420489497004</v>
      </c>
      <c r="R164" s="279">
        <v>0.15038420489497004</v>
      </c>
      <c r="S164" s="279">
        <v>0.15038420489497004</v>
      </c>
      <c r="T164" s="279">
        <v>0.15038420489497004</v>
      </c>
      <c r="U164" s="279">
        <v>0.15038420489497004</v>
      </c>
      <c r="V164" s="279">
        <v>0.15038420489497004</v>
      </c>
      <c r="W164" s="279">
        <v>0.15038420489497004</v>
      </c>
      <c r="X164" s="279">
        <v>0.15038420489497004</v>
      </c>
      <c r="Y164" s="279">
        <v>0.15038420489497004</v>
      </c>
      <c r="Z164" s="279">
        <v>0.15038420489497004</v>
      </c>
      <c r="AA164" s="279">
        <v>0.15038420489497004</v>
      </c>
      <c r="AB164" s="279">
        <v>0.15038420489497004</v>
      </c>
      <c r="AC164" s="279">
        <v>0.15038420489497004</v>
      </c>
      <c r="AD164" s="279">
        <v>0.15038420489497004</v>
      </c>
      <c r="AE164" s="279">
        <v>0.15038420489497004</v>
      </c>
      <c r="AF164" s="279">
        <v>0.15038420489497004</v>
      </c>
      <c r="AG164" s="279">
        <v>0.15038420489497004</v>
      </c>
    </row>
    <row r="165" spans="1:33" x14ac:dyDescent="0.25">
      <c r="A165" s="277" t="s">
        <v>30</v>
      </c>
      <c r="B165" s="277" t="s">
        <v>18</v>
      </c>
      <c r="C165" s="277" t="s">
        <v>115</v>
      </c>
      <c r="D165" s="277" t="s">
        <v>346</v>
      </c>
      <c r="E165" s="277" t="s">
        <v>17</v>
      </c>
      <c r="F165" s="278" t="s">
        <v>347</v>
      </c>
      <c r="G165" s="279">
        <v>1.869060832266056</v>
      </c>
      <c r="H165" s="279">
        <v>1.869060832266056</v>
      </c>
      <c r="I165" s="279">
        <v>1.869060832266056</v>
      </c>
      <c r="J165" s="279">
        <v>1.869060832266056</v>
      </c>
      <c r="K165" s="279">
        <v>1.869060832266056</v>
      </c>
      <c r="L165" s="279">
        <v>1.869060832266056</v>
      </c>
      <c r="M165" s="279">
        <v>1.869060832266056</v>
      </c>
      <c r="N165" s="279">
        <v>1.869060832266056</v>
      </c>
      <c r="O165" s="279">
        <v>1.869060832266056</v>
      </c>
      <c r="P165" s="279">
        <v>1.869060832266056</v>
      </c>
      <c r="Q165" s="279">
        <v>1.869060832266056</v>
      </c>
      <c r="R165" s="279">
        <v>1.869060832266056</v>
      </c>
      <c r="S165" s="279">
        <v>1.869060832266056</v>
      </c>
      <c r="T165" s="279">
        <v>1.869060832266056</v>
      </c>
      <c r="U165" s="279">
        <v>1.869060832266056</v>
      </c>
      <c r="V165" s="279">
        <v>1.869060832266056</v>
      </c>
      <c r="W165" s="279">
        <v>1.869060832266056</v>
      </c>
      <c r="X165" s="279">
        <v>1.869060832266056</v>
      </c>
      <c r="Y165" s="279">
        <v>1.869060832266056</v>
      </c>
      <c r="Z165" s="279">
        <v>1.869060832266056</v>
      </c>
      <c r="AA165" s="279">
        <v>1.869060832266056</v>
      </c>
      <c r="AB165" s="279">
        <v>1.869060832266056</v>
      </c>
      <c r="AC165" s="279">
        <v>1.869060832266056</v>
      </c>
      <c r="AD165" s="279">
        <v>1.869060832266056</v>
      </c>
      <c r="AE165" s="279">
        <v>1.869060832266056</v>
      </c>
      <c r="AF165" s="279">
        <v>1.869060832266056</v>
      </c>
      <c r="AG165" s="279">
        <v>1.869060832266056</v>
      </c>
    </row>
    <row r="166" spans="1:33" x14ac:dyDescent="0.25">
      <c r="A166" s="277" t="s">
        <v>30</v>
      </c>
      <c r="B166" s="277" t="s">
        <v>18</v>
      </c>
      <c r="C166" s="277" t="s">
        <v>115</v>
      </c>
      <c r="D166" s="277" t="s">
        <v>145</v>
      </c>
      <c r="E166" s="277" t="s">
        <v>17</v>
      </c>
      <c r="F166" s="278" t="s">
        <v>146</v>
      </c>
      <c r="G166" s="279">
        <v>0.27928495194780151</v>
      </c>
      <c r="H166" s="279">
        <v>0.27928495194780151</v>
      </c>
      <c r="I166" s="279">
        <v>0.27928495194780151</v>
      </c>
      <c r="J166" s="279">
        <v>0.27928495194780151</v>
      </c>
      <c r="K166" s="279">
        <v>0.27928495194780151</v>
      </c>
      <c r="L166" s="279">
        <v>0.27928495194780151</v>
      </c>
      <c r="M166" s="279">
        <v>0.27928495194780151</v>
      </c>
      <c r="N166" s="279">
        <v>0.27928495194780151</v>
      </c>
      <c r="O166" s="279">
        <v>0.27928495194780151</v>
      </c>
      <c r="P166" s="279">
        <v>0.27928495194780151</v>
      </c>
      <c r="Q166" s="279">
        <v>0.27928495194780151</v>
      </c>
      <c r="R166" s="279">
        <v>0.27928495194780151</v>
      </c>
      <c r="S166" s="279">
        <v>0.27928495194780151</v>
      </c>
      <c r="T166" s="279">
        <v>0.27928495194780151</v>
      </c>
      <c r="U166" s="279">
        <v>0.27928495194780151</v>
      </c>
      <c r="V166" s="279">
        <v>0.27928495194780151</v>
      </c>
      <c r="W166" s="279">
        <v>0.27928495194780151</v>
      </c>
      <c r="X166" s="279">
        <v>0.27928495194780151</v>
      </c>
      <c r="Y166" s="279">
        <v>0.27928495194780151</v>
      </c>
      <c r="Z166" s="279">
        <v>0.27928495194780151</v>
      </c>
      <c r="AA166" s="279">
        <v>0.27928495194780151</v>
      </c>
      <c r="AB166" s="279">
        <v>0.27928495194780151</v>
      </c>
      <c r="AC166" s="279">
        <v>0.27928495194780151</v>
      </c>
      <c r="AD166" s="279">
        <v>0.27928495194780151</v>
      </c>
      <c r="AE166" s="279">
        <v>0.27928495194780151</v>
      </c>
      <c r="AF166" s="279">
        <v>0.27928495194780151</v>
      </c>
      <c r="AG166" s="279">
        <v>0.27928495194780151</v>
      </c>
    </row>
    <row r="167" spans="1:33" x14ac:dyDescent="0.25">
      <c r="A167" s="277" t="s">
        <v>30</v>
      </c>
      <c r="B167" s="277" t="s">
        <v>18</v>
      </c>
      <c r="C167" s="277" t="s">
        <v>115</v>
      </c>
      <c r="D167" s="277" t="s">
        <v>289</v>
      </c>
      <c r="E167" s="277" t="s">
        <v>17</v>
      </c>
      <c r="F167" s="278" t="s">
        <v>290</v>
      </c>
      <c r="G167" s="279">
        <v>1.5038420489497009</v>
      </c>
      <c r="H167" s="279">
        <v>1.5038420489497009</v>
      </c>
      <c r="I167" s="279">
        <v>1.5038420489497009</v>
      </c>
      <c r="J167" s="279">
        <v>1.5038420489497009</v>
      </c>
      <c r="K167" s="279">
        <v>1.5038420489497009</v>
      </c>
      <c r="L167" s="279">
        <v>1.5038420489497009</v>
      </c>
      <c r="M167" s="279">
        <v>1.5038420489497009</v>
      </c>
      <c r="N167" s="279">
        <v>1.5038420489497009</v>
      </c>
      <c r="O167" s="279">
        <v>1.5038420489497009</v>
      </c>
      <c r="P167" s="279">
        <v>1.5038420489497009</v>
      </c>
      <c r="Q167" s="279">
        <v>1.5038420489497009</v>
      </c>
      <c r="R167" s="279">
        <v>1.5038420489497009</v>
      </c>
      <c r="S167" s="279">
        <v>1.5038420489497009</v>
      </c>
      <c r="T167" s="279">
        <v>1.5038420489497009</v>
      </c>
      <c r="U167" s="279">
        <v>1.5038420489497009</v>
      </c>
      <c r="V167" s="279">
        <v>1.5038420489497009</v>
      </c>
      <c r="W167" s="279">
        <v>1.5038420489497009</v>
      </c>
      <c r="X167" s="279">
        <v>1.5038420489497009</v>
      </c>
      <c r="Y167" s="279">
        <v>1.5038420489497009</v>
      </c>
      <c r="Z167" s="279">
        <v>1.5038420489497009</v>
      </c>
      <c r="AA167" s="279">
        <v>1.5038420489497009</v>
      </c>
      <c r="AB167" s="279">
        <v>1.5038420489497009</v>
      </c>
      <c r="AC167" s="279">
        <v>1.5038420489497009</v>
      </c>
      <c r="AD167" s="279">
        <v>1.5038420489497009</v>
      </c>
      <c r="AE167" s="279">
        <v>1.5038420489497009</v>
      </c>
      <c r="AF167" s="279">
        <v>1.5038420489497009</v>
      </c>
      <c r="AG167" s="279">
        <v>1.5038420489497009</v>
      </c>
    </row>
    <row r="168" spans="1:33" x14ac:dyDescent="0.25">
      <c r="A168" s="280" t="s">
        <v>30</v>
      </c>
      <c r="B168" s="280" t="s">
        <v>18</v>
      </c>
      <c r="C168" s="280" t="s">
        <v>115</v>
      </c>
      <c r="D168" s="280" t="s">
        <v>423</v>
      </c>
      <c r="E168" s="280" t="s">
        <v>17</v>
      </c>
      <c r="F168" s="280" t="s">
        <v>424</v>
      </c>
      <c r="G168" s="280">
        <v>8.6578335103818471</v>
      </c>
      <c r="H168" s="280">
        <v>8.6578335103818471</v>
      </c>
      <c r="I168" s="280">
        <v>8.6578335103818471</v>
      </c>
      <c r="J168" s="280">
        <v>8.6578335103818471</v>
      </c>
      <c r="K168" s="280">
        <v>8.6578335103818471</v>
      </c>
      <c r="L168" s="280">
        <v>8.6578335103818471</v>
      </c>
      <c r="M168" s="280">
        <v>8.6578335103818471</v>
      </c>
      <c r="N168" s="280">
        <v>8.6578335103818471</v>
      </c>
      <c r="O168" s="280">
        <v>8.6578335103818471</v>
      </c>
      <c r="P168" s="280">
        <v>8.6578335103818471</v>
      </c>
      <c r="Q168" s="280">
        <v>8.6578335103818471</v>
      </c>
      <c r="R168" s="280">
        <v>8.6578335103818471</v>
      </c>
      <c r="S168" s="280">
        <v>8.6578335103818471</v>
      </c>
      <c r="T168" s="280">
        <v>8.6578335103818471</v>
      </c>
      <c r="U168" s="280">
        <v>8.6578335103818471</v>
      </c>
      <c r="V168" s="280">
        <v>8.6578335103818471</v>
      </c>
      <c r="W168" s="280">
        <v>8.6578335103818471</v>
      </c>
      <c r="X168" s="280">
        <v>8.6578335103818471</v>
      </c>
      <c r="Y168" s="280">
        <v>8.6578335103818471</v>
      </c>
      <c r="Z168" s="280">
        <v>8.6578335103818471</v>
      </c>
      <c r="AA168" s="280">
        <v>8.6578335103818471</v>
      </c>
      <c r="AB168" s="280">
        <v>8.6578335103818471</v>
      </c>
      <c r="AC168" s="280">
        <v>8.6578335103818471</v>
      </c>
      <c r="AD168" s="280">
        <v>8.6578335103818471</v>
      </c>
      <c r="AE168" s="280">
        <v>8.6578335103818471</v>
      </c>
      <c r="AF168" s="280">
        <v>8.6578335103818471</v>
      </c>
      <c r="AG168" s="280">
        <v>8.6578335103818471</v>
      </c>
    </row>
    <row r="169" spans="1:33" x14ac:dyDescent="0.25">
      <c r="A169" s="277" t="s">
        <v>30</v>
      </c>
      <c r="B169" s="277" t="s">
        <v>18</v>
      </c>
      <c r="C169" s="277" t="s">
        <v>115</v>
      </c>
      <c r="D169" s="277" t="s">
        <v>344</v>
      </c>
      <c r="E169" s="277" t="s">
        <v>17</v>
      </c>
      <c r="F169" s="278" t="s">
        <v>345</v>
      </c>
      <c r="G169" s="279">
        <v>0.34373532547421726</v>
      </c>
      <c r="H169" s="279">
        <v>0.34373532547421726</v>
      </c>
      <c r="I169" s="279">
        <v>0.34373532547421726</v>
      </c>
      <c r="J169" s="279">
        <v>0.34373532547421726</v>
      </c>
      <c r="K169" s="279">
        <v>0.34373532547421726</v>
      </c>
      <c r="L169" s="279">
        <v>0.34373532547421726</v>
      </c>
      <c r="M169" s="279">
        <v>0.34373532547421726</v>
      </c>
      <c r="N169" s="279">
        <v>0.34373532547421726</v>
      </c>
      <c r="O169" s="279">
        <v>0.34373532547421726</v>
      </c>
      <c r="P169" s="279">
        <v>0.34373532547421726</v>
      </c>
      <c r="Q169" s="279">
        <v>0.34373532547421726</v>
      </c>
      <c r="R169" s="279">
        <v>0.34373532547421726</v>
      </c>
      <c r="S169" s="279">
        <v>0.34373532547421726</v>
      </c>
      <c r="T169" s="279">
        <v>0.34373532547421726</v>
      </c>
      <c r="U169" s="279">
        <v>0.34373532547421726</v>
      </c>
      <c r="V169" s="279">
        <v>0.34373532547421726</v>
      </c>
      <c r="W169" s="279">
        <v>0.34373532547421726</v>
      </c>
      <c r="X169" s="279">
        <v>0.34373532547421726</v>
      </c>
      <c r="Y169" s="279">
        <v>0.34373532547421726</v>
      </c>
      <c r="Z169" s="279">
        <v>0.34373532547421726</v>
      </c>
      <c r="AA169" s="279">
        <v>0.34373532547421726</v>
      </c>
      <c r="AB169" s="279">
        <v>0.34373532547421726</v>
      </c>
      <c r="AC169" s="279">
        <v>0.34373532547421726</v>
      </c>
      <c r="AD169" s="279">
        <v>0.34373532547421726</v>
      </c>
      <c r="AE169" s="279">
        <v>0.34373532547421726</v>
      </c>
      <c r="AF169" s="279">
        <v>0.34373532547421726</v>
      </c>
      <c r="AG169" s="279">
        <v>0.34373532547421726</v>
      </c>
    </row>
    <row r="170" spans="1:33" x14ac:dyDescent="0.25">
      <c r="A170" s="277" t="s">
        <v>30</v>
      </c>
      <c r="B170" s="277" t="s">
        <v>18</v>
      </c>
      <c r="C170" s="277" t="s">
        <v>115</v>
      </c>
      <c r="D170" s="277" t="s">
        <v>8</v>
      </c>
      <c r="E170" s="277" t="s">
        <v>17</v>
      </c>
      <c r="F170" s="278" t="s">
        <v>286</v>
      </c>
      <c r="G170" s="279">
        <v>4.8767449301654571</v>
      </c>
      <c r="H170" s="279">
        <v>4.8767449301654571</v>
      </c>
      <c r="I170" s="279">
        <v>4.8767449301654571</v>
      </c>
      <c r="J170" s="279">
        <v>4.8767449301654571</v>
      </c>
      <c r="K170" s="279">
        <v>4.8767449301654571</v>
      </c>
      <c r="L170" s="279">
        <v>4.8767449301654571</v>
      </c>
      <c r="M170" s="279">
        <v>4.8767449301654571</v>
      </c>
      <c r="N170" s="279">
        <v>4.8767449301654571</v>
      </c>
      <c r="O170" s="279">
        <v>4.8767449301654571</v>
      </c>
      <c r="P170" s="279">
        <v>4.8767449301654571</v>
      </c>
      <c r="Q170" s="279">
        <v>4.8767449301654571</v>
      </c>
      <c r="R170" s="279">
        <v>4.8767449301654571</v>
      </c>
      <c r="S170" s="279">
        <v>4.8767449301654571</v>
      </c>
      <c r="T170" s="279">
        <v>4.8767449301654571</v>
      </c>
      <c r="U170" s="279">
        <v>4.8767449301654571</v>
      </c>
      <c r="V170" s="279">
        <v>4.8767449301654571</v>
      </c>
      <c r="W170" s="279">
        <v>4.8767449301654571</v>
      </c>
      <c r="X170" s="279">
        <v>4.8767449301654571</v>
      </c>
      <c r="Y170" s="279">
        <v>4.8767449301654571</v>
      </c>
      <c r="Z170" s="279">
        <v>4.8767449301654571</v>
      </c>
      <c r="AA170" s="279">
        <v>4.8767449301654571</v>
      </c>
      <c r="AB170" s="279">
        <v>4.8767449301654571</v>
      </c>
      <c r="AC170" s="279">
        <v>4.8767449301654571</v>
      </c>
      <c r="AD170" s="279">
        <v>4.8767449301654571</v>
      </c>
      <c r="AE170" s="279">
        <v>4.8767449301654571</v>
      </c>
      <c r="AF170" s="279">
        <v>4.8767449301654571</v>
      </c>
      <c r="AG170" s="279">
        <v>4.8767449301654571</v>
      </c>
    </row>
    <row r="171" spans="1:33" x14ac:dyDescent="0.25">
      <c r="A171" s="280" t="s">
        <v>30</v>
      </c>
      <c r="B171" s="280" t="s">
        <v>18</v>
      </c>
      <c r="C171" s="280" t="s">
        <v>115</v>
      </c>
      <c r="D171" s="280" t="s">
        <v>97</v>
      </c>
      <c r="E171" s="280" t="s">
        <v>17</v>
      </c>
      <c r="F171" s="280" t="s">
        <v>525</v>
      </c>
      <c r="G171" s="280">
        <v>22.364279613666262</v>
      </c>
      <c r="H171" s="280">
        <v>22.364279613666262</v>
      </c>
      <c r="I171" s="280">
        <v>22.364279613666262</v>
      </c>
      <c r="J171" s="280">
        <v>22.364279613666262</v>
      </c>
      <c r="K171" s="280">
        <v>22.364279613666262</v>
      </c>
      <c r="L171" s="280">
        <v>22.364279613666262</v>
      </c>
      <c r="M171" s="280">
        <v>22.364279613666262</v>
      </c>
      <c r="N171" s="280">
        <v>22.364279613666262</v>
      </c>
      <c r="O171" s="280">
        <v>22.364279613666262</v>
      </c>
      <c r="P171" s="280">
        <v>22.364279613666262</v>
      </c>
      <c r="Q171" s="280">
        <v>22.364279613666262</v>
      </c>
      <c r="R171" s="280">
        <v>22.364279613666262</v>
      </c>
      <c r="S171" s="280">
        <v>22.364279613666262</v>
      </c>
      <c r="T171" s="280">
        <v>22.364279613666262</v>
      </c>
      <c r="U171" s="280">
        <v>22.364279613666262</v>
      </c>
      <c r="V171" s="280">
        <v>22.364279613666262</v>
      </c>
      <c r="W171" s="280">
        <v>22.364279613666262</v>
      </c>
      <c r="X171" s="280">
        <v>22.364279613666262</v>
      </c>
      <c r="Y171" s="280">
        <v>22.364279613666262</v>
      </c>
      <c r="Z171" s="280">
        <v>22.364279613666262</v>
      </c>
      <c r="AA171" s="280">
        <v>22.364279613666262</v>
      </c>
      <c r="AB171" s="280">
        <v>22.364279613666262</v>
      </c>
      <c r="AC171" s="280">
        <v>22.364279613666262</v>
      </c>
      <c r="AD171" s="280">
        <v>22.364279613666262</v>
      </c>
      <c r="AE171" s="280">
        <v>22.364279613666262</v>
      </c>
      <c r="AF171" s="280">
        <v>22.364279613666262</v>
      </c>
      <c r="AG171" s="280">
        <v>22.364279613666262</v>
      </c>
    </row>
    <row r="172" spans="1:33" x14ac:dyDescent="0.25">
      <c r="A172" s="277" t="s">
        <v>30</v>
      </c>
      <c r="B172" s="277" t="s">
        <v>18</v>
      </c>
      <c r="C172" s="277" t="s">
        <v>115</v>
      </c>
      <c r="D172" s="277" t="s">
        <v>79</v>
      </c>
      <c r="E172" s="277" t="s">
        <v>17</v>
      </c>
      <c r="F172" s="278" t="s">
        <v>315</v>
      </c>
      <c r="G172" s="279">
        <v>1.9764781214767491</v>
      </c>
      <c r="H172" s="279">
        <v>1.9764781214767491</v>
      </c>
      <c r="I172" s="279">
        <v>1.9764781214767491</v>
      </c>
      <c r="J172" s="279">
        <v>1.9764781214767491</v>
      </c>
      <c r="K172" s="279">
        <v>1.9764781214767491</v>
      </c>
      <c r="L172" s="279">
        <v>1.9764781214767491</v>
      </c>
      <c r="M172" s="279">
        <v>1.9764781214767491</v>
      </c>
      <c r="N172" s="279">
        <v>1.9764781214767491</v>
      </c>
      <c r="O172" s="279">
        <v>1.9764781214767491</v>
      </c>
      <c r="P172" s="279">
        <v>1.9764781214767491</v>
      </c>
      <c r="Q172" s="279">
        <v>1.9764781214767491</v>
      </c>
      <c r="R172" s="279">
        <v>1.9764781214767491</v>
      </c>
      <c r="S172" s="279">
        <v>1.9764781214767491</v>
      </c>
      <c r="T172" s="279">
        <v>1.9764781214767491</v>
      </c>
      <c r="U172" s="279">
        <v>1.9764781214767491</v>
      </c>
      <c r="V172" s="279">
        <v>1.9764781214767491</v>
      </c>
      <c r="W172" s="279">
        <v>1.9764781214767491</v>
      </c>
      <c r="X172" s="279">
        <v>1.9764781214767491</v>
      </c>
      <c r="Y172" s="279">
        <v>1.9764781214767491</v>
      </c>
      <c r="Z172" s="279">
        <v>1.9764781214767491</v>
      </c>
      <c r="AA172" s="279">
        <v>1.9764781214767491</v>
      </c>
      <c r="AB172" s="279">
        <v>1.9764781214767491</v>
      </c>
      <c r="AC172" s="279">
        <v>1.9764781214767491</v>
      </c>
      <c r="AD172" s="279">
        <v>1.9764781214767491</v>
      </c>
      <c r="AE172" s="279">
        <v>1.9764781214767491</v>
      </c>
      <c r="AF172" s="279">
        <v>1.9764781214767491</v>
      </c>
      <c r="AG172" s="279">
        <v>1.9764781214767491</v>
      </c>
    </row>
    <row r="173" spans="1:33" x14ac:dyDescent="0.25">
      <c r="A173" s="280" t="s">
        <v>30</v>
      </c>
      <c r="B173" s="280" t="s">
        <v>18</v>
      </c>
      <c r="C173" s="280" t="s">
        <v>115</v>
      </c>
      <c r="D173" s="280" t="s">
        <v>487</v>
      </c>
      <c r="E173" s="280" t="s">
        <v>17</v>
      </c>
      <c r="F173" s="280" t="s">
        <v>488</v>
      </c>
      <c r="G173" s="280">
        <v>124.56108856871948</v>
      </c>
      <c r="H173" s="280">
        <v>124.56108856871948</v>
      </c>
      <c r="I173" s="280">
        <v>124.56108856871948</v>
      </c>
      <c r="J173" s="280">
        <v>124.56108856871948</v>
      </c>
      <c r="K173" s="280">
        <v>124.56108856871948</v>
      </c>
      <c r="L173" s="280">
        <v>124.56108856871948</v>
      </c>
      <c r="M173" s="280">
        <v>124.56108856871948</v>
      </c>
      <c r="N173" s="280">
        <v>124.56108856871948</v>
      </c>
      <c r="O173" s="280">
        <v>124.56108856871948</v>
      </c>
      <c r="P173" s="280">
        <v>124.56108856871948</v>
      </c>
      <c r="Q173" s="280">
        <v>124.56108856871948</v>
      </c>
      <c r="R173" s="280">
        <v>124.56108856871948</v>
      </c>
      <c r="S173" s="280">
        <v>124.56108856871948</v>
      </c>
      <c r="T173" s="280">
        <v>124.56108856871948</v>
      </c>
      <c r="U173" s="280">
        <v>124.56108856871948</v>
      </c>
      <c r="V173" s="280">
        <v>124.56108856871948</v>
      </c>
      <c r="W173" s="280">
        <v>124.56108856871948</v>
      </c>
      <c r="X173" s="280">
        <v>124.56108856871948</v>
      </c>
      <c r="Y173" s="280">
        <v>124.56108856871948</v>
      </c>
      <c r="Z173" s="280">
        <v>124.56108856871948</v>
      </c>
      <c r="AA173" s="280">
        <v>124.56108856871948</v>
      </c>
      <c r="AB173" s="280">
        <v>124.56108856871948</v>
      </c>
      <c r="AC173" s="280">
        <v>124.56108856871948</v>
      </c>
      <c r="AD173" s="280">
        <v>124.56108856871948</v>
      </c>
      <c r="AE173" s="280">
        <v>124.56108856871948</v>
      </c>
      <c r="AF173" s="280">
        <v>124.56108856871948</v>
      </c>
      <c r="AG173" s="280">
        <v>124.56108856871948</v>
      </c>
    </row>
    <row r="174" spans="1:33" x14ac:dyDescent="0.25">
      <c r="A174" s="280" t="s">
        <v>30</v>
      </c>
      <c r="B174" s="280" t="s">
        <v>18</v>
      </c>
      <c r="C174" s="280" t="s">
        <v>115</v>
      </c>
      <c r="D174" s="280" t="s">
        <v>452</v>
      </c>
      <c r="E174" s="280" t="s">
        <v>17</v>
      </c>
      <c r="F174" s="280" t="s">
        <v>453</v>
      </c>
      <c r="G174" s="280">
        <v>1.3964247597390076</v>
      </c>
      <c r="H174" s="280">
        <v>1.3964247597390076</v>
      </c>
      <c r="I174" s="280">
        <v>1.3964247597390076</v>
      </c>
      <c r="J174" s="280">
        <v>1.3964247597390076</v>
      </c>
      <c r="K174" s="280">
        <v>1.3964247597390076</v>
      </c>
      <c r="L174" s="280">
        <v>1.3964247597390076</v>
      </c>
      <c r="M174" s="280">
        <v>1.3964247597390076</v>
      </c>
      <c r="N174" s="280">
        <v>1.3964247597390076</v>
      </c>
      <c r="O174" s="280">
        <v>1.3964247597390076</v>
      </c>
      <c r="P174" s="280">
        <v>1.3964247597390076</v>
      </c>
      <c r="Q174" s="280">
        <v>1.3964247597390076</v>
      </c>
      <c r="R174" s="280">
        <v>1.3964247597390076</v>
      </c>
      <c r="S174" s="280">
        <v>1.3964247597390076</v>
      </c>
      <c r="T174" s="280">
        <v>1.3964247597390076</v>
      </c>
      <c r="U174" s="280">
        <v>1.3964247597390076</v>
      </c>
      <c r="V174" s="280">
        <v>1.3964247597390076</v>
      </c>
      <c r="W174" s="280">
        <v>1.3964247597390076</v>
      </c>
      <c r="X174" s="280">
        <v>1.3964247597390076</v>
      </c>
      <c r="Y174" s="280">
        <v>1.3964247597390076</v>
      </c>
      <c r="Z174" s="280">
        <v>1.3964247597390076</v>
      </c>
      <c r="AA174" s="280">
        <v>1.3964247597390076</v>
      </c>
      <c r="AB174" s="280">
        <v>1.3964247597390076</v>
      </c>
      <c r="AC174" s="280">
        <v>1.3964247597390076</v>
      </c>
      <c r="AD174" s="280">
        <v>1.3964247597390076</v>
      </c>
      <c r="AE174" s="280">
        <v>1.3964247597390076</v>
      </c>
      <c r="AF174" s="280">
        <v>1.3964247597390076</v>
      </c>
      <c r="AG174" s="280">
        <v>1.3964247597390076</v>
      </c>
    </row>
    <row r="175" spans="1:33" x14ac:dyDescent="0.25">
      <c r="A175" s="277" t="s">
        <v>30</v>
      </c>
      <c r="B175" s="277" t="s">
        <v>18</v>
      </c>
      <c r="C175" s="277" t="s">
        <v>115</v>
      </c>
      <c r="D175" s="277" t="s">
        <v>329</v>
      </c>
      <c r="E175" s="277" t="s">
        <v>17</v>
      </c>
      <c r="F175" s="278" t="s">
        <v>330</v>
      </c>
      <c r="G175" s="279">
        <v>0.10741728921069288</v>
      </c>
      <c r="H175" s="279">
        <v>0.10741728921069288</v>
      </c>
      <c r="I175" s="279">
        <v>0.10741728921069288</v>
      </c>
      <c r="J175" s="279">
        <v>0.10741728921069288</v>
      </c>
      <c r="K175" s="279">
        <v>0.10741728921069288</v>
      </c>
      <c r="L175" s="279">
        <v>0.10741728921069288</v>
      </c>
      <c r="M175" s="279">
        <v>0.10741728921069288</v>
      </c>
      <c r="N175" s="279">
        <v>0.10741728921069288</v>
      </c>
      <c r="O175" s="279">
        <v>0.10741728921069288</v>
      </c>
      <c r="P175" s="279">
        <v>0.10741728921069288</v>
      </c>
      <c r="Q175" s="279">
        <v>0.10741728921069288</v>
      </c>
      <c r="R175" s="279">
        <v>0.10741728921069288</v>
      </c>
      <c r="S175" s="279">
        <v>0.10741728921069288</v>
      </c>
      <c r="T175" s="279">
        <v>0.10741728921069288</v>
      </c>
      <c r="U175" s="279">
        <v>0.10741728921069288</v>
      </c>
      <c r="V175" s="279">
        <v>0.10741728921069288</v>
      </c>
      <c r="W175" s="279">
        <v>0.10741728921069288</v>
      </c>
      <c r="X175" s="279">
        <v>0.10741728921069288</v>
      </c>
      <c r="Y175" s="279">
        <v>0.10741728921069288</v>
      </c>
      <c r="Z175" s="279">
        <v>0.10741728921069288</v>
      </c>
      <c r="AA175" s="279">
        <v>0.10741728921069288</v>
      </c>
      <c r="AB175" s="279">
        <v>0.10741728921069288</v>
      </c>
      <c r="AC175" s="279">
        <v>0.10741728921069288</v>
      </c>
      <c r="AD175" s="279">
        <v>0.10741728921069288</v>
      </c>
      <c r="AE175" s="279">
        <v>0.10741728921069288</v>
      </c>
      <c r="AF175" s="279">
        <v>0.10741728921069288</v>
      </c>
      <c r="AG175" s="279">
        <v>0.10741728921069288</v>
      </c>
    </row>
    <row r="176" spans="1:33" x14ac:dyDescent="0.25">
      <c r="A176" s="277" t="s">
        <v>30</v>
      </c>
      <c r="B176" s="277" t="s">
        <v>18</v>
      </c>
      <c r="C176" s="277" t="s">
        <v>115</v>
      </c>
      <c r="D176" s="277" t="s">
        <v>318</v>
      </c>
      <c r="E176" s="277" t="s">
        <v>17</v>
      </c>
      <c r="F176" s="278" t="s">
        <v>319</v>
      </c>
      <c r="G176" s="279">
        <v>0.73043756663271175</v>
      </c>
      <c r="H176" s="279">
        <v>0.73043756663271175</v>
      </c>
      <c r="I176" s="279">
        <v>0.73043756663271175</v>
      </c>
      <c r="J176" s="279">
        <v>0.73043756663271175</v>
      </c>
      <c r="K176" s="279">
        <v>0.73043756663271175</v>
      </c>
      <c r="L176" s="279">
        <v>0.73043756663271175</v>
      </c>
      <c r="M176" s="279">
        <v>0.73043756663271175</v>
      </c>
      <c r="N176" s="279">
        <v>0.73043756663271175</v>
      </c>
      <c r="O176" s="279">
        <v>0.73043756663271175</v>
      </c>
      <c r="P176" s="279">
        <v>0.73043756663271175</v>
      </c>
      <c r="Q176" s="279">
        <v>0.73043756663271175</v>
      </c>
      <c r="R176" s="279">
        <v>0.73043756663271175</v>
      </c>
      <c r="S176" s="279">
        <v>0.73043756663271175</v>
      </c>
      <c r="T176" s="279">
        <v>0.73043756663271175</v>
      </c>
      <c r="U176" s="279">
        <v>0.73043756663271175</v>
      </c>
      <c r="V176" s="279">
        <v>0.73043756663271175</v>
      </c>
      <c r="W176" s="279">
        <v>0.73043756663271175</v>
      </c>
      <c r="X176" s="279">
        <v>0.73043756663271175</v>
      </c>
      <c r="Y176" s="279">
        <v>0.73043756663271175</v>
      </c>
      <c r="Z176" s="279">
        <v>0.73043756663271175</v>
      </c>
      <c r="AA176" s="279">
        <v>0.73043756663271175</v>
      </c>
      <c r="AB176" s="279">
        <v>0.73043756663271175</v>
      </c>
      <c r="AC176" s="279">
        <v>0.73043756663271175</v>
      </c>
      <c r="AD176" s="279">
        <v>0.73043756663271175</v>
      </c>
      <c r="AE176" s="279">
        <v>0.73043756663271175</v>
      </c>
      <c r="AF176" s="279">
        <v>0.73043756663271175</v>
      </c>
      <c r="AG176" s="279">
        <v>0.73043756663271175</v>
      </c>
    </row>
    <row r="177" spans="1:33" x14ac:dyDescent="0.25">
      <c r="A177" s="280" t="s">
        <v>30</v>
      </c>
      <c r="B177" s="280" t="s">
        <v>18</v>
      </c>
      <c r="C177" s="280" t="s">
        <v>115</v>
      </c>
      <c r="D177" s="280" t="s">
        <v>58</v>
      </c>
      <c r="E177" s="280" t="s">
        <v>17</v>
      </c>
      <c r="F177" s="280" t="s">
        <v>477</v>
      </c>
      <c r="G177" s="280">
        <v>0.73043756663271175</v>
      </c>
      <c r="H177" s="280">
        <v>0.73043756663271175</v>
      </c>
      <c r="I177" s="280">
        <v>0.73043756663271175</v>
      </c>
      <c r="J177" s="280">
        <v>0.73043756663271175</v>
      </c>
      <c r="K177" s="280">
        <v>0.73043756663271175</v>
      </c>
      <c r="L177" s="280">
        <v>0.73043756663271175</v>
      </c>
      <c r="M177" s="280">
        <v>0.73043756663271175</v>
      </c>
      <c r="N177" s="280">
        <v>0.73043756663271175</v>
      </c>
      <c r="O177" s="280">
        <v>0.73043756663271175</v>
      </c>
      <c r="P177" s="280">
        <v>0.73043756663271175</v>
      </c>
      <c r="Q177" s="280">
        <v>0.73043756663271175</v>
      </c>
      <c r="R177" s="280">
        <v>0.73043756663271175</v>
      </c>
      <c r="S177" s="280">
        <v>0.73043756663271175</v>
      </c>
      <c r="T177" s="280">
        <v>0.73043756663271175</v>
      </c>
      <c r="U177" s="280">
        <v>0.73043756663271175</v>
      </c>
      <c r="V177" s="280">
        <v>0.73043756663271175</v>
      </c>
      <c r="W177" s="280">
        <v>0.73043756663271175</v>
      </c>
      <c r="X177" s="280">
        <v>0.73043756663271175</v>
      </c>
      <c r="Y177" s="280">
        <v>0.73043756663271175</v>
      </c>
      <c r="Z177" s="280">
        <v>0.73043756663271175</v>
      </c>
      <c r="AA177" s="280">
        <v>0.73043756663271175</v>
      </c>
      <c r="AB177" s="280">
        <v>0.73043756663271175</v>
      </c>
      <c r="AC177" s="280">
        <v>0.73043756663271175</v>
      </c>
      <c r="AD177" s="280">
        <v>0.73043756663271175</v>
      </c>
      <c r="AE177" s="280">
        <v>0.73043756663271175</v>
      </c>
      <c r="AF177" s="280">
        <v>0.73043756663271175</v>
      </c>
      <c r="AG177" s="280">
        <v>0.73043756663271175</v>
      </c>
    </row>
    <row r="178" spans="1:33" x14ac:dyDescent="0.25">
      <c r="A178" s="280" t="s">
        <v>30</v>
      </c>
      <c r="B178" s="280" t="s">
        <v>18</v>
      </c>
      <c r="C178" s="280" t="s">
        <v>115</v>
      </c>
      <c r="D178" s="280" t="s">
        <v>478</v>
      </c>
      <c r="E178" s="280" t="s">
        <v>17</v>
      </c>
      <c r="F178" s="280" t="s">
        <v>479</v>
      </c>
      <c r="G178" s="280">
        <v>3.9744397007956369</v>
      </c>
      <c r="H178" s="280">
        <v>3.9744397007956369</v>
      </c>
      <c r="I178" s="280">
        <v>3.9744397007956369</v>
      </c>
      <c r="J178" s="280">
        <v>3.9744397007956369</v>
      </c>
      <c r="K178" s="280">
        <v>3.9744397007956369</v>
      </c>
      <c r="L178" s="280">
        <v>3.9744397007956369</v>
      </c>
      <c r="M178" s="280">
        <v>3.9744397007956369</v>
      </c>
      <c r="N178" s="280">
        <v>3.9744397007956369</v>
      </c>
      <c r="O178" s="280">
        <v>3.9744397007956369</v>
      </c>
      <c r="P178" s="280">
        <v>3.9744397007956369</v>
      </c>
      <c r="Q178" s="280">
        <v>3.9744397007956369</v>
      </c>
      <c r="R178" s="280">
        <v>3.9744397007956369</v>
      </c>
      <c r="S178" s="280">
        <v>3.9744397007956369</v>
      </c>
      <c r="T178" s="280">
        <v>3.9744397007956369</v>
      </c>
      <c r="U178" s="280">
        <v>3.9744397007956369</v>
      </c>
      <c r="V178" s="280">
        <v>3.9744397007956369</v>
      </c>
      <c r="W178" s="280">
        <v>3.9744397007956369</v>
      </c>
      <c r="X178" s="280">
        <v>3.9744397007956369</v>
      </c>
      <c r="Y178" s="280">
        <v>3.9744397007956369</v>
      </c>
      <c r="Z178" s="280">
        <v>3.9744397007956369</v>
      </c>
      <c r="AA178" s="280">
        <v>3.9744397007956369</v>
      </c>
      <c r="AB178" s="280">
        <v>3.9744397007956369</v>
      </c>
      <c r="AC178" s="280">
        <v>3.9744397007956369</v>
      </c>
      <c r="AD178" s="280">
        <v>3.9744397007956369</v>
      </c>
      <c r="AE178" s="280">
        <v>3.9744397007956369</v>
      </c>
      <c r="AF178" s="280">
        <v>3.9744397007956369</v>
      </c>
      <c r="AG178" s="280">
        <v>3.9744397007956369</v>
      </c>
    </row>
    <row r="179" spans="1:33" x14ac:dyDescent="0.25">
      <c r="A179" s="277" t="s">
        <v>30</v>
      </c>
      <c r="B179" s="277" t="s">
        <v>18</v>
      </c>
      <c r="C179" s="277" t="s">
        <v>115</v>
      </c>
      <c r="D179" s="277" t="s">
        <v>320</v>
      </c>
      <c r="E179" s="277" t="s">
        <v>17</v>
      </c>
      <c r="F179" s="278" t="s">
        <v>321</v>
      </c>
      <c r="G179" s="279">
        <v>1.0097225185805132</v>
      </c>
      <c r="H179" s="279">
        <v>1.0097225185805132</v>
      </c>
      <c r="I179" s="279">
        <v>1.0097225185805132</v>
      </c>
      <c r="J179" s="279">
        <v>1.0097225185805132</v>
      </c>
      <c r="K179" s="279">
        <v>1.0097225185805132</v>
      </c>
      <c r="L179" s="279">
        <v>1.0097225185805132</v>
      </c>
      <c r="M179" s="279">
        <v>1.0097225185805132</v>
      </c>
      <c r="N179" s="279">
        <v>1.0097225185805132</v>
      </c>
      <c r="O179" s="279">
        <v>1.0097225185805132</v>
      </c>
      <c r="P179" s="279">
        <v>1.0097225185805132</v>
      </c>
      <c r="Q179" s="279">
        <v>1.0097225185805132</v>
      </c>
      <c r="R179" s="279">
        <v>1.0097225185805132</v>
      </c>
      <c r="S179" s="279">
        <v>1.0097225185805132</v>
      </c>
      <c r="T179" s="279">
        <v>1.0097225185805132</v>
      </c>
      <c r="U179" s="279">
        <v>1.0097225185805132</v>
      </c>
      <c r="V179" s="279">
        <v>1.0097225185805132</v>
      </c>
      <c r="W179" s="279">
        <v>1.0097225185805132</v>
      </c>
      <c r="X179" s="279">
        <v>1.0097225185805132</v>
      </c>
      <c r="Y179" s="279">
        <v>1.0097225185805132</v>
      </c>
      <c r="Z179" s="279">
        <v>1.0097225185805132</v>
      </c>
      <c r="AA179" s="279">
        <v>1.0097225185805132</v>
      </c>
      <c r="AB179" s="279">
        <v>1.0097225185805132</v>
      </c>
      <c r="AC179" s="279">
        <v>1.0097225185805132</v>
      </c>
      <c r="AD179" s="279">
        <v>1.0097225185805132</v>
      </c>
      <c r="AE179" s="279">
        <v>1.0097225185805132</v>
      </c>
      <c r="AF179" s="279">
        <v>1.0097225185805132</v>
      </c>
      <c r="AG179" s="279">
        <v>1.0097225185805132</v>
      </c>
    </row>
    <row r="180" spans="1:33" x14ac:dyDescent="0.25">
      <c r="A180" s="280" t="s">
        <v>30</v>
      </c>
      <c r="B180" s="280" t="s">
        <v>18</v>
      </c>
      <c r="C180" s="280" t="s">
        <v>115</v>
      </c>
      <c r="D180" s="280" t="s">
        <v>500</v>
      </c>
      <c r="E180" s="280" t="s">
        <v>17</v>
      </c>
      <c r="F180" s="280" t="s">
        <v>501</v>
      </c>
      <c r="G180" s="280">
        <v>1.0097225185805132</v>
      </c>
      <c r="H180" s="280">
        <v>1.0097225185805132</v>
      </c>
      <c r="I180" s="280">
        <v>1.0097225185805132</v>
      </c>
      <c r="J180" s="280">
        <v>1.0097225185805132</v>
      </c>
      <c r="K180" s="280">
        <v>1.0097225185805132</v>
      </c>
      <c r="L180" s="280">
        <v>1.0097225185805132</v>
      </c>
      <c r="M180" s="280">
        <v>1.0097225185805132</v>
      </c>
      <c r="N180" s="280">
        <v>1.0097225185805132</v>
      </c>
      <c r="O180" s="280">
        <v>1.0097225185805132</v>
      </c>
      <c r="P180" s="280">
        <v>1.0097225185805132</v>
      </c>
      <c r="Q180" s="280">
        <v>1.0097225185805132</v>
      </c>
      <c r="R180" s="280">
        <v>1.0097225185805132</v>
      </c>
      <c r="S180" s="280">
        <v>1.0097225185805132</v>
      </c>
      <c r="T180" s="280">
        <v>1.0097225185805132</v>
      </c>
      <c r="U180" s="280">
        <v>1.0097225185805132</v>
      </c>
      <c r="V180" s="280">
        <v>1.0097225185805132</v>
      </c>
      <c r="W180" s="280">
        <v>1.0097225185805132</v>
      </c>
      <c r="X180" s="280">
        <v>1.0097225185805132</v>
      </c>
      <c r="Y180" s="280">
        <v>1.0097225185805132</v>
      </c>
      <c r="Z180" s="280">
        <v>1.0097225185805132</v>
      </c>
      <c r="AA180" s="280">
        <v>1.0097225185805132</v>
      </c>
      <c r="AB180" s="280">
        <v>1.0097225185805132</v>
      </c>
      <c r="AC180" s="280">
        <v>1.0097225185805132</v>
      </c>
      <c r="AD180" s="280">
        <v>1.0097225185805132</v>
      </c>
      <c r="AE180" s="280">
        <v>1.0097225185805132</v>
      </c>
      <c r="AF180" s="280">
        <v>1.0097225185805132</v>
      </c>
      <c r="AG180" s="280">
        <v>1.0097225185805132</v>
      </c>
    </row>
    <row r="181" spans="1:33" x14ac:dyDescent="0.25">
      <c r="A181" s="277" t="s">
        <v>30</v>
      </c>
      <c r="B181" s="277" t="s">
        <v>18</v>
      </c>
      <c r="C181" s="277" t="s">
        <v>115</v>
      </c>
      <c r="D181" s="277" t="s">
        <v>303</v>
      </c>
      <c r="E181" s="277" t="s">
        <v>17</v>
      </c>
      <c r="F181" s="278" t="s">
        <v>304</v>
      </c>
      <c r="G181" s="279">
        <v>0.45115261468491014</v>
      </c>
      <c r="H181" s="279">
        <v>0.45115261468491014</v>
      </c>
      <c r="I181" s="279">
        <v>0.45115261468491014</v>
      </c>
      <c r="J181" s="279">
        <v>0.45115261468491014</v>
      </c>
      <c r="K181" s="279">
        <v>0.45115261468491014</v>
      </c>
      <c r="L181" s="279">
        <v>0.45115261468491014</v>
      </c>
      <c r="M181" s="279">
        <v>0.45115261468491014</v>
      </c>
      <c r="N181" s="279">
        <v>0.45115261468491014</v>
      </c>
      <c r="O181" s="279">
        <v>0.45115261468491014</v>
      </c>
      <c r="P181" s="279">
        <v>0.45115261468491014</v>
      </c>
      <c r="Q181" s="279">
        <v>0.45115261468491014</v>
      </c>
      <c r="R181" s="279">
        <v>0.45115261468491014</v>
      </c>
      <c r="S181" s="279">
        <v>0.45115261468491014</v>
      </c>
      <c r="T181" s="279">
        <v>0.45115261468491014</v>
      </c>
      <c r="U181" s="279">
        <v>0.45115261468491014</v>
      </c>
      <c r="V181" s="279">
        <v>0.45115261468491014</v>
      </c>
      <c r="W181" s="279">
        <v>0.45115261468491014</v>
      </c>
      <c r="X181" s="279">
        <v>0.45115261468491014</v>
      </c>
      <c r="Y181" s="279">
        <v>0.45115261468491014</v>
      </c>
      <c r="Z181" s="279">
        <v>0.45115261468491014</v>
      </c>
      <c r="AA181" s="279">
        <v>0.45115261468491014</v>
      </c>
      <c r="AB181" s="279">
        <v>0.45115261468491014</v>
      </c>
      <c r="AC181" s="279">
        <v>0.45115261468491014</v>
      </c>
      <c r="AD181" s="279">
        <v>0.45115261468491014</v>
      </c>
      <c r="AE181" s="279">
        <v>0.45115261468491014</v>
      </c>
      <c r="AF181" s="279">
        <v>0.45115261468491014</v>
      </c>
      <c r="AG181" s="279">
        <v>0.45115261468491014</v>
      </c>
    </row>
    <row r="182" spans="1:33" x14ac:dyDescent="0.25">
      <c r="A182" s="277" t="s">
        <v>30</v>
      </c>
      <c r="B182" s="277" t="s">
        <v>18</v>
      </c>
      <c r="C182" s="277" t="s">
        <v>115</v>
      </c>
      <c r="D182" s="277" t="s">
        <v>342</v>
      </c>
      <c r="E182" s="277" t="s">
        <v>17</v>
      </c>
      <c r="F182" s="278" t="s">
        <v>343</v>
      </c>
      <c r="G182" s="279">
        <v>0.15038420489497004</v>
      </c>
      <c r="H182" s="279">
        <v>0.15038420489497004</v>
      </c>
      <c r="I182" s="279">
        <v>0.15038420489497004</v>
      </c>
      <c r="J182" s="279">
        <v>0.15038420489497004</v>
      </c>
      <c r="K182" s="279">
        <v>0.15038420489497004</v>
      </c>
      <c r="L182" s="279">
        <v>0.15038420489497004</v>
      </c>
      <c r="M182" s="279">
        <v>0.15038420489497004</v>
      </c>
      <c r="N182" s="279">
        <v>0.15038420489497004</v>
      </c>
      <c r="O182" s="279">
        <v>0.15038420489497004</v>
      </c>
      <c r="P182" s="279">
        <v>0.15038420489497004</v>
      </c>
      <c r="Q182" s="279">
        <v>0.15038420489497004</v>
      </c>
      <c r="R182" s="279">
        <v>0.15038420489497004</v>
      </c>
      <c r="S182" s="279">
        <v>0.15038420489497004</v>
      </c>
      <c r="T182" s="279">
        <v>0.15038420489497004</v>
      </c>
      <c r="U182" s="279">
        <v>0.15038420489497004</v>
      </c>
      <c r="V182" s="279">
        <v>0.15038420489497004</v>
      </c>
      <c r="W182" s="279">
        <v>0.15038420489497004</v>
      </c>
      <c r="X182" s="279">
        <v>0.15038420489497004</v>
      </c>
      <c r="Y182" s="279">
        <v>0.15038420489497004</v>
      </c>
      <c r="Z182" s="279">
        <v>0.15038420489497004</v>
      </c>
      <c r="AA182" s="279">
        <v>0.15038420489497004</v>
      </c>
      <c r="AB182" s="279">
        <v>0.15038420489497004</v>
      </c>
      <c r="AC182" s="279">
        <v>0.15038420489497004</v>
      </c>
      <c r="AD182" s="279">
        <v>0.15038420489497004</v>
      </c>
      <c r="AE182" s="279">
        <v>0.15038420489497004</v>
      </c>
      <c r="AF182" s="279">
        <v>0.15038420489497004</v>
      </c>
      <c r="AG182" s="279">
        <v>0.15038420489497004</v>
      </c>
    </row>
    <row r="183" spans="1:33" x14ac:dyDescent="0.25">
      <c r="A183" s="280" t="s">
        <v>30</v>
      </c>
      <c r="B183" s="280" t="s">
        <v>18</v>
      </c>
      <c r="C183" s="280" t="s">
        <v>115</v>
      </c>
      <c r="D183" s="280" t="s">
        <v>403</v>
      </c>
      <c r="E183" s="280" t="s">
        <v>17</v>
      </c>
      <c r="F183" s="280" t="s">
        <v>404</v>
      </c>
      <c r="G183" s="280">
        <v>20.129999998083846</v>
      </c>
      <c r="H183" s="280">
        <v>20.129999998083846</v>
      </c>
      <c r="I183" s="280">
        <v>20.129999998083846</v>
      </c>
      <c r="J183" s="280">
        <v>20.129999998083846</v>
      </c>
      <c r="K183" s="280">
        <v>20.129999998083846</v>
      </c>
      <c r="L183" s="280">
        <v>20.129999998083846</v>
      </c>
      <c r="M183" s="280">
        <v>20.129999998083846</v>
      </c>
      <c r="N183" s="280">
        <v>20.129999998083846</v>
      </c>
      <c r="O183" s="280">
        <v>20.129999998083846</v>
      </c>
      <c r="P183" s="280">
        <v>20.129999998083846</v>
      </c>
      <c r="Q183" s="280">
        <v>20.129999998083846</v>
      </c>
      <c r="R183" s="280">
        <v>20.129999998083846</v>
      </c>
      <c r="S183" s="280">
        <v>20.129999998083846</v>
      </c>
      <c r="T183" s="280">
        <v>20.129999998083846</v>
      </c>
      <c r="U183" s="280">
        <v>20.129999998083846</v>
      </c>
      <c r="V183" s="280">
        <v>20.129999998083846</v>
      </c>
      <c r="W183" s="280">
        <v>20.129999998083846</v>
      </c>
      <c r="X183" s="280">
        <v>20.129999998083846</v>
      </c>
      <c r="Y183" s="280">
        <v>20.129999998083846</v>
      </c>
      <c r="Z183" s="280">
        <v>20.129999998083846</v>
      </c>
      <c r="AA183" s="280">
        <v>20.129999998083846</v>
      </c>
      <c r="AB183" s="280">
        <v>20.129999998083846</v>
      </c>
      <c r="AC183" s="280">
        <v>20.129999998083846</v>
      </c>
      <c r="AD183" s="280">
        <v>20.129999998083846</v>
      </c>
      <c r="AE183" s="280">
        <v>20.129999998083846</v>
      </c>
      <c r="AF183" s="280">
        <v>20.129999998083846</v>
      </c>
      <c r="AG183" s="280">
        <v>20.129999998083846</v>
      </c>
    </row>
    <row r="184" spans="1:33" x14ac:dyDescent="0.25">
      <c r="A184" s="277" t="s">
        <v>30</v>
      </c>
      <c r="B184" s="277" t="s">
        <v>18</v>
      </c>
      <c r="C184" s="277" t="s">
        <v>115</v>
      </c>
      <c r="D184" s="277" t="s">
        <v>189</v>
      </c>
      <c r="E184" s="277" t="s">
        <v>17</v>
      </c>
      <c r="F184" s="278" t="s">
        <v>190</v>
      </c>
      <c r="G184" s="279">
        <v>4.2966915684277157E-2</v>
      </c>
      <c r="H184" s="279">
        <v>4.2966915684277157E-2</v>
      </c>
      <c r="I184" s="279">
        <v>4.2966915684277157E-2</v>
      </c>
      <c r="J184" s="279">
        <v>4.2966915684277157E-2</v>
      </c>
      <c r="K184" s="279">
        <v>4.2966915684277157E-2</v>
      </c>
      <c r="L184" s="279">
        <v>4.2966915684277157E-2</v>
      </c>
      <c r="M184" s="279">
        <v>4.2966915684277157E-2</v>
      </c>
      <c r="N184" s="279">
        <v>4.2966915684277157E-2</v>
      </c>
      <c r="O184" s="279">
        <v>4.2966915684277157E-2</v>
      </c>
      <c r="P184" s="279">
        <v>4.2966915684277157E-2</v>
      </c>
      <c r="Q184" s="279">
        <v>4.2966915684277157E-2</v>
      </c>
      <c r="R184" s="279">
        <v>4.2966915684277157E-2</v>
      </c>
      <c r="S184" s="279">
        <v>4.2966915684277157E-2</v>
      </c>
      <c r="T184" s="279">
        <v>4.2966915684277157E-2</v>
      </c>
      <c r="U184" s="279">
        <v>4.2966915684277157E-2</v>
      </c>
      <c r="V184" s="279">
        <v>4.2966915684277157E-2</v>
      </c>
      <c r="W184" s="279">
        <v>4.2966915684277157E-2</v>
      </c>
      <c r="X184" s="279">
        <v>4.2966915684277157E-2</v>
      </c>
      <c r="Y184" s="279">
        <v>4.2966915684277157E-2</v>
      </c>
      <c r="Z184" s="279">
        <v>4.2966915684277157E-2</v>
      </c>
      <c r="AA184" s="279">
        <v>4.2966915684277157E-2</v>
      </c>
      <c r="AB184" s="279">
        <v>4.2966915684277157E-2</v>
      </c>
      <c r="AC184" s="279">
        <v>4.2966915684277157E-2</v>
      </c>
      <c r="AD184" s="279">
        <v>4.2966915684277157E-2</v>
      </c>
      <c r="AE184" s="279">
        <v>4.2966915684277157E-2</v>
      </c>
      <c r="AF184" s="279">
        <v>4.2966915684277157E-2</v>
      </c>
      <c r="AG184" s="279">
        <v>4.2966915684277157E-2</v>
      </c>
    </row>
    <row r="185" spans="1:33" x14ac:dyDescent="0.25">
      <c r="A185" s="277" t="s">
        <v>30</v>
      </c>
      <c r="B185" s="277" t="s">
        <v>18</v>
      </c>
      <c r="C185" s="277" t="s">
        <v>115</v>
      </c>
      <c r="D185" s="277" t="s">
        <v>255</v>
      </c>
      <c r="E185" s="277" t="s">
        <v>17</v>
      </c>
      <c r="F185" s="278" t="s">
        <v>256</v>
      </c>
      <c r="G185" s="279">
        <v>0.47263607252704876</v>
      </c>
      <c r="H185" s="279">
        <v>0.47263607252704876</v>
      </c>
      <c r="I185" s="279">
        <v>0.47263607252704876</v>
      </c>
      <c r="J185" s="279">
        <v>0.47263607252704876</v>
      </c>
      <c r="K185" s="279">
        <v>0.47263607252704876</v>
      </c>
      <c r="L185" s="279">
        <v>0.47263607252704876</v>
      </c>
      <c r="M185" s="279">
        <v>0.47263607252704876</v>
      </c>
      <c r="N185" s="279">
        <v>0.47263607252704876</v>
      </c>
      <c r="O185" s="279">
        <v>0.47263607252704876</v>
      </c>
      <c r="P185" s="279">
        <v>0.47263607252704876</v>
      </c>
      <c r="Q185" s="279">
        <v>0.47263607252704876</v>
      </c>
      <c r="R185" s="279">
        <v>0.47263607252704876</v>
      </c>
      <c r="S185" s="279">
        <v>0.47263607252704876</v>
      </c>
      <c r="T185" s="279">
        <v>0.47263607252704876</v>
      </c>
      <c r="U185" s="279">
        <v>0.47263607252704876</v>
      </c>
      <c r="V185" s="279">
        <v>0.47263607252704876</v>
      </c>
      <c r="W185" s="279">
        <v>0.47263607252704876</v>
      </c>
      <c r="X185" s="279">
        <v>0.47263607252704876</v>
      </c>
      <c r="Y185" s="279">
        <v>0.47263607252704876</v>
      </c>
      <c r="Z185" s="279">
        <v>0.47263607252704876</v>
      </c>
      <c r="AA185" s="279">
        <v>0.47263607252704876</v>
      </c>
      <c r="AB185" s="279">
        <v>0.47263607252704876</v>
      </c>
      <c r="AC185" s="279">
        <v>0.47263607252704876</v>
      </c>
      <c r="AD185" s="279">
        <v>0.47263607252704876</v>
      </c>
      <c r="AE185" s="279">
        <v>0.47263607252704876</v>
      </c>
      <c r="AF185" s="279">
        <v>0.47263607252704876</v>
      </c>
      <c r="AG185" s="279">
        <v>0.47263607252704876</v>
      </c>
    </row>
    <row r="186" spans="1:33" x14ac:dyDescent="0.25">
      <c r="A186" s="280" t="s">
        <v>30</v>
      </c>
      <c r="B186" s="280" t="s">
        <v>18</v>
      </c>
      <c r="C186" s="280" t="s">
        <v>115</v>
      </c>
      <c r="D186" s="280" t="s">
        <v>505</v>
      </c>
      <c r="E186" s="280" t="s">
        <v>17</v>
      </c>
      <c r="F186" s="280" t="s">
        <v>506</v>
      </c>
      <c r="G186" s="280">
        <v>26.897289218357496</v>
      </c>
      <c r="H186" s="280">
        <v>26.897289218357496</v>
      </c>
      <c r="I186" s="280">
        <v>26.897289218357496</v>
      </c>
      <c r="J186" s="280">
        <v>26.897289218357496</v>
      </c>
      <c r="K186" s="280">
        <v>26.897289218357496</v>
      </c>
      <c r="L186" s="280">
        <v>26.897289218357496</v>
      </c>
      <c r="M186" s="280">
        <v>26.897289218357496</v>
      </c>
      <c r="N186" s="280">
        <v>26.897289218357496</v>
      </c>
      <c r="O186" s="280">
        <v>26.897289218357496</v>
      </c>
      <c r="P186" s="280">
        <v>26.897289218357496</v>
      </c>
      <c r="Q186" s="280">
        <v>26.897289218357496</v>
      </c>
      <c r="R186" s="280">
        <v>26.897289218357496</v>
      </c>
      <c r="S186" s="280">
        <v>26.897289218357496</v>
      </c>
      <c r="T186" s="280">
        <v>26.897289218357496</v>
      </c>
      <c r="U186" s="280">
        <v>26.897289218357496</v>
      </c>
      <c r="V186" s="280">
        <v>26.897289218357496</v>
      </c>
      <c r="W186" s="280">
        <v>26.897289218357496</v>
      </c>
      <c r="X186" s="280">
        <v>26.897289218357496</v>
      </c>
      <c r="Y186" s="280">
        <v>26.897289218357496</v>
      </c>
      <c r="Z186" s="280">
        <v>26.897289218357496</v>
      </c>
      <c r="AA186" s="280">
        <v>26.897289218357496</v>
      </c>
      <c r="AB186" s="280">
        <v>26.897289218357496</v>
      </c>
      <c r="AC186" s="280">
        <v>26.897289218357496</v>
      </c>
      <c r="AD186" s="280">
        <v>26.897289218357496</v>
      </c>
      <c r="AE186" s="280">
        <v>26.897289218357496</v>
      </c>
      <c r="AF186" s="280">
        <v>26.897289218357496</v>
      </c>
      <c r="AG186" s="280">
        <v>26.897289218357496</v>
      </c>
    </row>
    <row r="187" spans="1:33" x14ac:dyDescent="0.25">
      <c r="A187" s="280" t="s">
        <v>30</v>
      </c>
      <c r="B187" s="280" t="s">
        <v>18</v>
      </c>
      <c r="C187" s="280" t="s">
        <v>115</v>
      </c>
      <c r="D187" s="280" t="s">
        <v>81</v>
      </c>
      <c r="E187" s="280" t="s">
        <v>17</v>
      </c>
      <c r="F187" s="280" t="s">
        <v>497</v>
      </c>
      <c r="G187" s="280">
        <v>0.21483457842138576</v>
      </c>
      <c r="H187" s="280">
        <v>0.21483457842138576</v>
      </c>
      <c r="I187" s="280">
        <v>0.21483457842138576</v>
      </c>
      <c r="J187" s="280">
        <v>0.21483457842138576</v>
      </c>
      <c r="K187" s="280">
        <v>0.21483457842138576</v>
      </c>
      <c r="L187" s="280">
        <v>0.21483457842138576</v>
      </c>
      <c r="M187" s="280">
        <v>0.21483457842138576</v>
      </c>
      <c r="N187" s="280">
        <v>0.21483457842138576</v>
      </c>
      <c r="O187" s="280">
        <v>0.21483457842138576</v>
      </c>
      <c r="P187" s="280">
        <v>0.21483457842138576</v>
      </c>
      <c r="Q187" s="280">
        <v>0.21483457842138576</v>
      </c>
      <c r="R187" s="280">
        <v>0.21483457842138576</v>
      </c>
      <c r="S187" s="280">
        <v>0.21483457842138576</v>
      </c>
      <c r="T187" s="280">
        <v>0.21483457842138576</v>
      </c>
      <c r="U187" s="280">
        <v>0.21483457842138576</v>
      </c>
      <c r="V187" s="280">
        <v>0.21483457842138576</v>
      </c>
      <c r="W187" s="280">
        <v>0.21483457842138576</v>
      </c>
      <c r="X187" s="280">
        <v>0.21483457842138576</v>
      </c>
      <c r="Y187" s="280">
        <v>0.21483457842138576</v>
      </c>
      <c r="Z187" s="280">
        <v>0.21483457842138576</v>
      </c>
      <c r="AA187" s="280">
        <v>0.21483457842138576</v>
      </c>
      <c r="AB187" s="280">
        <v>0.21483457842138576</v>
      </c>
      <c r="AC187" s="280">
        <v>0.21483457842138576</v>
      </c>
      <c r="AD187" s="280">
        <v>0.21483457842138576</v>
      </c>
      <c r="AE187" s="280">
        <v>0.21483457842138576</v>
      </c>
      <c r="AF187" s="280">
        <v>0.21483457842138576</v>
      </c>
      <c r="AG187" s="280">
        <v>0.21483457842138576</v>
      </c>
    </row>
    <row r="188" spans="1:33" x14ac:dyDescent="0.25">
      <c r="A188" s="280" t="s">
        <v>30</v>
      </c>
      <c r="B188" s="280" t="s">
        <v>18</v>
      </c>
      <c r="C188" s="280" t="s">
        <v>115</v>
      </c>
      <c r="D188" s="280" t="s">
        <v>442</v>
      </c>
      <c r="E188" s="280" t="s">
        <v>17</v>
      </c>
      <c r="F188" s="280" t="s">
        <v>443</v>
      </c>
      <c r="G188" s="280">
        <v>1.5682924224761163</v>
      </c>
      <c r="H188" s="280">
        <v>1.5682924224761163</v>
      </c>
      <c r="I188" s="280">
        <v>1.5682924224761163</v>
      </c>
      <c r="J188" s="280">
        <v>1.5682924224761163</v>
      </c>
      <c r="K188" s="280">
        <v>1.5682924224761163</v>
      </c>
      <c r="L188" s="280">
        <v>1.5682924224761163</v>
      </c>
      <c r="M188" s="280">
        <v>1.5682924224761163</v>
      </c>
      <c r="N188" s="280">
        <v>1.5682924224761163</v>
      </c>
      <c r="O188" s="280">
        <v>1.5682924224761163</v>
      </c>
      <c r="P188" s="280">
        <v>1.5682924224761163</v>
      </c>
      <c r="Q188" s="280">
        <v>1.5682924224761163</v>
      </c>
      <c r="R188" s="280">
        <v>1.5682924224761163</v>
      </c>
      <c r="S188" s="280">
        <v>1.5682924224761163</v>
      </c>
      <c r="T188" s="280">
        <v>1.5682924224761163</v>
      </c>
      <c r="U188" s="280">
        <v>1.5682924224761163</v>
      </c>
      <c r="V188" s="280">
        <v>1.5682924224761163</v>
      </c>
      <c r="W188" s="280">
        <v>1.5682924224761163</v>
      </c>
      <c r="X188" s="280">
        <v>1.5682924224761163</v>
      </c>
      <c r="Y188" s="280">
        <v>1.5682924224761163</v>
      </c>
      <c r="Z188" s="280">
        <v>1.5682924224761163</v>
      </c>
      <c r="AA188" s="280">
        <v>1.5682924224761163</v>
      </c>
      <c r="AB188" s="280">
        <v>1.5682924224761163</v>
      </c>
      <c r="AC188" s="280">
        <v>1.5682924224761163</v>
      </c>
      <c r="AD188" s="280">
        <v>1.5682924224761163</v>
      </c>
      <c r="AE188" s="280">
        <v>1.5682924224761163</v>
      </c>
      <c r="AF188" s="280">
        <v>1.5682924224761163</v>
      </c>
      <c r="AG188" s="280">
        <v>1.5682924224761163</v>
      </c>
    </row>
    <row r="189" spans="1:33" x14ac:dyDescent="0.25">
      <c r="A189" s="280" t="s">
        <v>30</v>
      </c>
      <c r="B189" s="280" t="s">
        <v>18</v>
      </c>
      <c r="C189" s="280" t="s">
        <v>115</v>
      </c>
      <c r="D189" s="280" t="s">
        <v>387</v>
      </c>
      <c r="E189" s="280" t="s">
        <v>17</v>
      </c>
      <c r="F189" s="280" t="s">
        <v>388</v>
      </c>
      <c r="G189" s="280">
        <v>0.94527214505409751</v>
      </c>
      <c r="H189" s="280">
        <v>0.94527214505409751</v>
      </c>
      <c r="I189" s="280">
        <v>0.94527214505409751</v>
      </c>
      <c r="J189" s="280">
        <v>0.94527214505409751</v>
      </c>
      <c r="K189" s="280">
        <v>0.94527214505409751</v>
      </c>
      <c r="L189" s="280">
        <v>0.94527214505409751</v>
      </c>
      <c r="M189" s="280">
        <v>0.94527214505409751</v>
      </c>
      <c r="N189" s="280">
        <v>0.94527214505409751</v>
      </c>
      <c r="O189" s="280">
        <v>0.94527214505409751</v>
      </c>
      <c r="P189" s="280">
        <v>0.94527214505409751</v>
      </c>
      <c r="Q189" s="280">
        <v>0.94527214505409751</v>
      </c>
      <c r="R189" s="280">
        <v>0.94527214505409751</v>
      </c>
      <c r="S189" s="280">
        <v>0.94527214505409751</v>
      </c>
      <c r="T189" s="280">
        <v>0.94527214505409751</v>
      </c>
      <c r="U189" s="280">
        <v>0.94527214505409751</v>
      </c>
      <c r="V189" s="280">
        <v>0.94527214505409751</v>
      </c>
      <c r="W189" s="280">
        <v>0.94527214505409751</v>
      </c>
      <c r="X189" s="280">
        <v>0.94527214505409751</v>
      </c>
      <c r="Y189" s="280">
        <v>0.94527214505409751</v>
      </c>
      <c r="Z189" s="280">
        <v>0.94527214505409751</v>
      </c>
      <c r="AA189" s="280">
        <v>0.94527214505409751</v>
      </c>
      <c r="AB189" s="280">
        <v>0.94527214505409751</v>
      </c>
      <c r="AC189" s="280">
        <v>0.94527214505409751</v>
      </c>
      <c r="AD189" s="280">
        <v>0.94527214505409751</v>
      </c>
      <c r="AE189" s="280">
        <v>0.94527214505409751</v>
      </c>
      <c r="AF189" s="280">
        <v>0.94527214505409751</v>
      </c>
      <c r="AG189" s="280">
        <v>0.94527214505409751</v>
      </c>
    </row>
    <row r="190" spans="1:33" x14ac:dyDescent="0.25">
      <c r="A190" s="280" t="s">
        <v>30</v>
      </c>
      <c r="B190" s="280" t="s">
        <v>18</v>
      </c>
      <c r="C190" s="280" t="s">
        <v>115</v>
      </c>
      <c r="D190" s="280" t="s">
        <v>407</v>
      </c>
      <c r="E190" s="280" t="s">
        <v>17</v>
      </c>
      <c r="F190" s="280" t="s">
        <v>408</v>
      </c>
      <c r="G190" s="280">
        <v>4.9411953036918739</v>
      </c>
      <c r="H190" s="280">
        <v>4.9411953036918739</v>
      </c>
      <c r="I190" s="280">
        <v>4.9411953036918739</v>
      </c>
      <c r="J190" s="280">
        <v>4.9411953036918739</v>
      </c>
      <c r="K190" s="280">
        <v>4.9411953036918739</v>
      </c>
      <c r="L190" s="280">
        <v>4.9411953036918739</v>
      </c>
      <c r="M190" s="280">
        <v>4.9411953036918739</v>
      </c>
      <c r="N190" s="280">
        <v>4.9411953036918739</v>
      </c>
      <c r="O190" s="280">
        <v>4.9411953036918739</v>
      </c>
      <c r="P190" s="280">
        <v>4.9411953036918739</v>
      </c>
      <c r="Q190" s="280">
        <v>4.9411953036918739</v>
      </c>
      <c r="R190" s="280">
        <v>4.9411953036918739</v>
      </c>
      <c r="S190" s="280">
        <v>4.9411953036918739</v>
      </c>
      <c r="T190" s="280">
        <v>4.9411953036918739</v>
      </c>
      <c r="U190" s="280">
        <v>4.9411953036918739</v>
      </c>
      <c r="V190" s="280">
        <v>4.9411953036918739</v>
      </c>
      <c r="W190" s="280">
        <v>4.9411953036918739</v>
      </c>
      <c r="X190" s="280">
        <v>4.9411953036918739</v>
      </c>
      <c r="Y190" s="280">
        <v>4.9411953036918739</v>
      </c>
      <c r="Z190" s="280">
        <v>4.9411953036918739</v>
      </c>
      <c r="AA190" s="280">
        <v>4.9411953036918739</v>
      </c>
      <c r="AB190" s="280">
        <v>4.9411953036918739</v>
      </c>
      <c r="AC190" s="280">
        <v>4.9411953036918739</v>
      </c>
      <c r="AD190" s="280">
        <v>4.9411953036918739</v>
      </c>
      <c r="AE190" s="280">
        <v>4.9411953036918739</v>
      </c>
      <c r="AF190" s="280">
        <v>4.9411953036918739</v>
      </c>
      <c r="AG190" s="280">
        <v>4.9411953036918739</v>
      </c>
    </row>
    <row r="191" spans="1:33" x14ac:dyDescent="0.25">
      <c r="A191" s="277" t="s">
        <v>30</v>
      </c>
      <c r="B191" s="277" t="s">
        <v>18</v>
      </c>
      <c r="C191" s="277" t="s">
        <v>115</v>
      </c>
      <c r="D191" s="277" t="s">
        <v>122</v>
      </c>
      <c r="E191" s="277" t="s">
        <v>17</v>
      </c>
      <c r="F191" s="278" t="s">
        <v>123</v>
      </c>
      <c r="G191" s="279">
        <v>10.999530415174952</v>
      </c>
      <c r="H191" s="279">
        <v>10.999530415174952</v>
      </c>
      <c r="I191" s="279">
        <v>10.999530415174952</v>
      </c>
      <c r="J191" s="279">
        <v>10.999530415174952</v>
      </c>
      <c r="K191" s="279">
        <v>10.999530415174952</v>
      </c>
      <c r="L191" s="279">
        <v>10.999530415174952</v>
      </c>
      <c r="M191" s="279">
        <v>10.999530415174952</v>
      </c>
      <c r="N191" s="279">
        <v>10.999530415174952</v>
      </c>
      <c r="O191" s="279">
        <v>10.999530415174952</v>
      </c>
      <c r="P191" s="279">
        <v>10.999530415174952</v>
      </c>
      <c r="Q191" s="279">
        <v>10.999530415174952</v>
      </c>
      <c r="R191" s="279">
        <v>10.999530415174952</v>
      </c>
      <c r="S191" s="279">
        <v>10.999530415174952</v>
      </c>
      <c r="T191" s="279">
        <v>10.999530415174952</v>
      </c>
      <c r="U191" s="279">
        <v>10.999530415174952</v>
      </c>
      <c r="V191" s="279">
        <v>10.999530415174952</v>
      </c>
      <c r="W191" s="279">
        <v>10.999530415174952</v>
      </c>
      <c r="X191" s="279">
        <v>10.999530415174952</v>
      </c>
      <c r="Y191" s="279">
        <v>10.999530415174952</v>
      </c>
      <c r="Z191" s="279">
        <v>10.999530415174952</v>
      </c>
      <c r="AA191" s="279">
        <v>10.999530415174952</v>
      </c>
      <c r="AB191" s="279">
        <v>10.999530415174952</v>
      </c>
      <c r="AC191" s="279">
        <v>10.999530415174952</v>
      </c>
      <c r="AD191" s="279">
        <v>10.999530415174952</v>
      </c>
      <c r="AE191" s="279">
        <v>10.999530415174952</v>
      </c>
      <c r="AF191" s="279">
        <v>10.999530415174952</v>
      </c>
      <c r="AG191" s="279">
        <v>10.999530415174952</v>
      </c>
    </row>
    <row r="192" spans="1:33" x14ac:dyDescent="0.25">
      <c r="A192" s="277" t="s">
        <v>30</v>
      </c>
      <c r="B192" s="277" t="s">
        <v>18</v>
      </c>
      <c r="C192" s="277" t="s">
        <v>115</v>
      </c>
      <c r="D192" s="277" t="s">
        <v>249</v>
      </c>
      <c r="E192" s="277" t="s">
        <v>17</v>
      </c>
      <c r="F192" s="278" t="s">
        <v>250</v>
      </c>
      <c r="G192" s="279">
        <v>8.0777801486441057</v>
      </c>
      <c r="H192" s="279">
        <v>8.0777801486441057</v>
      </c>
      <c r="I192" s="279">
        <v>8.0777801486441057</v>
      </c>
      <c r="J192" s="279">
        <v>8.0777801486441057</v>
      </c>
      <c r="K192" s="279">
        <v>8.0777801486441057</v>
      </c>
      <c r="L192" s="279">
        <v>8.0777801486441057</v>
      </c>
      <c r="M192" s="279">
        <v>8.0777801486441057</v>
      </c>
      <c r="N192" s="279">
        <v>8.0777801486441057</v>
      </c>
      <c r="O192" s="279">
        <v>8.0777801486441057</v>
      </c>
      <c r="P192" s="279">
        <v>8.0777801486441057</v>
      </c>
      <c r="Q192" s="279">
        <v>8.0777801486441057</v>
      </c>
      <c r="R192" s="279">
        <v>8.0777801486441057</v>
      </c>
      <c r="S192" s="279">
        <v>8.0777801486441057</v>
      </c>
      <c r="T192" s="279">
        <v>8.0777801486441057</v>
      </c>
      <c r="U192" s="279">
        <v>8.0777801486441057</v>
      </c>
      <c r="V192" s="279">
        <v>8.0777801486441057</v>
      </c>
      <c r="W192" s="279">
        <v>8.0777801486441057</v>
      </c>
      <c r="X192" s="279">
        <v>8.0777801486441057</v>
      </c>
      <c r="Y192" s="279">
        <v>8.0777801486441057</v>
      </c>
      <c r="Z192" s="279">
        <v>8.0777801486441057</v>
      </c>
      <c r="AA192" s="279">
        <v>8.0777801486441057</v>
      </c>
      <c r="AB192" s="279">
        <v>8.0777801486441057</v>
      </c>
      <c r="AC192" s="279">
        <v>8.0777801486441057</v>
      </c>
      <c r="AD192" s="279">
        <v>8.0777801486441057</v>
      </c>
      <c r="AE192" s="279">
        <v>8.0777801486441057</v>
      </c>
      <c r="AF192" s="279">
        <v>8.0777801486441057</v>
      </c>
      <c r="AG192" s="279">
        <v>8.0777801486441057</v>
      </c>
    </row>
    <row r="193" spans="1:33" x14ac:dyDescent="0.25">
      <c r="A193" s="277" t="s">
        <v>30</v>
      </c>
      <c r="B193" s="277" t="s">
        <v>18</v>
      </c>
      <c r="C193" s="277" t="s">
        <v>115</v>
      </c>
      <c r="D193" s="277" t="s">
        <v>198</v>
      </c>
      <c r="E193" s="277" t="s">
        <v>17</v>
      </c>
      <c r="F193" s="278" t="s">
        <v>199</v>
      </c>
      <c r="G193" s="279">
        <v>0.49411953036918727</v>
      </c>
      <c r="H193" s="279">
        <v>0.49411953036918727</v>
      </c>
      <c r="I193" s="279">
        <v>0.49411953036918727</v>
      </c>
      <c r="J193" s="279">
        <v>0.49411953036918727</v>
      </c>
      <c r="K193" s="279">
        <v>0.49411953036918727</v>
      </c>
      <c r="L193" s="279">
        <v>0.49411953036918727</v>
      </c>
      <c r="M193" s="279">
        <v>0.49411953036918727</v>
      </c>
      <c r="N193" s="279">
        <v>0.49411953036918727</v>
      </c>
      <c r="O193" s="279">
        <v>0.49411953036918727</v>
      </c>
      <c r="P193" s="279">
        <v>0.49411953036918727</v>
      </c>
      <c r="Q193" s="279">
        <v>0.49411953036918727</v>
      </c>
      <c r="R193" s="279">
        <v>0.49411953036918727</v>
      </c>
      <c r="S193" s="279">
        <v>0.49411953036918727</v>
      </c>
      <c r="T193" s="279">
        <v>0.49411953036918727</v>
      </c>
      <c r="U193" s="279">
        <v>0.49411953036918727</v>
      </c>
      <c r="V193" s="279">
        <v>0.49411953036918727</v>
      </c>
      <c r="W193" s="279">
        <v>0.49411953036918727</v>
      </c>
      <c r="X193" s="279">
        <v>0.49411953036918727</v>
      </c>
      <c r="Y193" s="279">
        <v>0.49411953036918727</v>
      </c>
      <c r="Z193" s="279">
        <v>0.49411953036918727</v>
      </c>
      <c r="AA193" s="279">
        <v>0.49411953036918727</v>
      </c>
      <c r="AB193" s="279">
        <v>0.49411953036918727</v>
      </c>
      <c r="AC193" s="279">
        <v>0.49411953036918727</v>
      </c>
      <c r="AD193" s="279">
        <v>0.49411953036918727</v>
      </c>
      <c r="AE193" s="279">
        <v>0.49411953036918727</v>
      </c>
      <c r="AF193" s="279">
        <v>0.49411953036918727</v>
      </c>
      <c r="AG193" s="279">
        <v>0.49411953036918727</v>
      </c>
    </row>
    <row r="194" spans="1:33" x14ac:dyDescent="0.25">
      <c r="A194" s="277" t="s">
        <v>30</v>
      </c>
      <c r="B194" s="277" t="s">
        <v>18</v>
      </c>
      <c r="C194" s="277" t="s">
        <v>115</v>
      </c>
      <c r="D194" s="277" t="s">
        <v>171</v>
      </c>
      <c r="E194" s="277" t="s">
        <v>17</v>
      </c>
      <c r="F194" s="278" t="s">
        <v>172</v>
      </c>
      <c r="G194" s="279">
        <v>7.4762433290642241</v>
      </c>
      <c r="H194" s="279">
        <v>7.4762433290642241</v>
      </c>
      <c r="I194" s="279">
        <v>7.4762433290642241</v>
      </c>
      <c r="J194" s="279">
        <v>7.4762433290642241</v>
      </c>
      <c r="K194" s="279">
        <v>7.4762433290642241</v>
      </c>
      <c r="L194" s="279">
        <v>7.4762433290642241</v>
      </c>
      <c r="M194" s="279">
        <v>7.4762433290642241</v>
      </c>
      <c r="N194" s="279">
        <v>7.4762433290642241</v>
      </c>
      <c r="O194" s="279">
        <v>7.4762433290642241</v>
      </c>
      <c r="P194" s="279">
        <v>7.4762433290642241</v>
      </c>
      <c r="Q194" s="279">
        <v>7.4762433290642241</v>
      </c>
      <c r="R194" s="279">
        <v>7.4762433290642241</v>
      </c>
      <c r="S194" s="279">
        <v>7.4762433290642241</v>
      </c>
      <c r="T194" s="279">
        <v>7.4762433290642241</v>
      </c>
      <c r="U194" s="279">
        <v>7.4762433290642241</v>
      </c>
      <c r="V194" s="279">
        <v>7.4762433290642241</v>
      </c>
      <c r="W194" s="279">
        <v>7.4762433290642241</v>
      </c>
      <c r="X194" s="279">
        <v>7.4762433290642241</v>
      </c>
      <c r="Y194" s="279">
        <v>7.4762433290642241</v>
      </c>
      <c r="Z194" s="279">
        <v>7.4762433290642241</v>
      </c>
      <c r="AA194" s="279">
        <v>7.4762433290642241</v>
      </c>
      <c r="AB194" s="279">
        <v>7.4762433290642241</v>
      </c>
      <c r="AC194" s="279">
        <v>7.4762433290642241</v>
      </c>
      <c r="AD194" s="279">
        <v>7.4762433290642241</v>
      </c>
      <c r="AE194" s="279">
        <v>7.4762433290642241</v>
      </c>
      <c r="AF194" s="279">
        <v>7.4762433290642241</v>
      </c>
      <c r="AG194" s="279">
        <v>7.4762433290642241</v>
      </c>
    </row>
    <row r="195" spans="1:33" x14ac:dyDescent="0.25">
      <c r="A195" s="277" t="s">
        <v>30</v>
      </c>
      <c r="B195" s="277" t="s">
        <v>18</v>
      </c>
      <c r="C195" s="277" t="s">
        <v>115</v>
      </c>
      <c r="D195" s="277" t="s">
        <v>263</v>
      </c>
      <c r="E195" s="277" t="s">
        <v>17</v>
      </c>
      <c r="F195" s="278" t="s">
        <v>264</v>
      </c>
      <c r="G195" s="279">
        <v>5.6501494124824463</v>
      </c>
      <c r="H195" s="279">
        <v>5.6501494124824463</v>
      </c>
      <c r="I195" s="279">
        <v>5.6501494124824463</v>
      </c>
      <c r="J195" s="279">
        <v>5.6501494124824463</v>
      </c>
      <c r="K195" s="279">
        <v>5.6501494124824463</v>
      </c>
      <c r="L195" s="279">
        <v>5.6501494124824463</v>
      </c>
      <c r="M195" s="279">
        <v>5.6501494124824463</v>
      </c>
      <c r="N195" s="279">
        <v>5.6501494124824463</v>
      </c>
      <c r="O195" s="279">
        <v>5.6501494124824463</v>
      </c>
      <c r="P195" s="279">
        <v>5.6501494124824463</v>
      </c>
      <c r="Q195" s="279">
        <v>5.6501494124824463</v>
      </c>
      <c r="R195" s="279">
        <v>5.6501494124824463</v>
      </c>
      <c r="S195" s="279">
        <v>5.6501494124824463</v>
      </c>
      <c r="T195" s="279">
        <v>5.6501494124824463</v>
      </c>
      <c r="U195" s="279">
        <v>5.6501494124824463</v>
      </c>
      <c r="V195" s="279">
        <v>5.6501494124824463</v>
      </c>
      <c r="W195" s="279">
        <v>5.6501494124824463</v>
      </c>
      <c r="X195" s="279">
        <v>5.6501494124824463</v>
      </c>
      <c r="Y195" s="279">
        <v>5.6501494124824463</v>
      </c>
      <c r="Z195" s="279">
        <v>5.6501494124824463</v>
      </c>
      <c r="AA195" s="279">
        <v>5.6501494124824463</v>
      </c>
      <c r="AB195" s="279">
        <v>5.6501494124824463</v>
      </c>
      <c r="AC195" s="279">
        <v>5.6501494124824463</v>
      </c>
      <c r="AD195" s="279">
        <v>5.6501494124824463</v>
      </c>
      <c r="AE195" s="279">
        <v>5.6501494124824463</v>
      </c>
      <c r="AF195" s="279">
        <v>5.6501494124824463</v>
      </c>
      <c r="AG195" s="279">
        <v>5.6501494124824463</v>
      </c>
    </row>
    <row r="196" spans="1:33" x14ac:dyDescent="0.25">
      <c r="A196" s="277" t="s">
        <v>30</v>
      </c>
      <c r="B196" s="277" t="s">
        <v>18</v>
      </c>
      <c r="C196" s="277" t="s">
        <v>115</v>
      </c>
      <c r="D196" s="277" t="s">
        <v>235</v>
      </c>
      <c r="E196" s="277" t="s">
        <v>17</v>
      </c>
      <c r="F196" s="278" t="s">
        <v>236</v>
      </c>
      <c r="G196" s="279">
        <v>20.087033082399572</v>
      </c>
      <c r="H196" s="279">
        <v>20.087033082399572</v>
      </c>
      <c r="I196" s="279">
        <v>20.087033082399572</v>
      </c>
      <c r="J196" s="279">
        <v>20.087033082399572</v>
      </c>
      <c r="K196" s="279">
        <v>20.087033082399572</v>
      </c>
      <c r="L196" s="279">
        <v>20.087033082399572</v>
      </c>
      <c r="M196" s="279">
        <v>20.087033082399572</v>
      </c>
      <c r="N196" s="279">
        <v>20.087033082399572</v>
      </c>
      <c r="O196" s="279">
        <v>20.087033082399572</v>
      </c>
      <c r="P196" s="279">
        <v>20.087033082399572</v>
      </c>
      <c r="Q196" s="279">
        <v>20.087033082399572</v>
      </c>
      <c r="R196" s="279">
        <v>20.087033082399572</v>
      </c>
      <c r="S196" s="279">
        <v>20.087033082399572</v>
      </c>
      <c r="T196" s="279">
        <v>20.087033082399572</v>
      </c>
      <c r="U196" s="279">
        <v>20.087033082399572</v>
      </c>
      <c r="V196" s="279">
        <v>20.087033082399572</v>
      </c>
      <c r="W196" s="279">
        <v>20.087033082399572</v>
      </c>
      <c r="X196" s="279">
        <v>20.087033082399572</v>
      </c>
      <c r="Y196" s="279">
        <v>20.087033082399572</v>
      </c>
      <c r="Z196" s="279">
        <v>20.087033082399572</v>
      </c>
      <c r="AA196" s="279">
        <v>20.087033082399572</v>
      </c>
      <c r="AB196" s="279">
        <v>20.087033082399572</v>
      </c>
      <c r="AC196" s="279">
        <v>20.087033082399572</v>
      </c>
      <c r="AD196" s="279">
        <v>20.087033082399572</v>
      </c>
      <c r="AE196" s="279">
        <v>20.087033082399572</v>
      </c>
      <c r="AF196" s="279">
        <v>20.087033082399572</v>
      </c>
      <c r="AG196" s="279">
        <v>20.087033082399572</v>
      </c>
    </row>
    <row r="197" spans="1:33" x14ac:dyDescent="0.25">
      <c r="A197" s="277" t="s">
        <v>30</v>
      </c>
      <c r="B197" s="277" t="s">
        <v>18</v>
      </c>
      <c r="C197" s="277" t="s">
        <v>115</v>
      </c>
      <c r="D197" s="277" t="s">
        <v>143</v>
      </c>
      <c r="E197" s="277" t="s">
        <v>17</v>
      </c>
      <c r="F197" s="278" t="s">
        <v>144</v>
      </c>
      <c r="G197" s="279">
        <v>3.2869690498472028</v>
      </c>
      <c r="H197" s="279">
        <v>3.2869690498472028</v>
      </c>
      <c r="I197" s="279">
        <v>3.2869690498472028</v>
      </c>
      <c r="J197" s="279">
        <v>3.2869690498472028</v>
      </c>
      <c r="K197" s="279">
        <v>3.2869690498472028</v>
      </c>
      <c r="L197" s="279">
        <v>3.2869690498472028</v>
      </c>
      <c r="M197" s="279">
        <v>3.2869690498472028</v>
      </c>
      <c r="N197" s="279">
        <v>3.2869690498472028</v>
      </c>
      <c r="O197" s="279">
        <v>3.2869690498472028</v>
      </c>
      <c r="P197" s="279">
        <v>3.2869690498472028</v>
      </c>
      <c r="Q197" s="279">
        <v>3.2869690498472028</v>
      </c>
      <c r="R197" s="279">
        <v>3.2869690498472028</v>
      </c>
      <c r="S197" s="279">
        <v>3.2869690498472028</v>
      </c>
      <c r="T197" s="279">
        <v>3.2869690498472028</v>
      </c>
      <c r="U197" s="279">
        <v>3.2869690498472028</v>
      </c>
      <c r="V197" s="279">
        <v>3.2869690498472028</v>
      </c>
      <c r="W197" s="279">
        <v>3.2869690498472028</v>
      </c>
      <c r="X197" s="279">
        <v>3.2869690498472028</v>
      </c>
      <c r="Y197" s="279">
        <v>3.2869690498472028</v>
      </c>
      <c r="Z197" s="279">
        <v>3.2869690498472028</v>
      </c>
      <c r="AA197" s="279">
        <v>3.2869690498472028</v>
      </c>
      <c r="AB197" s="279">
        <v>3.2869690498472028</v>
      </c>
      <c r="AC197" s="279">
        <v>3.2869690498472028</v>
      </c>
      <c r="AD197" s="279">
        <v>3.2869690498472028</v>
      </c>
      <c r="AE197" s="279">
        <v>3.2869690498472028</v>
      </c>
      <c r="AF197" s="279">
        <v>3.2869690498472028</v>
      </c>
      <c r="AG197" s="279">
        <v>3.2869690498472028</v>
      </c>
    </row>
    <row r="198" spans="1:33" x14ac:dyDescent="0.25">
      <c r="A198" s="280" t="s">
        <v>30</v>
      </c>
      <c r="B198" s="280" t="s">
        <v>18</v>
      </c>
      <c r="C198" s="280" t="s">
        <v>115</v>
      </c>
      <c r="D198" s="280" t="s">
        <v>521</v>
      </c>
      <c r="E198" s="280" t="s">
        <v>17</v>
      </c>
      <c r="F198" s="280" t="s">
        <v>522</v>
      </c>
      <c r="G198" s="280">
        <v>0.15038420489497004</v>
      </c>
      <c r="H198" s="280">
        <v>0.15038420489497004</v>
      </c>
      <c r="I198" s="280">
        <v>0.15038420489497004</v>
      </c>
      <c r="J198" s="280">
        <v>0.15038420489497004</v>
      </c>
      <c r="K198" s="280">
        <v>0.15038420489497004</v>
      </c>
      <c r="L198" s="280">
        <v>0.15038420489497004</v>
      </c>
      <c r="M198" s="280">
        <v>0.15038420489497004</v>
      </c>
      <c r="N198" s="280">
        <v>0.15038420489497004</v>
      </c>
      <c r="O198" s="280">
        <v>0.15038420489497004</v>
      </c>
      <c r="P198" s="280">
        <v>0.15038420489497004</v>
      </c>
      <c r="Q198" s="280">
        <v>0.15038420489497004</v>
      </c>
      <c r="R198" s="280">
        <v>0.15038420489497004</v>
      </c>
      <c r="S198" s="280">
        <v>0.15038420489497004</v>
      </c>
      <c r="T198" s="280">
        <v>0.15038420489497004</v>
      </c>
      <c r="U198" s="280">
        <v>0.15038420489497004</v>
      </c>
      <c r="V198" s="280">
        <v>0.15038420489497004</v>
      </c>
      <c r="W198" s="280">
        <v>0.15038420489497004</v>
      </c>
      <c r="X198" s="280">
        <v>0.15038420489497004</v>
      </c>
      <c r="Y198" s="280">
        <v>0.15038420489497004</v>
      </c>
      <c r="Z198" s="280">
        <v>0.15038420489497004</v>
      </c>
      <c r="AA198" s="280">
        <v>0.15038420489497004</v>
      </c>
      <c r="AB198" s="280">
        <v>0.15038420489497004</v>
      </c>
      <c r="AC198" s="280">
        <v>0.15038420489497004</v>
      </c>
      <c r="AD198" s="280">
        <v>0.15038420489497004</v>
      </c>
      <c r="AE198" s="280">
        <v>0.15038420489497004</v>
      </c>
      <c r="AF198" s="280">
        <v>0.15038420489497004</v>
      </c>
      <c r="AG198" s="280">
        <v>0.15038420489497004</v>
      </c>
    </row>
    <row r="199" spans="1:33" x14ac:dyDescent="0.25">
      <c r="A199" s="277" t="s">
        <v>30</v>
      </c>
      <c r="B199" s="277" t="s">
        <v>18</v>
      </c>
      <c r="C199" s="277" t="s">
        <v>115</v>
      </c>
      <c r="D199" s="277" t="s">
        <v>44</v>
      </c>
      <c r="E199" s="277" t="s">
        <v>17</v>
      </c>
      <c r="F199" s="278" t="s">
        <v>176</v>
      </c>
      <c r="G199" s="279">
        <v>5.6501494124824463</v>
      </c>
      <c r="H199" s="279">
        <v>5.6501494124824463</v>
      </c>
      <c r="I199" s="279">
        <v>5.6501494124824463</v>
      </c>
      <c r="J199" s="279">
        <v>5.6501494124824463</v>
      </c>
      <c r="K199" s="279">
        <v>5.6501494124824463</v>
      </c>
      <c r="L199" s="279">
        <v>5.6501494124824463</v>
      </c>
      <c r="M199" s="279">
        <v>5.6501494124824463</v>
      </c>
      <c r="N199" s="279">
        <v>5.6501494124824463</v>
      </c>
      <c r="O199" s="279">
        <v>5.6501494124824463</v>
      </c>
      <c r="P199" s="279">
        <v>5.6501494124824463</v>
      </c>
      <c r="Q199" s="279">
        <v>5.6501494124824463</v>
      </c>
      <c r="R199" s="279">
        <v>5.6501494124824463</v>
      </c>
      <c r="S199" s="279">
        <v>5.6501494124824463</v>
      </c>
      <c r="T199" s="279">
        <v>5.6501494124824463</v>
      </c>
      <c r="U199" s="279">
        <v>5.6501494124824463</v>
      </c>
      <c r="V199" s="279">
        <v>5.6501494124824463</v>
      </c>
      <c r="W199" s="279">
        <v>5.6501494124824463</v>
      </c>
      <c r="X199" s="279">
        <v>5.6501494124824463</v>
      </c>
      <c r="Y199" s="279">
        <v>5.6501494124824463</v>
      </c>
      <c r="Z199" s="279">
        <v>5.6501494124824463</v>
      </c>
      <c r="AA199" s="279">
        <v>5.6501494124824463</v>
      </c>
      <c r="AB199" s="279">
        <v>5.6501494124824463</v>
      </c>
      <c r="AC199" s="279">
        <v>5.6501494124824463</v>
      </c>
      <c r="AD199" s="279">
        <v>5.6501494124824463</v>
      </c>
      <c r="AE199" s="279">
        <v>5.6501494124824463</v>
      </c>
      <c r="AF199" s="279">
        <v>5.6501494124824463</v>
      </c>
      <c r="AG199" s="279">
        <v>5.6501494124824463</v>
      </c>
    </row>
    <row r="200" spans="1:33" x14ac:dyDescent="0.25">
      <c r="A200" s="280" t="s">
        <v>30</v>
      </c>
      <c r="B200" s="280" t="s">
        <v>18</v>
      </c>
      <c r="C200" s="280" t="s">
        <v>115</v>
      </c>
      <c r="D200" s="280" t="s">
        <v>53</v>
      </c>
      <c r="E200" s="280" t="s">
        <v>17</v>
      </c>
      <c r="F200" s="280" t="s">
        <v>378</v>
      </c>
      <c r="G200" s="280">
        <v>10.011291354436578</v>
      </c>
      <c r="H200" s="280">
        <v>10.011291354436578</v>
      </c>
      <c r="I200" s="280">
        <v>10.011291354436578</v>
      </c>
      <c r="J200" s="280">
        <v>10.011291354436578</v>
      </c>
      <c r="K200" s="280">
        <v>10.011291354436578</v>
      </c>
      <c r="L200" s="280">
        <v>10.011291354436578</v>
      </c>
      <c r="M200" s="280">
        <v>10.011291354436578</v>
      </c>
      <c r="N200" s="280">
        <v>10.011291354436578</v>
      </c>
      <c r="O200" s="280">
        <v>10.011291354436578</v>
      </c>
      <c r="P200" s="280">
        <v>10.011291354436578</v>
      </c>
      <c r="Q200" s="280">
        <v>10.011291354436578</v>
      </c>
      <c r="R200" s="280">
        <v>10.011291354436578</v>
      </c>
      <c r="S200" s="280">
        <v>10.011291354436578</v>
      </c>
      <c r="T200" s="280">
        <v>10.011291354436578</v>
      </c>
      <c r="U200" s="280">
        <v>10.011291354436578</v>
      </c>
      <c r="V200" s="280">
        <v>10.011291354436578</v>
      </c>
      <c r="W200" s="280">
        <v>10.011291354436578</v>
      </c>
      <c r="X200" s="280">
        <v>10.011291354436578</v>
      </c>
      <c r="Y200" s="280">
        <v>10.011291354436578</v>
      </c>
      <c r="Z200" s="280">
        <v>10.011291354436578</v>
      </c>
      <c r="AA200" s="280">
        <v>10.011291354436578</v>
      </c>
      <c r="AB200" s="280">
        <v>10.011291354436578</v>
      </c>
      <c r="AC200" s="280">
        <v>10.011291354436578</v>
      </c>
      <c r="AD200" s="280">
        <v>10.011291354436578</v>
      </c>
      <c r="AE200" s="280">
        <v>10.011291354436578</v>
      </c>
      <c r="AF200" s="280">
        <v>10.011291354436578</v>
      </c>
      <c r="AG200" s="280">
        <v>10.011291354436578</v>
      </c>
    </row>
    <row r="201" spans="1:33" x14ac:dyDescent="0.25">
      <c r="A201" s="277" t="s">
        <v>30</v>
      </c>
      <c r="B201" s="277" t="s">
        <v>18</v>
      </c>
      <c r="C201" s="277" t="s">
        <v>115</v>
      </c>
      <c r="D201" s="277" t="s">
        <v>48</v>
      </c>
      <c r="E201" s="277" t="s">
        <v>17</v>
      </c>
      <c r="F201" s="278" t="s">
        <v>214</v>
      </c>
      <c r="G201" s="279">
        <v>2.7928495194780152</v>
      </c>
      <c r="H201" s="279">
        <v>2.7928495194780152</v>
      </c>
      <c r="I201" s="279">
        <v>2.7928495194780152</v>
      </c>
      <c r="J201" s="279">
        <v>2.7928495194780152</v>
      </c>
      <c r="K201" s="279">
        <v>2.7928495194780152</v>
      </c>
      <c r="L201" s="279">
        <v>2.7928495194780152</v>
      </c>
      <c r="M201" s="279">
        <v>2.7928495194780152</v>
      </c>
      <c r="N201" s="279">
        <v>2.7928495194780152</v>
      </c>
      <c r="O201" s="279">
        <v>2.7928495194780152</v>
      </c>
      <c r="P201" s="279">
        <v>2.7928495194780152</v>
      </c>
      <c r="Q201" s="279">
        <v>2.7928495194780152</v>
      </c>
      <c r="R201" s="279">
        <v>2.7928495194780152</v>
      </c>
      <c r="S201" s="279">
        <v>2.7928495194780152</v>
      </c>
      <c r="T201" s="279">
        <v>2.7928495194780152</v>
      </c>
      <c r="U201" s="279">
        <v>2.7928495194780152</v>
      </c>
      <c r="V201" s="279">
        <v>2.7928495194780152</v>
      </c>
      <c r="W201" s="279">
        <v>2.7928495194780152</v>
      </c>
      <c r="X201" s="279">
        <v>2.7928495194780152</v>
      </c>
      <c r="Y201" s="279">
        <v>2.7928495194780152</v>
      </c>
      <c r="Z201" s="279">
        <v>2.7928495194780152</v>
      </c>
      <c r="AA201" s="279">
        <v>2.7928495194780152</v>
      </c>
      <c r="AB201" s="279">
        <v>2.7928495194780152</v>
      </c>
      <c r="AC201" s="279">
        <v>2.7928495194780152</v>
      </c>
      <c r="AD201" s="279">
        <v>2.7928495194780152</v>
      </c>
      <c r="AE201" s="279">
        <v>2.7928495194780152</v>
      </c>
      <c r="AF201" s="279">
        <v>2.7928495194780152</v>
      </c>
      <c r="AG201" s="279">
        <v>2.7928495194780152</v>
      </c>
    </row>
    <row r="202" spans="1:33" x14ac:dyDescent="0.25">
      <c r="A202" s="280" t="s">
        <v>30</v>
      </c>
      <c r="B202" s="280" t="s">
        <v>18</v>
      </c>
      <c r="C202" s="280" t="s">
        <v>115</v>
      </c>
      <c r="D202" s="280" t="s">
        <v>438</v>
      </c>
      <c r="E202" s="280" t="s">
        <v>17</v>
      </c>
      <c r="F202" s="280" t="s">
        <v>439</v>
      </c>
      <c r="G202" s="280">
        <v>4.2966915684277157E-2</v>
      </c>
      <c r="H202" s="280">
        <v>4.2966915684277157E-2</v>
      </c>
      <c r="I202" s="280">
        <v>4.2966915684277157E-2</v>
      </c>
      <c r="J202" s="280">
        <v>4.2966915684277157E-2</v>
      </c>
      <c r="K202" s="280">
        <v>4.2966915684277157E-2</v>
      </c>
      <c r="L202" s="280">
        <v>4.2966915684277157E-2</v>
      </c>
      <c r="M202" s="280">
        <v>4.2966915684277157E-2</v>
      </c>
      <c r="N202" s="280">
        <v>4.2966915684277157E-2</v>
      </c>
      <c r="O202" s="280">
        <v>4.2966915684277157E-2</v>
      </c>
      <c r="P202" s="280">
        <v>4.2966915684277157E-2</v>
      </c>
      <c r="Q202" s="280">
        <v>4.2966915684277157E-2</v>
      </c>
      <c r="R202" s="280">
        <v>4.2966915684277157E-2</v>
      </c>
      <c r="S202" s="280">
        <v>4.2966915684277157E-2</v>
      </c>
      <c r="T202" s="280">
        <v>4.2966915684277157E-2</v>
      </c>
      <c r="U202" s="280">
        <v>4.2966915684277157E-2</v>
      </c>
      <c r="V202" s="280">
        <v>4.2966915684277157E-2</v>
      </c>
      <c r="W202" s="280">
        <v>4.2966915684277157E-2</v>
      </c>
      <c r="X202" s="280">
        <v>4.2966915684277157E-2</v>
      </c>
      <c r="Y202" s="280">
        <v>4.2966915684277157E-2</v>
      </c>
      <c r="Z202" s="280">
        <v>4.2966915684277157E-2</v>
      </c>
      <c r="AA202" s="280">
        <v>4.2966915684277157E-2</v>
      </c>
      <c r="AB202" s="280">
        <v>4.2966915684277157E-2</v>
      </c>
      <c r="AC202" s="280">
        <v>4.2966915684277157E-2</v>
      </c>
      <c r="AD202" s="280">
        <v>4.2966915684277157E-2</v>
      </c>
      <c r="AE202" s="280">
        <v>4.2966915684277157E-2</v>
      </c>
      <c r="AF202" s="280">
        <v>4.2966915684277157E-2</v>
      </c>
      <c r="AG202" s="280">
        <v>4.2966915684277157E-2</v>
      </c>
    </row>
    <row r="203" spans="1:33" x14ac:dyDescent="0.25">
      <c r="A203" s="277" t="s">
        <v>30</v>
      </c>
      <c r="B203" s="277" t="s">
        <v>18</v>
      </c>
      <c r="C203" s="277" t="s">
        <v>115</v>
      </c>
      <c r="D203" s="277" t="s">
        <v>218</v>
      </c>
      <c r="E203" s="277" t="s">
        <v>17</v>
      </c>
      <c r="F203" s="278" t="s">
        <v>219</v>
      </c>
      <c r="G203" s="279">
        <v>1.3104909283704533</v>
      </c>
      <c r="H203" s="279">
        <v>1.3104909283704533</v>
      </c>
      <c r="I203" s="279">
        <v>1.3104909283704533</v>
      </c>
      <c r="J203" s="279">
        <v>1.3104909283704533</v>
      </c>
      <c r="K203" s="279">
        <v>1.3104909283704533</v>
      </c>
      <c r="L203" s="279">
        <v>1.3104909283704533</v>
      </c>
      <c r="M203" s="279">
        <v>1.3104909283704533</v>
      </c>
      <c r="N203" s="279">
        <v>1.3104909283704533</v>
      </c>
      <c r="O203" s="279">
        <v>1.3104909283704533</v>
      </c>
      <c r="P203" s="279">
        <v>1.3104909283704533</v>
      </c>
      <c r="Q203" s="279">
        <v>1.3104909283704533</v>
      </c>
      <c r="R203" s="279">
        <v>1.3104909283704533</v>
      </c>
      <c r="S203" s="279">
        <v>1.3104909283704533</v>
      </c>
      <c r="T203" s="279">
        <v>1.3104909283704533</v>
      </c>
      <c r="U203" s="279">
        <v>1.3104909283704533</v>
      </c>
      <c r="V203" s="279">
        <v>1.3104909283704533</v>
      </c>
      <c r="W203" s="279">
        <v>1.3104909283704533</v>
      </c>
      <c r="X203" s="279">
        <v>1.3104909283704533</v>
      </c>
      <c r="Y203" s="279">
        <v>1.3104909283704533</v>
      </c>
      <c r="Z203" s="279">
        <v>1.3104909283704533</v>
      </c>
      <c r="AA203" s="279">
        <v>1.3104909283704533</v>
      </c>
      <c r="AB203" s="279">
        <v>1.3104909283704533</v>
      </c>
      <c r="AC203" s="279">
        <v>1.3104909283704533</v>
      </c>
      <c r="AD203" s="279">
        <v>1.3104909283704533</v>
      </c>
      <c r="AE203" s="279">
        <v>1.3104909283704533</v>
      </c>
      <c r="AF203" s="279">
        <v>1.3104909283704533</v>
      </c>
      <c r="AG203" s="279">
        <v>1.3104909283704533</v>
      </c>
    </row>
    <row r="204" spans="1:33" x14ac:dyDescent="0.25">
      <c r="A204" s="277" t="s">
        <v>30</v>
      </c>
      <c r="B204" s="277" t="s">
        <v>18</v>
      </c>
      <c r="C204" s="277" t="s">
        <v>115</v>
      </c>
      <c r="D204" s="277" t="s">
        <v>200</v>
      </c>
      <c r="E204" s="277" t="s">
        <v>17</v>
      </c>
      <c r="F204" s="278" t="s">
        <v>201</v>
      </c>
      <c r="G204" s="279">
        <v>2.1698292420559966</v>
      </c>
      <c r="H204" s="279">
        <v>2.1698292420559966</v>
      </c>
      <c r="I204" s="279">
        <v>2.1698292420559966</v>
      </c>
      <c r="J204" s="279">
        <v>2.1698292420559966</v>
      </c>
      <c r="K204" s="279">
        <v>2.1698292420559966</v>
      </c>
      <c r="L204" s="279">
        <v>2.1698292420559966</v>
      </c>
      <c r="M204" s="279">
        <v>2.1698292420559966</v>
      </c>
      <c r="N204" s="279">
        <v>2.1698292420559966</v>
      </c>
      <c r="O204" s="279">
        <v>2.1698292420559966</v>
      </c>
      <c r="P204" s="279">
        <v>2.1698292420559966</v>
      </c>
      <c r="Q204" s="279">
        <v>2.1698292420559966</v>
      </c>
      <c r="R204" s="279">
        <v>2.1698292420559966</v>
      </c>
      <c r="S204" s="279">
        <v>2.1698292420559966</v>
      </c>
      <c r="T204" s="279">
        <v>2.1698292420559966</v>
      </c>
      <c r="U204" s="279">
        <v>2.1698292420559966</v>
      </c>
      <c r="V204" s="279">
        <v>2.1698292420559966</v>
      </c>
      <c r="W204" s="279">
        <v>2.1698292420559966</v>
      </c>
      <c r="X204" s="279">
        <v>2.1698292420559966</v>
      </c>
      <c r="Y204" s="279">
        <v>2.1698292420559966</v>
      </c>
      <c r="Z204" s="279">
        <v>2.1698292420559966</v>
      </c>
      <c r="AA204" s="279">
        <v>2.1698292420559966</v>
      </c>
      <c r="AB204" s="279">
        <v>2.1698292420559966</v>
      </c>
      <c r="AC204" s="279">
        <v>2.1698292420559966</v>
      </c>
      <c r="AD204" s="279">
        <v>2.1698292420559966</v>
      </c>
      <c r="AE204" s="279">
        <v>2.1698292420559966</v>
      </c>
      <c r="AF204" s="279">
        <v>2.1698292420559966</v>
      </c>
      <c r="AG204" s="279">
        <v>2.1698292420559966</v>
      </c>
    </row>
    <row r="205" spans="1:33" x14ac:dyDescent="0.25">
      <c r="A205" s="277" t="s">
        <v>30</v>
      </c>
      <c r="B205" s="277" t="s">
        <v>18</v>
      </c>
      <c r="C205" s="277" t="s">
        <v>115</v>
      </c>
      <c r="D205" s="277" t="s">
        <v>220</v>
      </c>
      <c r="E205" s="277" t="s">
        <v>17</v>
      </c>
      <c r="F205" s="278" t="s">
        <v>221</v>
      </c>
      <c r="G205" s="279">
        <v>0.40818569900063306</v>
      </c>
      <c r="H205" s="279">
        <v>0.40818569900063306</v>
      </c>
      <c r="I205" s="279">
        <v>0.40818569900063306</v>
      </c>
      <c r="J205" s="279">
        <v>0.40818569900063306</v>
      </c>
      <c r="K205" s="279">
        <v>0.40818569900063306</v>
      </c>
      <c r="L205" s="279">
        <v>0.40818569900063306</v>
      </c>
      <c r="M205" s="279">
        <v>0.40818569900063306</v>
      </c>
      <c r="N205" s="279">
        <v>0.40818569900063306</v>
      </c>
      <c r="O205" s="279">
        <v>0.40818569900063306</v>
      </c>
      <c r="P205" s="279">
        <v>0.40818569900063306</v>
      </c>
      <c r="Q205" s="279">
        <v>0.40818569900063306</v>
      </c>
      <c r="R205" s="279">
        <v>0.40818569900063306</v>
      </c>
      <c r="S205" s="279">
        <v>0.40818569900063306</v>
      </c>
      <c r="T205" s="279">
        <v>0.40818569900063306</v>
      </c>
      <c r="U205" s="279">
        <v>0.40818569900063306</v>
      </c>
      <c r="V205" s="279">
        <v>0.40818569900063306</v>
      </c>
      <c r="W205" s="279">
        <v>0.40818569900063306</v>
      </c>
      <c r="X205" s="279">
        <v>0.40818569900063306</v>
      </c>
      <c r="Y205" s="279">
        <v>0.40818569900063306</v>
      </c>
      <c r="Z205" s="279">
        <v>0.40818569900063306</v>
      </c>
      <c r="AA205" s="279">
        <v>0.40818569900063306</v>
      </c>
      <c r="AB205" s="279">
        <v>0.40818569900063306</v>
      </c>
      <c r="AC205" s="279">
        <v>0.40818569900063306</v>
      </c>
      <c r="AD205" s="279">
        <v>0.40818569900063306</v>
      </c>
      <c r="AE205" s="279">
        <v>0.40818569900063306</v>
      </c>
      <c r="AF205" s="279">
        <v>0.40818569900063306</v>
      </c>
      <c r="AG205" s="279">
        <v>0.40818569900063306</v>
      </c>
    </row>
    <row r="206" spans="1:33" x14ac:dyDescent="0.25">
      <c r="A206" s="280" t="s">
        <v>30</v>
      </c>
      <c r="B206" s="280" t="s">
        <v>18</v>
      </c>
      <c r="C206" s="280" t="s">
        <v>115</v>
      </c>
      <c r="D206" s="280" t="s">
        <v>359</v>
      </c>
      <c r="E206" s="280" t="s">
        <v>17</v>
      </c>
      <c r="F206" s="280" t="s">
        <v>360</v>
      </c>
      <c r="G206" s="280">
        <v>1.0312059764226515</v>
      </c>
      <c r="H206" s="280">
        <v>1.0312059764226515</v>
      </c>
      <c r="I206" s="280">
        <v>1.0312059764226515</v>
      </c>
      <c r="J206" s="280">
        <v>1.0312059764226515</v>
      </c>
      <c r="K206" s="280">
        <v>1.0312059764226515</v>
      </c>
      <c r="L206" s="280">
        <v>1.0312059764226515</v>
      </c>
      <c r="M206" s="280">
        <v>1.0312059764226515</v>
      </c>
      <c r="N206" s="280">
        <v>1.0312059764226515</v>
      </c>
      <c r="O206" s="280">
        <v>1.0312059764226515</v>
      </c>
      <c r="P206" s="280">
        <v>1.0312059764226515</v>
      </c>
      <c r="Q206" s="280">
        <v>1.0312059764226515</v>
      </c>
      <c r="R206" s="280">
        <v>1.0312059764226515</v>
      </c>
      <c r="S206" s="280">
        <v>1.0312059764226515</v>
      </c>
      <c r="T206" s="280">
        <v>1.0312059764226515</v>
      </c>
      <c r="U206" s="280">
        <v>1.0312059764226515</v>
      </c>
      <c r="V206" s="280">
        <v>1.0312059764226515</v>
      </c>
      <c r="W206" s="280">
        <v>1.0312059764226515</v>
      </c>
      <c r="X206" s="280">
        <v>1.0312059764226515</v>
      </c>
      <c r="Y206" s="280">
        <v>1.0312059764226515</v>
      </c>
      <c r="Z206" s="280">
        <v>1.0312059764226515</v>
      </c>
      <c r="AA206" s="280">
        <v>1.0312059764226515</v>
      </c>
      <c r="AB206" s="280">
        <v>1.0312059764226515</v>
      </c>
      <c r="AC206" s="280">
        <v>1.0312059764226515</v>
      </c>
      <c r="AD206" s="280">
        <v>1.0312059764226515</v>
      </c>
      <c r="AE206" s="280">
        <v>1.0312059764226515</v>
      </c>
      <c r="AF206" s="280">
        <v>1.0312059764226515</v>
      </c>
      <c r="AG206" s="280">
        <v>1.0312059764226515</v>
      </c>
    </row>
    <row r="207" spans="1:33" x14ac:dyDescent="0.25">
      <c r="A207" s="277" t="s">
        <v>30</v>
      </c>
      <c r="B207" s="277" t="s">
        <v>18</v>
      </c>
      <c r="C207" s="277" t="s">
        <v>115</v>
      </c>
      <c r="D207" s="277" t="s">
        <v>282</v>
      </c>
      <c r="E207" s="277" t="s">
        <v>17</v>
      </c>
      <c r="F207" s="278" t="s">
        <v>283</v>
      </c>
      <c r="G207" s="279">
        <v>1.267524012686176</v>
      </c>
      <c r="H207" s="279">
        <v>1.267524012686176</v>
      </c>
      <c r="I207" s="279">
        <v>1.267524012686176</v>
      </c>
      <c r="J207" s="279">
        <v>1.267524012686176</v>
      </c>
      <c r="K207" s="279">
        <v>1.267524012686176</v>
      </c>
      <c r="L207" s="279">
        <v>1.267524012686176</v>
      </c>
      <c r="M207" s="279">
        <v>1.267524012686176</v>
      </c>
      <c r="N207" s="279">
        <v>1.267524012686176</v>
      </c>
      <c r="O207" s="279">
        <v>1.267524012686176</v>
      </c>
      <c r="P207" s="279">
        <v>1.267524012686176</v>
      </c>
      <c r="Q207" s="279">
        <v>1.267524012686176</v>
      </c>
      <c r="R207" s="279">
        <v>1.267524012686176</v>
      </c>
      <c r="S207" s="279">
        <v>1.267524012686176</v>
      </c>
      <c r="T207" s="279">
        <v>1.267524012686176</v>
      </c>
      <c r="U207" s="279">
        <v>1.267524012686176</v>
      </c>
      <c r="V207" s="279">
        <v>1.267524012686176</v>
      </c>
      <c r="W207" s="279">
        <v>1.267524012686176</v>
      </c>
      <c r="X207" s="279">
        <v>1.267524012686176</v>
      </c>
      <c r="Y207" s="279">
        <v>1.267524012686176</v>
      </c>
      <c r="Z207" s="279">
        <v>1.267524012686176</v>
      </c>
      <c r="AA207" s="279">
        <v>1.267524012686176</v>
      </c>
      <c r="AB207" s="279">
        <v>1.267524012686176</v>
      </c>
      <c r="AC207" s="279">
        <v>1.267524012686176</v>
      </c>
      <c r="AD207" s="279">
        <v>1.267524012686176</v>
      </c>
      <c r="AE207" s="279">
        <v>1.267524012686176</v>
      </c>
      <c r="AF207" s="279">
        <v>1.267524012686176</v>
      </c>
      <c r="AG207" s="279">
        <v>1.267524012686176</v>
      </c>
    </row>
    <row r="208" spans="1:33" x14ac:dyDescent="0.25">
      <c r="A208" s="277" t="s">
        <v>30</v>
      </c>
      <c r="B208" s="277" t="s">
        <v>18</v>
      </c>
      <c r="C208" s="277" t="s">
        <v>115</v>
      </c>
      <c r="D208" s="277" t="s">
        <v>180</v>
      </c>
      <c r="E208" s="277" t="s">
        <v>17</v>
      </c>
      <c r="F208" s="278" t="s">
        <v>181</v>
      </c>
      <c r="G208" s="279">
        <v>1.7616435430553634</v>
      </c>
      <c r="H208" s="279">
        <v>1.7616435430553634</v>
      </c>
      <c r="I208" s="279">
        <v>1.7616435430553634</v>
      </c>
      <c r="J208" s="279">
        <v>1.7616435430553634</v>
      </c>
      <c r="K208" s="279">
        <v>1.7616435430553634</v>
      </c>
      <c r="L208" s="279">
        <v>1.7616435430553634</v>
      </c>
      <c r="M208" s="279">
        <v>1.7616435430553634</v>
      </c>
      <c r="N208" s="279">
        <v>1.7616435430553634</v>
      </c>
      <c r="O208" s="279">
        <v>1.7616435430553634</v>
      </c>
      <c r="P208" s="279">
        <v>1.7616435430553634</v>
      </c>
      <c r="Q208" s="279">
        <v>1.7616435430553634</v>
      </c>
      <c r="R208" s="279">
        <v>1.7616435430553634</v>
      </c>
      <c r="S208" s="279">
        <v>1.7616435430553634</v>
      </c>
      <c r="T208" s="279">
        <v>1.7616435430553634</v>
      </c>
      <c r="U208" s="279">
        <v>1.7616435430553634</v>
      </c>
      <c r="V208" s="279">
        <v>1.7616435430553634</v>
      </c>
      <c r="W208" s="279">
        <v>1.7616435430553634</v>
      </c>
      <c r="X208" s="279">
        <v>1.7616435430553634</v>
      </c>
      <c r="Y208" s="279">
        <v>1.7616435430553634</v>
      </c>
      <c r="Z208" s="279">
        <v>1.7616435430553634</v>
      </c>
      <c r="AA208" s="279">
        <v>1.7616435430553634</v>
      </c>
      <c r="AB208" s="279">
        <v>1.7616435430553634</v>
      </c>
      <c r="AC208" s="279">
        <v>1.7616435430553634</v>
      </c>
      <c r="AD208" s="279">
        <v>1.7616435430553634</v>
      </c>
      <c r="AE208" s="279">
        <v>1.7616435430553634</v>
      </c>
      <c r="AF208" s="279">
        <v>1.7616435430553634</v>
      </c>
      <c r="AG208" s="279">
        <v>1.7616435430553634</v>
      </c>
    </row>
    <row r="209" spans="1:33" x14ac:dyDescent="0.25">
      <c r="A209" s="277" t="s">
        <v>30</v>
      </c>
      <c r="B209" s="277" t="s">
        <v>18</v>
      </c>
      <c r="C209" s="277" t="s">
        <v>115</v>
      </c>
      <c r="D209" s="277" t="s">
        <v>269</v>
      </c>
      <c r="E209" s="277" t="s">
        <v>17</v>
      </c>
      <c r="F209" s="278" t="s">
        <v>270</v>
      </c>
      <c r="G209" s="279">
        <v>0.34373532547421726</v>
      </c>
      <c r="H209" s="279">
        <v>0.34373532547421726</v>
      </c>
      <c r="I209" s="279">
        <v>0.34373532547421726</v>
      </c>
      <c r="J209" s="279">
        <v>0.34373532547421726</v>
      </c>
      <c r="K209" s="279">
        <v>0.34373532547421726</v>
      </c>
      <c r="L209" s="279">
        <v>0.34373532547421726</v>
      </c>
      <c r="M209" s="279">
        <v>0.34373532547421726</v>
      </c>
      <c r="N209" s="279">
        <v>0.34373532547421726</v>
      </c>
      <c r="O209" s="279">
        <v>0.34373532547421726</v>
      </c>
      <c r="P209" s="279">
        <v>0.34373532547421726</v>
      </c>
      <c r="Q209" s="279">
        <v>0.34373532547421726</v>
      </c>
      <c r="R209" s="279">
        <v>0.34373532547421726</v>
      </c>
      <c r="S209" s="279">
        <v>0.34373532547421726</v>
      </c>
      <c r="T209" s="279">
        <v>0.34373532547421726</v>
      </c>
      <c r="U209" s="279">
        <v>0.34373532547421726</v>
      </c>
      <c r="V209" s="279">
        <v>0.34373532547421726</v>
      </c>
      <c r="W209" s="279">
        <v>0.34373532547421726</v>
      </c>
      <c r="X209" s="279">
        <v>0.34373532547421726</v>
      </c>
      <c r="Y209" s="279">
        <v>0.34373532547421726</v>
      </c>
      <c r="Z209" s="279">
        <v>0.34373532547421726</v>
      </c>
      <c r="AA209" s="279">
        <v>0.34373532547421726</v>
      </c>
      <c r="AB209" s="279">
        <v>0.34373532547421726</v>
      </c>
      <c r="AC209" s="279">
        <v>0.34373532547421726</v>
      </c>
      <c r="AD209" s="279">
        <v>0.34373532547421726</v>
      </c>
      <c r="AE209" s="279">
        <v>0.34373532547421726</v>
      </c>
      <c r="AF209" s="279">
        <v>0.34373532547421726</v>
      </c>
      <c r="AG209" s="279">
        <v>0.34373532547421726</v>
      </c>
    </row>
    <row r="210" spans="1:33" x14ac:dyDescent="0.25">
      <c r="A210" s="277" t="s">
        <v>30</v>
      </c>
      <c r="B210" s="277" t="s">
        <v>18</v>
      </c>
      <c r="C210" s="277" t="s">
        <v>115</v>
      </c>
      <c r="D210" s="277" t="s">
        <v>246</v>
      </c>
      <c r="E210" s="277" t="s">
        <v>17</v>
      </c>
      <c r="F210" s="278" t="s">
        <v>247</v>
      </c>
      <c r="G210" s="279">
        <v>1.267524012686176</v>
      </c>
      <c r="H210" s="279">
        <v>1.267524012686176</v>
      </c>
      <c r="I210" s="279">
        <v>1.267524012686176</v>
      </c>
      <c r="J210" s="279">
        <v>1.267524012686176</v>
      </c>
      <c r="K210" s="279">
        <v>1.267524012686176</v>
      </c>
      <c r="L210" s="279">
        <v>1.267524012686176</v>
      </c>
      <c r="M210" s="279">
        <v>1.267524012686176</v>
      </c>
      <c r="N210" s="279">
        <v>1.267524012686176</v>
      </c>
      <c r="O210" s="279">
        <v>1.267524012686176</v>
      </c>
      <c r="P210" s="279">
        <v>1.267524012686176</v>
      </c>
      <c r="Q210" s="279">
        <v>1.267524012686176</v>
      </c>
      <c r="R210" s="279">
        <v>1.267524012686176</v>
      </c>
      <c r="S210" s="279">
        <v>1.267524012686176</v>
      </c>
      <c r="T210" s="279">
        <v>1.267524012686176</v>
      </c>
      <c r="U210" s="279">
        <v>1.267524012686176</v>
      </c>
      <c r="V210" s="279">
        <v>1.267524012686176</v>
      </c>
      <c r="W210" s="279">
        <v>1.267524012686176</v>
      </c>
      <c r="X210" s="279">
        <v>1.267524012686176</v>
      </c>
      <c r="Y210" s="279">
        <v>1.267524012686176</v>
      </c>
      <c r="Z210" s="279">
        <v>1.267524012686176</v>
      </c>
      <c r="AA210" s="279">
        <v>1.267524012686176</v>
      </c>
      <c r="AB210" s="279">
        <v>1.267524012686176</v>
      </c>
      <c r="AC210" s="279">
        <v>1.267524012686176</v>
      </c>
      <c r="AD210" s="279">
        <v>1.267524012686176</v>
      </c>
      <c r="AE210" s="279">
        <v>1.267524012686176</v>
      </c>
      <c r="AF210" s="279">
        <v>1.267524012686176</v>
      </c>
      <c r="AG210" s="279">
        <v>1.267524012686176</v>
      </c>
    </row>
    <row r="211" spans="1:33" x14ac:dyDescent="0.25">
      <c r="A211" s="277" t="s">
        <v>30</v>
      </c>
      <c r="B211" s="277" t="s">
        <v>18</v>
      </c>
      <c r="C211" s="277" t="s">
        <v>115</v>
      </c>
      <c r="D211" s="277" t="s">
        <v>127</v>
      </c>
      <c r="E211" s="277" t="s">
        <v>17</v>
      </c>
      <c r="F211" s="278" t="s">
        <v>128</v>
      </c>
      <c r="G211" s="279">
        <v>3.5877374596371427</v>
      </c>
      <c r="H211" s="279">
        <v>3.5877374596371427</v>
      </c>
      <c r="I211" s="279">
        <v>3.5877374596371427</v>
      </c>
      <c r="J211" s="279">
        <v>3.5877374596371427</v>
      </c>
      <c r="K211" s="279">
        <v>3.5877374596371427</v>
      </c>
      <c r="L211" s="279">
        <v>3.5877374596371427</v>
      </c>
      <c r="M211" s="279">
        <v>3.5877374596371427</v>
      </c>
      <c r="N211" s="279">
        <v>3.5877374596371427</v>
      </c>
      <c r="O211" s="279">
        <v>3.5877374596371427</v>
      </c>
      <c r="P211" s="279">
        <v>3.5877374596371427</v>
      </c>
      <c r="Q211" s="279">
        <v>3.5877374596371427</v>
      </c>
      <c r="R211" s="279">
        <v>3.5877374596371427</v>
      </c>
      <c r="S211" s="279">
        <v>3.5877374596371427</v>
      </c>
      <c r="T211" s="279">
        <v>3.5877374596371427</v>
      </c>
      <c r="U211" s="279">
        <v>3.5877374596371427</v>
      </c>
      <c r="V211" s="279">
        <v>3.5877374596371427</v>
      </c>
      <c r="W211" s="279">
        <v>3.5877374596371427</v>
      </c>
      <c r="X211" s="279">
        <v>3.5877374596371427</v>
      </c>
      <c r="Y211" s="279">
        <v>3.5877374596371427</v>
      </c>
      <c r="Z211" s="279">
        <v>3.5877374596371427</v>
      </c>
      <c r="AA211" s="279">
        <v>3.5877374596371427</v>
      </c>
      <c r="AB211" s="279">
        <v>3.5877374596371427</v>
      </c>
      <c r="AC211" s="279">
        <v>3.5877374596371427</v>
      </c>
      <c r="AD211" s="279">
        <v>3.5877374596371427</v>
      </c>
      <c r="AE211" s="279">
        <v>3.5877374596371427</v>
      </c>
      <c r="AF211" s="279">
        <v>3.5877374596371427</v>
      </c>
      <c r="AG211" s="279">
        <v>3.5877374596371427</v>
      </c>
    </row>
    <row r="212" spans="1:33" x14ac:dyDescent="0.25">
      <c r="A212" s="277" t="s">
        <v>30</v>
      </c>
      <c r="B212" s="277" t="s">
        <v>18</v>
      </c>
      <c r="C212" s="277" t="s">
        <v>115</v>
      </c>
      <c r="D212" s="277" t="s">
        <v>52</v>
      </c>
      <c r="E212" s="277" t="s">
        <v>17</v>
      </c>
      <c r="F212" s="278" t="s">
        <v>312</v>
      </c>
      <c r="G212" s="279">
        <v>33.514194233736184</v>
      </c>
      <c r="H212" s="279">
        <v>33.514194233736184</v>
      </c>
      <c r="I212" s="279">
        <v>33.514194233736184</v>
      </c>
      <c r="J212" s="279">
        <v>33.514194233736184</v>
      </c>
      <c r="K212" s="279">
        <v>33.514194233736184</v>
      </c>
      <c r="L212" s="279">
        <v>33.514194233736184</v>
      </c>
      <c r="M212" s="279">
        <v>33.514194233736184</v>
      </c>
      <c r="N212" s="279">
        <v>33.514194233736184</v>
      </c>
      <c r="O212" s="279">
        <v>33.514194233736184</v>
      </c>
      <c r="P212" s="279">
        <v>33.514194233736184</v>
      </c>
      <c r="Q212" s="279">
        <v>33.514194233736184</v>
      </c>
      <c r="R212" s="279">
        <v>33.514194233736184</v>
      </c>
      <c r="S212" s="279">
        <v>33.514194233736184</v>
      </c>
      <c r="T212" s="279">
        <v>33.514194233736184</v>
      </c>
      <c r="U212" s="279">
        <v>33.514194233736184</v>
      </c>
      <c r="V212" s="279">
        <v>33.514194233736184</v>
      </c>
      <c r="W212" s="279">
        <v>33.514194233736184</v>
      </c>
      <c r="X212" s="279">
        <v>33.514194233736184</v>
      </c>
      <c r="Y212" s="279">
        <v>33.514194233736184</v>
      </c>
      <c r="Z212" s="279">
        <v>33.514194233736184</v>
      </c>
      <c r="AA212" s="279">
        <v>33.514194233736184</v>
      </c>
      <c r="AB212" s="279">
        <v>33.514194233736184</v>
      </c>
      <c r="AC212" s="279">
        <v>33.514194233736184</v>
      </c>
      <c r="AD212" s="279">
        <v>33.514194233736184</v>
      </c>
      <c r="AE212" s="279">
        <v>33.514194233736184</v>
      </c>
      <c r="AF212" s="279">
        <v>33.514194233736184</v>
      </c>
      <c r="AG212" s="279">
        <v>33.514194233736184</v>
      </c>
    </row>
    <row r="213" spans="1:33" x14ac:dyDescent="0.25">
      <c r="A213" s="277" t="s">
        <v>30</v>
      </c>
      <c r="B213" s="277" t="s">
        <v>18</v>
      </c>
      <c r="C213" s="277" t="s">
        <v>115</v>
      </c>
      <c r="D213" s="277" t="s">
        <v>36</v>
      </c>
      <c r="E213" s="277" t="s">
        <v>17</v>
      </c>
      <c r="F213" s="278" t="s">
        <v>132</v>
      </c>
      <c r="G213" s="279">
        <v>45.501963709649509</v>
      </c>
      <c r="H213" s="279">
        <v>45.501963709649509</v>
      </c>
      <c r="I213" s="279">
        <v>45.501963709649509</v>
      </c>
      <c r="J213" s="279">
        <v>45.501963709649509</v>
      </c>
      <c r="K213" s="279">
        <v>45.501963709649509</v>
      </c>
      <c r="L213" s="279">
        <v>45.501963709649509</v>
      </c>
      <c r="M213" s="279">
        <v>45.501963709649509</v>
      </c>
      <c r="N213" s="279">
        <v>45.501963709649509</v>
      </c>
      <c r="O213" s="279">
        <v>45.501963709649509</v>
      </c>
      <c r="P213" s="279">
        <v>45.501963709649509</v>
      </c>
      <c r="Q213" s="279">
        <v>45.501963709649509</v>
      </c>
      <c r="R213" s="279">
        <v>45.501963709649509</v>
      </c>
      <c r="S213" s="279">
        <v>45.501963709649509</v>
      </c>
      <c r="T213" s="279">
        <v>45.501963709649509</v>
      </c>
      <c r="U213" s="279">
        <v>45.501963709649509</v>
      </c>
      <c r="V213" s="279">
        <v>45.501963709649509</v>
      </c>
      <c r="W213" s="279">
        <v>45.501963709649509</v>
      </c>
      <c r="X213" s="279">
        <v>45.501963709649509</v>
      </c>
      <c r="Y213" s="279">
        <v>45.501963709649509</v>
      </c>
      <c r="Z213" s="279">
        <v>45.501963709649509</v>
      </c>
      <c r="AA213" s="279">
        <v>45.501963709649509</v>
      </c>
      <c r="AB213" s="279">
        <v>45.501963709649509</v>
      </c>
      <c r="AC213" s="279">
        <v>45.501963709649509</v>
      </c>
      <c r="AD213" s="279">
        <v>45.501963709649509</v>
      </c>
      <c r="AE213" s="279">
        <v>45.501963709649509</v>
      </c>
      <c r="AF213" s="279">
        <v>45.501963709649509</v>
      </c>
      <c r="AG213" s="279">
        <v>45.501963709649509</v>
      </c>
    </row>
    <row r="214" spans="1:33" x14ac:dyDescent="0.25">
      <c r="A214" s="277" t="s">
        <v>30</v>
      </c>
      <c r="B214" s="277" t="s">
        <v>18</v>
      </c>
      <c r="C214" s="277" t="s">
        <v>115</v>
      </c>
      <c r="D214" s="277" t="s">
        <v>103</v>
      </c>
      <c r="E214" s="277" t="s">
        <v>17</v>
      </c>
      <c r="F214" s="278" t="s">
        <v>248</v>
      </c>
      <c r="G214" s="279">
        <v>0.45115261468491014</v>
      </c>
      <c r="H214" s="279">
        <v>0.45115261468491014</v>
      </c>
      <c r="I214" s="279">
        <v>0.45115261468491014</v>
      </c>
      <c r="J214" s="279">
        <v>0.45115261468491014</v>
      </c>
      <c r="K214" s="279">
        <v>0.45115261468491014</v>
      </c>
      <c r="L214" s="279">
        <v>0.45115261468491014</v>
      </c>
      <c r="M214" s="279">
        <v>0.45115261468491014</v>
      </c>
      <c r="N214" s="279">
        <v>0.45115261468491014</v>
      </c>
      <c r="O214" s="279">
        <v>0.45115261468491014</v>
      </c>
      <c r="P214" s="279">
        <v>0.45115261468491014</v>
      </c>
      <c r="Q214" s="279">
        <v>0.45115261468491014</v>
      </c>
      <c r="R214" s="279">
        <v>0.45115261468491014</v>
      </c>
      <c r="S214" s="279">
        <v>0.45115261468491014</v>
      </c>
      <c r="T214" s="279">
        <v>0.45115261468491014</v>
      </c>
      <c r="U214" s="279">
        <v>0.45115261468491014</v>
      </c>
      <c r="V214" s="279">
        <v>0.45115261468491014</v>
      </c>
      <c r="W214" s="279">
        <v>0.45115261468491014</v>
      </c>
      <c r="X214" s="279">
        <v>0.45115261468491014</v>
      </c>
      <c r="Y214" s="279">
        <v>0.45115261468491014</v>
      </c>
      <c r="Z214" s="279">
        <v>0.45115261468491014</v>
      </c>
      <c r="AA214" s="279">
        <v>0.45115261468491014</v>
      </c>
      <c r="AB214" s="279">
        <v>0.45115261468491014</v>
      </c>
      <c r="AC214" s="279">
        <v>0.45115261468491014</v>
      </c>
      <c r="AD214" s="279">
        <v>0.45115261468491014</v>
      </c>
      <c r="AE214" s="279">
        <v>0.45115261468491014</v>
      </c>
      <c r="AF214" s="279">
        <v>0.45115261468491014</v>
      </c>
      <c r="AG214" s="279">
        <v>0.45115261468491014</v>
      </c>
    </row>
    <row r="215" spans="1:33" x14ac:dyDescent="0.25">
      <c r="A215" s="277" t="s">
        <v>30</v>
      </c>
      <c r="B215" s="277" t="s">
        <v>18</v>
      </c>
      <c r="C215" s="277" t="s">
        <v>115</v>
      </c>
      <c r="D215" s="277" t="s">
        <v>258</v>
      </c>
      <c r="E215" s="277" t="s">
        <v>17</v>
      </c>
      <c r="F215" s="278" t="s">
        <v>259</v>
      </c>
      <c r="G215" s="279">
        <v>0.68747065094843451</v>
      </c>
      <c r="H215" s="279">
        <v>0.68747065094843451</v>
      </c>
      <c r="I215" s="279">
        <v>0.68747065094843451</v>
      </c>
      <c r="J215" s="279">
        <v>0.68747065094843451</v>
      </c>
      <c r="K215" s="279">
        <v>0.68747065094843451</v>
      </c>
      <c r="L215" s="279">
        <v>0.68747065094843451</v>
      </c>
      <c r="M215" s="279">
        <v>0.68747065094843451</v>
      </c>
      <c r="N215" s="279">
        <v>0.68747065094843451</v>
      </c>
      <c r="O215" s="279">
        <v>0.68747065094843451</v>
      </c>
      <c r="P215" s="279">
        <v>0.68747065094843451</v>
      </c>
      <c r="Q215" s="279">
        <v>0.68747065094843451</v>
      </c>
      <c r="R215" s="279">
        <v>0.68747065094843451</v>
      </c>
      <c r="S215" s="279">
        <v>0.68747065094843451</v>
      </c>
      <c r="T215" s="279">
        <v>0.68747065094843451</v>
      </c>
      <c r="U215" s="279">
        <v>0.68747065094843451</v>
      </c>
      <c r="V215" s="279">
        <v>0.68747065094843451</v>
      </c>
      <c r="W215" s="279">
        <v>0.68747065094843451</v>
      </c>
      <c r="X215" s="279">
        <v>0.68747065094843451</v>
      </c>
      <c r="Y215" s="279">
        <v>0.68747065094843451</v>
      </c>
      <c r="Z215" s="279">
        <v>0.68747065094843451</v>
      </c>
      <c r="AA215" s="279">
        <v>0.68747065094843451</v>
      </c>
      <c r="AB215" s="279">
        <v>0.68747065094843451</v>
      </c>
      <c r="AC215" s="279">
        <v>0.68747065094843451</v>
      </c>
      <c r="AD215" s="279">
        <v>0.68747065094843451</v>
      </c>
      <c r="AE215" s="279">
        <v>0.68747065094843451</v>
      </c>
      <c r="AF215" s="279">
        <v>0.68747065094843451</v>
      </c>
      <c r="AG215" s="279">
        <v>0.68747065094843451</v>
      </c>
    </row>
    <row r="216" spans="1:33" x14ac:dyDescent="0.25">
      <c r="A216" s="280" t="s">
        <v>30</v>
      </c>
      <c r="B216" s="280" t="s">
        <v>18</v>
      </c>
      <c r="C216" s="280" t="s">
        <v>115</v>
      </c>
      <c r="D216" s="280" t="s">
        <v>432</v>
      </c>
      <c r="E216" s="280" t="s">
        <v>17</v>
      </c>
      <c r="F216" s="280" t="s">
        <v>433</v>
      </c>
      <c r="G216" s="280">
        <v>0.17186766273710863</v>
      </c>
      <c r="H216" s="280">
        <v>0.17186766273710863</v>
      </c>
      <c r="I216" s="280">
        <v>0.17186766273710863</v>
      </c>
      <c r="J216" s="280">
        <v>0.17186766273710863</v>
      </c>
      <c r="K216" s="280">
        <v>0.17186766273710863</v>
      </c>
      <c r="L216" s="280">
        <v>0.17186766273710863</v>
      </c>
      <c r="M216" s="280">
        <v>0.17186766273710863</v>
      </c>
      <c r="N216" s="280">
        <v>0.17186766273710863</v>
      </c>
      <c r="O216" s="280">
        <v>0.17186766273710863</v>
      </c>
      <c r="P216" s="280">
        <v>0.17186766273710863</v>
      </c>
      <c r="Q216" s="280">
        <v>0.17186766273710863</v>
      </c>
      <c r="R216" s="280">
        <v>0.17186766273710863</v>
      </c>
      <c r="S216" s="280">
        <v>0.17186766273710863</v>
      </c>
      <c r="T216" s="280">
        <v>0.17186766273710863</v>
      </c>
      <c r="U216" s="280">
        <v>0.17186766273710863</v>
      </c>
      <c r="V216" s="280">
        <v>0.17186766273710863</v>
      </c>
      <c r="W216" s="280">
        <v>0.17186766273710863</v>
      </c>
      <c r="X216" s="280">
        <v>0.17186766273710863</v>
      </c>
      <c r="Y216" s="280">
        <v>0.17186766273710863</v>
      </c>
      <c r="Z216" s="280">
        <v>0.17186766273710863</v>
      </c>
      <c r="AA216" s="280">
        <v>0.17186766273710863</v>
      </c>
      <c r="AB216" s="280">
        <v>0.17186766273710863</v>
      </c>
      <c r="AC216" s="280">
        <v>0.17186766273710863</v>
      </c>
      <c r="AD216" s="280">
        <v>0.17186766273710863</v>
      </c>
      <c r="AE216" s="280">
        <v>0.17186766273710863</v>
      </c>
      <c r="AF216" s="280">
        <v>0.17186766273710863</v>
      </c>
      <c r="AG216" s="280">
        <v>0.17186766273710863</v>
      </c>
    </row>
    <row r="217" spans="1:33" x14ac:dyDescent="0.25">
      <c r="A217" s="277" t="s">
        <v>30</v>
      </c>
      <c r="B217" s="277" t="s">
        <v>18</v>
      </c>
      <c r="C217" s="277" t="s">
        <v>115</v>
      </c>
      <c r="D217" s="277" t="s">
        <v>160</v>
      </c>
      <c r="E217" s="277" t="s">
        <v>17</v>
      </c>
      <c r="F217" s="278" t="s">
        <v>161</v>
      </c>
      <c r="G217" s="279">
        <v>5.2204802556396741</v>
      </c>
      <c r="H217" s="279">
        <v>5.2204802556396741</v>
      </c>
      <c r="I217" s="279">
        <v>5.2204802556396741</v>
      </c>
      <c r="J217" s="279">
        <v>5.2204802556396741</v>
      </c>
      <c r="K217" s="279">
        <v>5.2204802556396741</v>
      </c>
      <c r="L217" s="279">
        <v>5.2204802556396741</v>
      </c>
      <c r="M217" s="279">
        <v>5.2204802556396741</v>
      </c>
      <c r="N217" s="279">
        <v>5.2204802556396741</v>
      </c>
      <c r="O217" s="279">
        <v>5.2204802556396741</v>
      </c>
      <c r="P217" s="279">
        <v>5.2204802556396741</v>
      </c>
      <c r="Q217" s="279">
        <v>5.2204802556396741</v>
      </c>
      <c r="R217" s="279">
        <v>5.2204802556396741</v>
      </c>
      <c r="S217" s="279">
        <v>5.2204802556396741</v>
      </c>
      <c r="T217" s="279">
        <v>5.2204802556396741</v>
      </c>
      <c r="U217" s="279">
        <v>5.2204802556396741</v>
      </c>
      <c r="V217" s="279">
        <v>5.2204802556396741</v>
      </c>
      <c r="W217" s="279">
        <v>5.2204802556396741</v>
      </c>
      <c r="X217" s="279">
        <v>5.2204802556396741</v>
      </c>
      <c r="Y217" s="279">
        <v>5.2204802556396741</v>
      </c>
      <c r="Z217" s="279">
        <v>5.2204802556396741</v>
      </c>
      <c r="AA217" s="279">
        <v>5.2204802556396741</v>
      </c>
      <c r="AB217" s="279">
        <v>5.2204802556396741</v>
      </c>
      <c r="AC217" s="279">
        <v>5.2204802556396741</v>
      </c>
      <c r="AD217" s="279">
        <v>5.2204802556396741</v>
      </c>
      <c r="AE217" s="279">
        <v>5.2204802556396741</v>
      </c>
      <c r="AF217" s="279">
        <v>5.2204802556396741</v>
      </c>
      <c r="AG217" s="279">
        <v>5.2204802556396741</v>
      </c>
    </row>
    <row r="218" spans="1:33" x14ac:dyDescent="0.25">
      <c r="A218" s="277" t="s">
        <v>30</v>
      </c>
      <c r="B218" s="277" t="s">
        <v>18</v>
      </c>
      <c r="C218" s="277" t="s">
        <v>115</v>
      </c>
      <c r="D218" s="277" t="s">
        <v>149</v>
      </c>
      <c r="E218" s="277" t="s">
        <v>17</v>
      </c>
      <c r="F218" s="278" t="s">
        <v>150</v>
      </c>
      <c r="G218" s="279">
        <v>1.0097225185805132</v>
      </c>
      <c r="H218" s="279">
        <v>1.0097225185805132</v>
      </c>
      <c r="I218" s="279">
        <v>1.0097225185805132</v>
      </c>
      <c r="J218" s="279">
        <v>1.0097225185805132</v>
      </c>
      <c r="K218" s="279">
        <v>1.0097225185805132</v>
      </c>
      <c r="L218" s="279">
        <v>1.0097225185805132</v>
      </c>
      <c r="M218" s="279">
        <v>1.0097225185805132</v>
      </c>
      <c r="N218" s="279">
        <v>1.0097225185805132</v>
      </c>
      <c r="O218" s="279">
        <v>1.0097225185805132</v>
      </c>
      <c r="P218" s="279">
        <v>1.0097225185805132</v>
      </c>
      <c r="Q218" s="279">
        <v>1.0097225185805132</v>
      </c>
      <c r="R218" s="279">
        <v>1.0097225185805132</v>
      </c>
      <c r="S218" s="279">
        <v>1.0097225185805132</v>
      </c>
      <c r="T218" s="279">
        <v>1.0097225185805132</v>
      </c>
      <c r="U218" s="279">
        <v>1.0097225185805132</v>
      </c>
      <c r="V218" s="279">
        <v>1.0097225185805132</v>
      </c>
      <c r="W218" s="279">
        <v>1.0097225185805132</v>
      </c>
      <c r="X218" s="279">
        <v>1.0097225185805132</v>
      </c>
      <c r="Y218" s="279">
        <v>1.0097225185805132</v>
      </c>
      <c r="Z218" s="279">
        <v>1.0097225185805132</v>
      </c>
      <c r="AA218" s="279">
        <v>1.0097225185805132</v>
      </c>
      <c r="AB218" s="279">
        <v>1.0097225185805132</v>
      </c>
      <c r="AC218" s="279">
        <v>1.0097225185805132</v>
      </c>
      <c r="AD218" s="279">
        <v>1.0097225185805132</v>
      </c>
      <c r="AE218" s="279">
        <v>1.0097225185805132</v>
      </c>
      <c r="AF218" s="279">
        <v>1.0097225185805132</v>
      </c>
      <c r="AG218" s="279">
        <v>1.0097225185805132</v>
      </c>
    </row>
    <row r="219" spans="1:33" x14ac:dyDescent="0.25">
      <c r="A219" s="277" t="s">
        <v>30</v>
      </c>
      <c r="B219" s="277" t="s">
        <v>18</v>
      </c>
      <c r="C219" s="277" t="s">
        <v>115</v>
      </c>
      <c r="D219" s="277" t="s">
        <v>251</v>
      </c>
      <c r="E219" s="277" t="s">
        <v>17</v>
      </c>
      <c r="F219" s="278" t="s">
        <v>252</v>
      </c>
      <c r="G219" s="279">
        <v>5.7145997860088622</v>
      </c>
      <c r="H219" s="279">
        <v>5.7145997860088622</v>
      </c>
      <c r="I219" s="279">
        <v>5.7145997860088622</v>
      </c>
      <c r="J219" s="279">
        <v>5.7145997860088622</v>
      </c>
      <c r="K219" s="279">
        <v>5.7145997860088622</v>
      </c>
      <c r="L219" s="279">
        <v>5.7145997860088622</v>
      </c>
      <c r="M219" s="279">
        <v>5.7145997860088622</v>
      </c>
      <c r="N219" s="279">
        <v>5.7145997860088622</v>
      </c>
      <c r="O219" s="279">
        <v>5.7145997860088622</v>
      </c>
      <c r="P219" s="279">
        <v>5.7145997860088622</v>
      </c>
      <c r="Q219" s="279">
        <v>5.7145997860088622</v>
      </c>
      <c r="R219" s="279">
        <v>5.7145997860088622</v>
      </c>
      <c r="S219" s="279">
        <v>5.7145997860088622</v>
      </c>
      <c r="T219" s="279">
        <v>5.7145997860088622</v>
      </c>
      <c r="U219" s="279">
        <v>5.7145997860088622</v>
      </c>
      <c r="V219" s="279">
        <v>5.7145997860088622</v>
      </c>
      <c r="W219" s="279">
        <v>5.7145997860088622</v>
      </c>
      <c r="X219" s="279">
        <v>5.7145997860088622</v>
      </c>
      <c r="Y219" s="279">
        <v>5.7145997860088622</v>
      </c>
      <c r="Z219" s="279">
        <v>5.7145997860088622</v>
      </c>
      <c r="AA219" s="279">
        <v>5.7145997860088622</v>
      </c>
      <c r="AB219" s="279">
        <v>5.7145997860088622</v>
      </c>
      <c r="AC219" s="279">
        <v>5.7145997860088622</v>
      </c>
      <c r="AD219" s="279">
        <v>5.7145997860088622</v>
      </c>
      <c r="AE219" s="279">
        <v>5.7145997860088622</v>
      </c>
      <c r="AF219" s="279">
        <v>5.7145997860088622</v>
      </c>
      <c r="AG219" s="279">
        <v>5.7145997860088622</v>
      </c>
    </row>
    <row r="220" spans="1:33" x14ac:dyDescent="0.25">
      <c r="A220" s="280" t="s">
        <v>30</v>
      </c>
      <c r="B220" s="280" t="s">
        <v>18</v>
      </c>
      <c r="C220" s="280" t="s">
        <v>115</v>
      </c>
      <c r="D220" s="280" t="s">
        <v>462</v>
      </c>
      <c r="E220" s="280" t="s">
        <v>17</v>
      </c>
      <c r="F220" s="280" t="s">
        <v>463</v>
      </c>
      <c r="G220" s="280">
        <v>2.5994983988987679</v>
      </c>
      <c r="H220" s="280">
        <v>2.5994983988987679</v>
      </c>
      <c r="I220" s="280">
        <v>2.5994983988987679</v>
      </c>
      <c r="J220" s="280">
        <v>2.5994983988987679</v>
      </c>
      <c r="K220" s="280">
        <v>2.5994983988987679</v>
      </c>
      <c r="L220" s="280">
        <v>2.5994983988987679</v>
      </c>
      <c r="M220" s="280">
        <v>2.5994983988987679</v>
      </c>
      <c r="N220" s="280">
        <v>2.5994983988987679</v>
      </c>
      <c r="O220" s="280">
        <v>2.5994983988987679</v>
      </c>
      <c r="P220" s="280">
        <v>2.5994983988987679</v>
      </c>
      <c r="Q220" s="280">
        <v>2.5994983988987679</v>
      </c>
      <c r="R220" s="280">
        <v>2.5994983988987679</v>
      </c>
      <c r="S220" s="280">
        <v>2.5994983988987679</v>
      </c>
      <c r="T220" s="280">
        <v>2.5994983988987679</v>
      </c>
      <c r="U220" s="280">
        <v>2.5994983988987679</v>
      </c>
      <c r="V220" s="280">
        <v>2.5994983988987679</v>
      </c>
      <c r="W220" s="280">
        <v>2.5994983988987679</v>
      </c>
      <c r="X220" s="280">
        <v>2.5994983988987679</v>
      </c>
      <c r="Y220" s="280">
        <v>2.5994983988987679</v>
      </c>
      <c r="Z220" s="280">
        <v>2.5994983988987679</v>
      </c>
      <c r="AA220" s="280">
        <v>2.5994983988987679</v>
      </c>
      <c r="AB220" s="280">
        <v>2.5994983988987679</v>
      </c>
      <c r="AC220" s="280">
        <v>2.5994983988987679</v>
      </c>
      <c r="AD220" s="280">
        <v>2.5994983988987679</v>
      </c>
      <c r="AE220" s="280">
        <v>2.5994983988987679</v>
      </c>
      <c r="AF220" s="280">
        <v>2.5994983988987679</v>
      </c>
      <c r="AG220" s="280">
        <v>2.5994983988987679</v>
      </c>
    </row>
    <row r="221" spans="1:33" x14ac:dyDescent="0.25">
      <c r="A221" s="280" t="s">
        <v>30</v>
      </c>
      <c r="B221" s="280" t="s">
        <v>18</v>
      </c>
      <c r="C221" s="280" t="s">
        <v>115</v>
      </c>
      <c r="D221" s="280" t="s">
        <v>412</v>
      </c>
      <c r="E221" s="280" t="s">
        <v>17</v>
      </c>
      <c r="F221" s="280" t="s">
        <v>413</v>
      </c>
      <c r="G221" s="280">
        <v>0.15038420489497004</v>
      </c>
      <c r="H221" s="280">
        <v>0.15038420489497004</v>
      </c>
      <c r="I221" s="280">
        <v>0.15038420489497004</v>
      </c>
      <c r="J221" s="280">
        <v>0.15038420489497004</v>
      </c>
      <c r="K221" s="280">
        <v>0.15038420489497004</v>
      </c>
      <c r="L221" s="280">
        <v>0.15038420489497004</v>
      </c>
      <c r="M221" s="280">
        <v>0.15038420489497004</v>
      </c>
      <c r="N221" s="280">
        <v>0.15038420489497004</v>
      </c>
      <c r="O221" s="280">
        <v>0.15038420489497004</v>
      </c>
      <c r="P221" s="280">
        <v>0.15038420489497004</v>
      </c>
      <c r="Q221" s="280">
        <v>0.15038420489497004</v>
      </c>
      <c r="R221" s="280">
        <v>0.15038420489497004</v>
      </c>
      <c r="S221" s="280">
        <v>0.15038420489497004</v>
      </c>
      <c r="T221" s="280">
        <v>0.15038420489497004</v>
      </c>
      <c r="U221" s="280">
        <v>0.15038420489497004</v>
      </c>
      <c r="V221" s="280">
        <v>0.15038420489497004</v>
      </c>
      <c r="W221" s="280">
        <v>0.15038420489497004</v>
      </c>
      <c r="X221" s="280">
        <v>0.15038420489497004</v>
      </c>
      <c r="Y221" s="280">
        <v>0.15038420489497004</v>
      </c>
      <c r="Z221" s="280">
        <v>0.15038420489497004</v>
      </c>
      <c r="AA221" s="280">
        <v>0.15038420489497004</v>
      </c>
      <c r="AB221" s="280">
        <v>0.15038420489497004</v>
      </c>
      <c r="AC221" s="280">
        <v>0.15038420489497004</v>
      </c>
      <c r="AD221" s="280">
        <v>0.15038420489497004</v>
      </c>
      <c r="AE221" s="280">
        <v>0.15038420489497004</v>
      </c>
      <c r="AF221" s="280">
        <v>0.15038420489497004</v>
      </c>
      <c r="AG221" s="280">
        <v>0.15038420489497004</v>
      </c>
    </row>
    <row r="222" spans="1:33" x14ac:dyDescent="0.25">
      <c r="A222" s="280" t="s">
        <v>30</v>
      </c>
      <c r="B222" s="280" t="s">
        <v>18</v>
      </c>
      <c r="C222" s="280" t="s">
        <v>115</v>
      </c>
      <c r="D222" s="280" t="s">
        <v>362</v>
      </c>
      <c r="E222" s="280" t="s">
        <v>17</v>
      </c>
      <c r="F222" s="280" t="s">
        <v>363</v>
      </c>
      <c r="G222" s="280">
        <v>3.0291675557415392</v>
      </c>
      <c r="H222" s="280">
        <v>3.0291675557415392</v>
      </c>
      <c r="I222" s="280">
        <v>3.0291675557415392</v>
      </c>
      <c r="J222" s="280">
        <v>3.0291675557415392</v>
      </c>
      <c r="K222" s="280">
        <v>3.0291675557415392</v>
      </c>
      <c r="L222" s="280">
        <v>3.0291675557415392</v>
      </c>
      <c r="M222" s="280">
        <v>3.0291675557415392</v>
      </c>
      <c r="N222" s="280">
        <v>3.0291675557415392</v>
      </c>
      <c r="O222" s="280">
        <v>3.0291675557415392</v>
      </c>
      <c r="P222" s="280">
        <v>3.0291675557415392</v>
      </c>
      <c r="Q222" s="280">
        <v>3.0291675557415392</v>
      </c>
      <c r="R222" s="280">
        <v>3.0291675557415392</v>
      </c>
      <c r="S222" s="280">
        <v>3.0291675557415392</v>
      </c>
      <c r="T222" s="280">
        <v>3.0291675557415392</v>
      </c>
      <c r="U222" s="280">
        <v>3.0291675557415392</v>
      </c>
      <c r="V222" s="280">
        <v>3.0291675557415392</v>
      </c>
      <c r="W222" s="280">
        <v>3.0291675557415392</v>
      </c>
      <c r="X222" s="280">
        <v>3.0291675557415392</v>
      </c>
      <c r="Y222" s="280">
        <v>3.0291675557415392</v>
      </c>
      <c r="Z222" s="280">
        <v>3.0291675557415392</v>
      </c>
      <c r="AA222" s="280">
        <v>3.0291675557415392</v>
      </c>
      <c r="AB222" s="280">
        <v>3.0291675557415392</v>
      </c>
      <c r="AC222" s="280">
        <v>3.0291675557415392</v>
      </c>
      <c r="AD222" s="280">
        <v>3.0291675557415392</v>
      </c>
      <c r="AE222" s="280">
        <v>3.0291675557415392</v>
      </c>
      <c r="AF222" s="280">
        <v>3.0291675557415392</v>
      </c>
      <c r="AG222" s="280">
        <v>3.0291675557415392</v>
      </c>
    </row>
    <row r="223" spans="1:33" x14ac:dyDescent="0.25">
      <c r="A223" s="280" t="s">
        <v>30</v>
      </c>
      <c r="B223" s="280" t="s">
        <v>18</v>
      </c>
      <c r="C223" s="280" t="s">
        <v>115</v>
      </c>
      <c r="D223" s="280" t="s">
        <v>436</v>
      </c>
      <c r="E223" s="280" t="s">
        <v>17</v>
      </c>
      <c r="F223" s="280" t="s">
        <v>437</v>
      </c>
      <c r="G223" s="280">
        <v>6.4450373526415722E-2</v>
      </c>
      <c r="H223" s="280">
        <v>6.4450373526415722E-2</v>
      </c>
      <c r="I223" s="280">
        <v>6.4450373526415722E-2</v>
      </c>
      <c r="J223" s="280">
        <v>6.4450373526415722E-2</v>
      </c>
      <c r="K223" s="280">
        <v>6.4450373526415722E-2</v>
      </c>
      <c r="L223" s="280">
        <v>6.4450373526415722E-2</v>
      </c>
      <c r="M223" s="280">
        <v>6.4450373526415722E-2</v>
      </c>
      <c r="N223" s="280">
        <v>6.4450373526415722E-2</v>
      </c>
      <c r="O223" s="280">
        <v>6.4450373526415722E-2</v>
      </c>
      <c r="P223" s="280">
        <v>6.4450373526415722E-2</v>
      </c>
      <c r="Q223" s="280">
        <v>6.4450373526415722E-2</v>
      </c>
      <c r="R223" s="280">
        <v>6.4450373526415722E-2</v>
      </c>
      <c r="S223" s="280">
        <v>6.4450373526415722E-2</v>
      </c>
      <c r="T223" s="280">
        <v>6.4450373526415722E-2</v>
      </c>
      <c r="U223" s="280">
        <v>6.4450373526415722E-2</v>
      </c>
      <c r="V223" s="280">
        <v>6.4450373526415722E-2</v>
      </c>
      <c r="W223" s="280">
        <v>6.4450373526415722E-2</v>
      </c>
      <c r="X223" s="280">
        <v>6.4450373526415722E-2</v>
      </c>
      <c r="Y223" s="280">
        <v>6.4450373526415722E-2</v>
      </c>
      <c r="Z223" s="280">
        <v>6.4450373526415722E-2</v>
      </c>
      <c r="AA223" s="280">
        <v>6.4450373526415722E-2</v>
      </c>
      <c r="AB223" s="280">
        <v>6.4450373526415722E-2</v>
      </c>
      <c r="AC223" s="280">
        <v>6.4450373526415722E-2</v>
      </c>
      <c r="AD223" s="280">
        <v>6.4450373526415722E-2</v>
      </c>
      <c r="AE223" s="280">
        <v>6.4450373526415722E-2</v>
      </c>
      <c r="AF223" s="280">
        <v>6.4450373526415722E-2</v>
      </c>
      <c r="AG223" s="280">
        <v>6.4450373526415722E-2</v>
      </c>
    </row>
    <row r="224" spans="1:33" x14ac:dyDescent="0.25">
      <c r="A224" s="277" t="s">
        <v>30</v>
      </c>
      <c r="B224" s="277" t="s">
        <v>18</v>
      </c>
      <c r="C224" s="277" t="s">
        <v>115</v>
      </c>
      <c r="D224" s="277" t="s">
        <v>51</v>
      </c>
      <c r="E224" s="277" t="s">
        <v>17</v>
      </c>
      <c r="F224" s="278" t="s">
        <v>228</v>
      </c>
      <c r="G224" s="279">
        <v>1.9549946636346105</v>
      </c>
      <c r="H224" s="279">
        <v>1.9549946636346105</v>
      </c>
      <c r="I224" s="279">
        <v>1.9549946636346105</v>
      </c>
      <c r="J224" s="279">
        <v>1.9549946636346105</v>
      </c>
      <c r="K224" s="279">
        <v>1.9549946636346105</v>
      </c>
      <c r="L224" s="279">
        <v>1.9549946636346105</v>
      </c>
      <c r="M224" s="279">
        <v>1.9549946636346105</v>
      </c>
      <c r="N224" s="279">
        <v>1.9549946636346105</v>
      </c>
      <c r="O224" s="279">
        <v>1.9549946636346105</v>
      </c>
      <c r="P224" s="279">
        <v>1.9549946636346105</v>
      </c>
      <c r="Q224" s="279">
        <v>1.9549946636346105</v>
      </c>
      <c r="R224" s="279">
        <v>1.9549946636346105</v>
      </c>
      <c r="S224" s="279">
        <v>1.9549946636346105</v>
      </c>
      <c r="T224" s="279">
        <v>1.9549946636346105</v>
      </c>
      <c r="U224" s="279">
        <v>1.9549946636346105</v>
      </c>
      <c r="V224" s="279">
        <v>1.9549946636346105</v>
      </c>
      <c r="W224" s="279">
        <v>1.9549946636346105</v>
      </c>
      <c r="X224" s="279">
        <v>1.9549946636346105</v>
      </c>
      <c r="Y224" s="279">
        <v>1.9549946636346105</v>
      </c>
      <c r="Z224" s="279">
        <v>1.9549946636346105</v>
      </c>
      <c r="AA224" s="279">
        <v>1.9549946636346105</v>
      </c>
      <c r="AB224" s="279">
        <v>1.9549946636346105</v>
      </c>
      <c r="AC224" s="279">
        <v>1.9549946636346105</v>
      </c>
      <c r="AD224" s="279">
        <v>1.9549946636346105</v>
      </c>
      <c r="AE224" s="279">
        <v>1.9549946636346105</v>
      </c>
      <c r="AF224" s="279">
        <v>1.9549946636346105</v>
      </c>
      <c r="AG224" s="279">
        <v>1.9549946636346105</v>
      </c>
    </row>
    <row r="225" spans="1:33" x14ac:dyDescent="0.25">
      <c r="A225" s="277" t="s">
        <v>30</v>
      </c>
      <c r="B225" s="277" t="s">
        <v>18</v>
      </c>
      <c r="C225" s="277" t="s">
        <v>115</v>
      </c>
      <c r="D225" s="277" t="s">
        <v>105</v>
      </c>
      <c r="E225" s="277" t="s">
        <v>17</v>
      </c>
      <c r="F225" s="278" t="s">
        <v>257</v>
      </c>
      <c r="G225" s="279">
        <v>1.7401600852132246</v>
      </c>
      <c r="H225" s="279">
        <v>1.7401600852132246</v>
      </c>
      <c r="I225" s="279">
        <v>1.7401600852132246</v>
      </c>
      <c r="J225" s="279">
        <v>1.7401600852132246</v>
      </c>
      <c r="K225" s="279">
        <v>1.7401600852132246</v>
      </c>
      <c r="L225" s="279">
        <v>1.7401600852132246</v>
      </c>
      <c r="M225" s="279">
        <v>1.7401600852132246</v>
      </c>
      <c r="N225" s="279">
        <v>1.7401600852132246</v>
      </c>
      <c r="O225" s="279">
        <v>1.7401600852132246</v>
      </c>
      <c r="P225" s="279">
        <v>1.7401600852132246</v>
      </c>
      <c r="Q225" s="279">
        <v>1.7401600852132246</v>
      </c>
      <c r="R225" s="279">
        <v>1.7401600852132246</v>
      </c>
      <c r="S225" s="279">
        <v>1.7401600852132246</v>
      </c>
      <c r="T225" s="279">
        <v>1.7401600852132246</v>
      </c>
      <c r="U225" s="279">
        <v>1.7401600852132246</v>
      </c>
      <c r="V225" s="279">
        <v>1.7401600852132246</v>
      </c>
      <c r="W225" s="279">
        <v>1.7401600852132246</v>
      </c>
      <c r="X225" s="279">
        <v>1.7401600852132246</v>
      </c>
      <c r="Y225" s="279">
        <v>1.7401600852132246</v>
      </c>
      <c r="Z225" s="279">
        <v>1.7401600852132246</v>
      </c>
      <c r="AA225" s="279">
        <v>1.7401600852132246</v>
      </c>
      <c r="AB225" s="279">
        <v>1.7401600852132246</v>
      </c>
      <c r="AC225" s="279">
        <v>1.7401600852132246</v>
      </c>
      <c r="AD225" s="279">
        <v>1.7401600852132246</v>
      </c>
      <c r="AE225" s="279">
        <v>1.7401600852132246</v>
      </c>
      <c r="AF225" s="279">
        <v>1.7401600852132246</v>
      </c>
      <c r="AG225" s="279">
        <v>1.7401600852132246</v>
      </c>
    </row>
    <row r="226" spans="1:33" x14ac:dyDescent="0.25">
      <c r="A226" s="277" t="s">
        <v>30</v>
      </c>
      <c r="B226" s="277" t="s">
        <v>18</v>
      </c>
      <c r="C226" s="277" t="s">
        <v>115</v>
      </c>
      <c r="D226" s="277" t="s">
        <v>327</v>
      </c>
      <c r="E226" s="277" t="s">
        <v>17</v>
      </c>
      <c r="F226" s="278" t="s">
        <v>328</v>
      </c>
      <c r="G226" s="279">
        <v>0.83785485584340436</v>
      </c>
      <c r="H226" s="279">
        <v>0.83785485584340436</v>
      </c>
      <c r="I226" s="279">
        <v>0.83785485584340436</v>
      </c>
      <c r="J226" s="279">
        <v>0.83785485584340436</v>
      </c>
      <c r="K226" s="279">
        <v>0.83785485584340436</v>
      </c>
      <c r="L226" s="279">
        <v>0.83785485584340436</v>
      </c>
      <c r="M226" s="279">
        <v>0.83785485584340436</v>
      </c>
      <c r="N226" s="279">
        <v>0.83785485584340436</v>
      </c>
      <c r="O226" s="279">
        <v>0.83785485584340436</v>
      </c>
      <c r="P226" s="279">
        <v>0.83785485584340436</v>
      </c>
      <c r="Q226" s="279">
        <v>0.83785485584340436</v>
      </c>
      <c r="R226" s="279">
        <v>0.83785485584340436</v>
      </c>
      <c r="S226" s="279">
        <v>0.83785485584340436</v>
      </c>
      <c r="T226" s="279">
        <v>0.83785485584340436</v>
      </c>
      <c r="U226" s="279">
        <v>0.83785485584340436</v>
      </c>
      <c r="V226" s="279">
        <v>0.83785485584340436</v>
      </c>
      <c r="W226" s="279">
        <v>0.83785485584340436</v>
      </c>
      <c r="X226" s="279">
        <v>0.83785485584340436</v>
      </c>
      <c r="Y226" s="279">
        <v>0.83785485584340436</v>
      </c>
      <c r="Z226" s="279">
        <v>0.83785485584340436</v>
      </c>
      <c r="AA226" s="279">
        <v>0.83785485584340436</v>
      </c>
      <c r="AB226" s="279">
        <v>0.83785485584340436</v>
      </c>
      <c r="AC226" s="279">
        <v>0.83785485584340436</v>
      </c>
      <c r="AD226" s="279">
        <v>0.83785485584340436</v>
      </c>
      <c r="AE226" s="279">
        <v>0.83785485584340436</v>
      </c>
      <c r="AF226" s="279">
        <v>0.83785485584340436</v>
      </c>
      <c r="AG226" s="279">
        <v>0.83785485584340436</v>
      </c>
    </row>
    <row r="227" spans="1:33" x14ac:dyDescent="0.25">
      <c r="A227" s="277" t="s">
        <v>30</v>
      </c>
      <c r="B227" s="277" t="s">
        <v>18</v>
      </c>
      <c r="C227" s="277" t="s">
        <v>115</v>
      </c>
      <c r="D227" s="277" t="s">
        <v>231</v>
      </c>
      <c r="E227" s="277" t="s">
        <v>17</v>
      </c>
      <c r="F227" s="278" t="s">
        <v>232</v>
      </c>
      <c r="G227" s="279">
        <v>1.869060832266056</v>
      </c>
      <c r="H227" s="279">
        <v>1.869060832266056</v>
      </c>
      <c r="I227" s="279">
        <v>1.869060832266056</v>
      </c>
      <c r="J227" s="279">
        <v>1.869060832266056</v>
      </c>
      <c r="K227" s="279">
        <v>1.869060832266056</v>
      </c>
      <c r="L227" s="279">
        <v>1.869060832266056</v>
      </c>
      <c r="M227" s="279">
        <v>1.869060832266056</v>
      </c>
      <c r="N227" s="279">
        <v>1.869060832266056</v>
      </c>
      <c r="O227" s="279">
        <v>1.869060832266056</v>
      </c>
      <c r="P227" s="279">
        <v>1.869060832266056</v>
      </c>
      <c r="Q227" s="279">
        <v>1.869060832266056</v>
      </c>
      <c r="R227" s="279">
        <v>1.869060832266056</v>
      </c>
      <c r="S227" s="279">
        <v>1.869060832266056</v>
      </c>
      <c r="T227" s="279">
        <v>1.869060832266056</v>
      </c>
      <c r="U227" s="279">
        <v>1.869060832266056</v>
      </c>
      <c r="V227" s="279">
        <v>1.869060832266056</v>
      </c>
      <c r="W227" s="279">
        <v>1.869060832266056</v>
      </c>
      <c r="X227" s="279">
        <v>1.869060832266056</v>
      </c>
      <c r="Y227" s="279">
        <v>1.869060832266056</v>
      </c>
      <c r="Z227" s="279">
        <v>1.869060832266056</v>
      </c>
      <c r="AA227" s="279">
        <v>1.869060832266056</v>
      </c>
      <c r="AB227" s="279">
        <v>1.869060832266056</v>
      </c>
      <c r="AC227" s="279">
        <v>1.869060832266056</v>
      </c>
      <c r="AD227" s="279">
        <v>1.869060832266056</v>
      </c>
      <c r="AE227" s="279">
        <v>1.869060832266056</v>
      </c>
      <c r="AF227" s="279">
        <v>1.869060832266056</v>
      </c>
      <c r="AG227" s="279">
        <v>1.869060832266056</v>
      </c>
    </row>
    <row r="228" spans="1:33" x14ac:dyDescent="0.25">
      <c r="A228" s="277" t="s">
        <v>30</v>
      </c>
      <c r="B228" s="277" t="s">
        <v>18</v>
      </c>
      <c r="C228" s="277" t="s">
        <v>115</v>
      </c>
      <c r="D228" s="277" t="s">
        <v>42</v>
      </c>
      <c r="E228" s="277" t="s">
        <v>17</v>
      </c>
      <c r="F228" s="278" t="s">
        <v>174</v>
      </c>
      <c r="G228" s="279">
        <v>1.117139807791206</v>
      </c>
      <c r="H228" s="279">
        <v>1.117139807791206</v>
      </c>
      <c r="I228" s="279">
        <v>1.117139807791206</v>
      </c>
      <c r="J228" s="279">
        <v>1.117139807791206</v>
      </c>
      <c r="K228" s="279">
        <v>1.117139807791206</v>
      </c>
      <c r="L228" s="279">
        <v>1.117139807791206</v>
      </c>
      <c r="M228" s="279">
        <v>1.117139807791206</v>
      </c>
      <c r="N228" s="279">
        <v>1.117139807791206</v>
      </c>
      <c r="O228" s="279">
        <v>1.117139807791206</v>
      </c>
      <c r="P228" s="279">
        <v>1.117139807791206</v>
      </c>
      <c r="Q228" s="279">
        <v>1.117139807791206</v>
      </c>
      <c r="R228" s="279">
        <v>1.117139807791206</v>
      </c>
      <c r="S228" s="279">
        <v>1.117139807791206</v>
      </c>
      <c r="T228" s="279">
        <v>1.117139807791206</v>
      </c>
      <c r="U228" s="279">
        <v>1.117139807791206</v>
      </c>
      <c r="V228" s="279">
        <v>1.117139807791206</v>
      </c>
      <c r="W228" s="279">
        <v>1.117139807791206</v>
      </c>
      <c r="X228" s="279">
        <v>1.117139807791206</v>
      </c>
      <c r="Y228" s="279">
        <v>1.117139807791206</v>
      </c>
      <c r="Z228" s="279">
        <v>1.117139807791206</v>
      </c>
      <c r="AA228" s="279">
        <v>1.117139807791206</v>
      </c>
      <c r="AB228" s="279">
        <v>1.117139807791206</v>
      </c>
      <c r="AC228" s="279">
        <v>1.117139807791206</v>
      </c>
      <c r="AD228" s="279">
        <v>1.117139807791206</v>
      </c>
      <c r="AE228" s="279">
        <v>1.117139807791206</v>
      </c>
      <c r="AF228" s="279">
        <v>1.117139807791206</v>
      </c>
      <c r="AG228" s="279">
        <v>1.117139807791206</v>
      </c>
    </row>
    <row r="229" spans="1:33" x14ac:dyDescent="0.25">
      <c r="A229" s="280" t="s">
        <v>30</v>
      </c>
      <c r="B229" s="280" t="s">
        <v>18</v>
      </c>
      <c r="C229" s="280" t="s">
        <v>115</v>
      </c>
      <c r="D229" s="280" t="s">
        <v>526</v>
      </c>
      <c r="E229" s="280" t="s">
        <v>17</v>
      </c>
      <c r="F229" s="280" t="s">
        <v>527</v>
      </c>
      <c r="G229" s="280">
        <v>3.6521878331635587</v>
      </c>
      <c r="H229" s="280">
        <v>3.6521878331635587</v>
      </c>
      <c r="I229" s="280">
        <v>3.6521878331635587</v>
      </c>
      <c r="J229" s="280">
        <v>3.6521878331635587</v>
      </c>
      <c r="K229" s="280">
        <v>3.6521878331635587</v>
      </c>
      <c r="L229" s="280">
        <v>3.6521878331635587</v>
      </c>
      <c r="M229" s="280">
        <v>3.6521878331635587</v>
      </c>
      <c r="N229" s="280">
        <v>3.6521878331635587</v>
      </c>
      <c r="O229" s="280">
        <v>3.6521878331635587</v>
      </c>
      <c r="P229" s="280">
        <v>3.6521878331635587</v>
      </c>
      <c r="Q229" s="280">
        <v>3.6521878331635587</v>
      </c>
      <c r="R229" s="280">
        <v>3.6521878331635587</v>
      </c>
      <c r="S229" s="280">
        <v>3.6521878331635587</v>
      </c>
      <c r="T229" s="280">
        <v>3.6521878331635587</v>
      </c>
      <c r="U229" s="280">
        <v>3.6521878331635587</v>
      </c>
      <c r="V229" s="280">
        <v>3.6521878331635587</v>
      </c>
      <c r="W229" s="280">
        <v>3.6521878331635587</v>
      </c>
      <c r="X229" s="280">
        <v>3.6521878331635587</v>
      </c>
      <c r="Y229" s="280">
        <v>3.6521878331635587</v>
      </c>
      <c r="Z229" s="280">
        <v>3.6521878331635587</v>
      </c>
      <c r="AA229" s="280">
        <v>3.6521878331635587</v>
      </c>
      <c r="AB229" s="280">
        <v>3.6521878331635587</v>
      </c>
      <c r="AC229" s="280">
        <v>3.6521878331635587</v>
      </c>
      <c r="AD229" s="280">
        <v>3.6521878331635587</v>
      </c>
      <c r="AE229" s="280">
        <v>3.6521878331635587</v>
      </c>
      <c r="AF229" s="280">
        <v>3.6521878331635587</v>
      </c>
      <c r="AG229" s="280">
        <v>3.6521878331635587</v>
      </c>
    </row>
    <row r="230" spans="1:33" x14ac:dyDescent="0.25">
      <c r="A230" s="280" t="s">
        <v>30</v>
      </c>
      <c r="B230" s="280" t="s">
        <v>18</v>
      </c>
      <c r="C230" s="280" t="s">
        <v>115</v>
      </c>
      <c r="D230" s="280" t="s">
        <v>503</v>
      </c>
      <c r="E230" s="280" t="s">
        <v>17</v>
      </c>
      <c r="F230" s="280" t="s">
        <v>504</v>
      </c>
      <c r="G230" s="280">
        <v>25.414930627249937</v>
      </c>
      <c r="H230" s="280">
        <v>25.414930627249937</v>
      </c>
      <c r="I230" s="280">
        <v>25.414930627249937</v>
      </c>
      <c r="J230" s="280">
        <v>25.414930627249937</v>
      </c>
      <c r="K230" s="280">
        <v>25.414930627249937</v>
      </c>
      <c r="L230" s="280">
        <v>25.414930627249937</v>
      </c>
      <c r="M230" s="280">
        <v>25.414930627249937</v>
      </c>
      <c r="N230" s="280">
        <v>25.414930627249937</v>
      </c>
      <c r="O230" s="280">
        <v>25.414930627249937</v>
      </c>
      <c r="P230" s="280">
        <v>25.414930627249937</v>
      </c>
      <c r="Q230" s="280">
        <v>25.414930627249937</v>
      </c>
      <c r="R230" s="280">
        <v>25.414930627249937</v>
      </c>
      <c r="S230" s="280">
        <v>25.414930627249937</v>
      </c>
      <c r="T230" s="280">
        <v>25.414930627249937</v>
      </c>
      <c r="U230" s="280">
        <v>25.414930627249937</v>
      </c>
      <c r="V230" s="280">
        <v>25.414930627249937</v>
      </c>
      <c r="W230" s="280">
        <v>25.414930627249937</v>
      </c>
      <c r="X230" s="280">
        <v>25.414930627249937</v>
      </c>
      <c r="Y230" s="280">
        <v>25.414930627249937</v>
      </c>
      <c r="Z230" s="280">
        <v>25.414930627249937</v>
      </c>
      <c r="AA230" s="280">
        <v>25.414930627249937</v>
      </c>
      <c r="AB230" s="280">
        <v>25.414930627249937</v>
      </c>
      <c r="AC230" s="280">
        <v>25.414930627249937</v>
      </c>
      <c r="AD230" s="280">
        <v>25.414930627249937</v>
      </c>
      <c r="AE230" s="280">
        <v>25.414930627249937</v>
      </c>
      <c r="AF230" s="280">
        <v>25.414930627249937</v>
      </c>
      <c r="AG230" s="280">
        <v>25.414930627249937</v>
      </c>
    </row>
    <row r="231" spans="1:33" x14ac:dyDescent="0.25">
      <c r="A231" s="277" t="s">
        <v>30</v>
      </c>
      <c r="B231" s="277" t="s">
        <v>18</v>
      </c>
      <c r="C231" s="277" t="s">
        <v>115</v>
      </c>
      <c r="D231" s="277" t="s">
        <v>134</v>
      </c>
      <c r="E231" s="277" t="s">
        <v>17</v>
      </c>
      <c r="F231" s="278" t="s">
        <v>135</v>
      </c>
      <c r="G231" s="279">
        <v>0.73043756663271175</v>
      </c>
      <c r="H231" s="279">
        <v>0.73043756663271175</v>
      </c>
      <c r="I231" s="279">
        <v>0.73043756663271175</v>
      </c>
      <c r="J231" s="279">
        <v>0.73043756663271175</v>
      </c>
      <c r="K231" s="279">
        <v>0.73043756663271175</v>
      </c>
      <c r="L231" s="279">
        <v>0.73043756663271175</v>
      </c>
      <c r="M231" s="279">
        <v>0.73043756663271175</v>
      </c>
      <c r="N231" s="279">
        <v>0.73043756663271175</v>
      </c>
      <c r="O231" s="279">
        <v>0.73043756663271175</v>
      </c>
      <c r="P231" s="279">
        <v>0.73043756663271175</v>
      </c>
      <c r="Q231" s="279">
        <v>0.73043756663271175</v>
      </c>
      <c r="R231" s="279">
        <v>0.73043756663271175</v>
      </c>
      <c r="S231" s="279">
        <v>0.73043756663271175</v>
      </c>
      <c r="T231" s="279">
        <v>0.73043756663271175</v>
      </c>
      <c r="U231" s="279">
        <v>0.73043756663271175</v>
      </c>
      <c r="V231" s="279">
        <v>0.73043756663271175</v>
      </c>
      <c r="W231" s="279">
        <v>0.73043756663271175</v>
      </c>
      <c r="X231" s="279">
        <v>0.73043756663271175</v>
      </c>
      <c r="Y231" s="279">
        <v>0.73043756663271175</v>
      </c>
      <c r="Z231" s="279">
        <v>0.73043756663271175</v>
      </c>
      <c r="AA231" s="279">
        <v>0.73043756663271175</v>
      </c>
      <c r="AB231" s="279">
        <v>0.73043756663271175</v>
      </c>
      <c r="AC231" s="279">
        <v>0.73043756663271175</v>
      </c>
      <c r="AD231" s="279">
        <v>0.73043756663271175</v>
      </c>
      <c r="AE231" s="279">
        <v>0.73043756663271175</v>
      </c>
      <c r="AF231" s="279">
        <v>0.73043756663271175</v>
      </c>
      <c r="AG231" s="279">
        <v>0.73043756663271175</v>
      </c>
    </row>
    <row r="232" spans="1:33" x14ac:dyDescent="0.25">
      <c r="A232" s="277" t="s">
        <v>30</v>
      </c>
      <c r="B232" s="277" t="s">
        <v>18</v>
      </c>
      <c r="C232" s="277" t="s">
        <v>115</v>
      </c>
      <c r="D232" s="277" t="s">
        <v>185</v>
      </c>
      <c r="E232" s="277" t="s">
        <v>17</v>
      </c>
      <c r="F232" s="278" t="s">
        <v>186</v>
      </c>
      <c r="G232" s="279">
        <v>0.32225186763207864</v>
      </c>
      <c r="H232" s="279">
        <v>0.32225186763207864</v>
      </c>
      <c r="I232" s="279">
        <v>0.32225186763207864</v>
      </c>
      <c r="J232" s="279">
        <v>0.32225186763207864</v>
      </c>
      <c r="K232" s="279">
        <v>0.32225186763207864</v>
      </c>
      <c r="L232" s="279">
        <v>0.32225186763207864</v>
      </c>
      <c r="M232" s="279">
        <v>0.32225186763207864</v>
      </c>
      <c r="N232" s="279">
        <v>0.32225186763207864</v>
      </c>
      <c r="O232" s="279">
        <v>0.32225186763207864</v>
      </c>
      <c r="P232" s="279">
        <v>0.32225186763207864</v>
      </c>
      <c r="Q232" s="279">
        <v>0.32225186763207864</v>
      </c>
      <c r="R232" s="279">
        <v>0.32225186763207864</v>
      </c>
      <c r="S232" s="279">
        <v>0.32225186763207864</v>
      </c>
      <c r="T232" s="279">
        <v>0.32225186763207864</v>
      </c>
      <c r="U232" s="279">
        <v>0.32225186763207864</v>
      </c>
      <c r="V232" s="279">
        <v>0.32225186763207864</v>
      </c>
      <c r="W232" s="279">
        <v>0.32225186763207864</v>
      </c>
      <c r="X232" s="279">
        <v>0.32225186763207864</v>
      </c>
      <c r="Y232" s="279">
        <v>0.32225186763207864</v>
      </c>
      <c r="Z232" s="279">
        <v>0.32225186763207864</v>
      </c>
      <c r="AA232" s="279">
        <v>0.32225186763207864</v>
      </c>
      <c r="AB232" s="279">
        <v>0.32225186763207864</v>
      </c>
      <c r="AC232" s="279">
        <v>0.32225186763207864</v>
      </c>
      <c r="AD232" s="279">
        <v>0.32225186763207864</v>
      </c>
      <c r="AE232" s="279">
        <v>0.32225186763207864</v>
      </c>
      <c r="AF232" s="279">
        <v>0.32225186763207864</v>
      </c>
      <c r="AG232" s="279">
        <v>0.32225186763207864</v>
      </c>
    </row>
    <row r="233" spans="1:33" x14ac:dyDescent="0.25">
      <c r="A233" s="277" t="s">
        <v>30</v>
      </c>
      <c r="B233" s="277" t="s">
        <v>18</v>
      </c>
      <c r="C233" s="277" t="s">
        <v>115</v>
      </c>
      <c r="D233" s="277" t="s">
        <v>192</v>
      </c>
      <c r="E233" s="277" t="s">
        <v>17</v>
      </c>
      <c r="F233" s="278" t="s">
        <v>193</v>
      </c>
      <c r="G233" s="279">
        <v>2.1483457842138578</v>
      </c>
      <c r="H233" s="279">
        <v>2.1483457842138578</v>
      </c>
      <c r="I233" s="279">
        <v>2.1483457842138578</v>
      </c>
      <c r="J233" s="279">
        <v>2.1483457842138578</v>
      </c>
      <c r="K233" s="279">
        <v>2.1483457842138578</v>
      </c>
      <c r="L233" s="279">
        <v>2.1483457842138578</v>
      </c>
      <c r="M233" s="279">
        <v>2.1483457842138578</v>
      </c>
      <c r="N233" s="279">
        <v>2.1483457842138578</v>
      </c>
      <c r="O233" s="279">
        <v>2.1483457842138578</v>
      </c>
      <c r="P233" s="279">
        <v>2.1483457842138578</v>
      </c>
      <c r="Q233" s="279">
        <v>2.1483457842138578</v>
      </c>
      <c r="R233" s="279">
        <v>2.1483457842138578</v>
      </c>
      <c r="S233" s="279">
        <v>2.1483457842138578</v>
      </c>
      <c r="T233" s="279">
        <v>2.1483457842138578</v>
      </c>
      <c r="U233" s="279">
        <v>2.1483457842138578</v>
      </c>
      <c r="V233" s="279">
        <v>2.1483457842138578</v>
      </c>
      <c r="W233" s="279">
        <v>2.1483457842138578</v>
      </c>
      <c r="X233" s="279">
        <v>2.1483457842138578</v>
      </c>
      <c r="Y233" s="279">
        <v>2.1483457842138578</v>
      </c>
      <c r="Z233" s="279">
        <v>2.1483457842138578</v>
      </c>
      <c r="AA233" s="279">
        <v>2.1483457842138578</v>
      </c>
      <c r="AB233" s="279">
        <v>2.1483457842138578</v>
      </c>
      <c r="AC233" s="279">
        <v>2.1483457842138578</v>
      </c>
      <c r="AD233" s="279">
        <v>2.1483457842138578</v>
      </c>
      <c r="AE233" s="279">
        <v>2.1483457842138578</v>
      </c>
      <c r="AF233" s="279">
        <v>2.1483457842138578</v>
      </c>
      <c r="AG233" s="279">
        <v>2.1483457842138578</v>
      </c>
    </row>
    <row r="234" spans="1:33" x14ac:dyDescent="0.25">
      <c r="A234" s="277" t="s">
        <v>30</v>
      </c>
      <c r="B234" s="277" t="s">
        <v>18</v>
      </c>
      <c r="C234" s="277" t="s">
        <v>115</v>
      </c>
      <c r="D234" s="277" t="s">
        <v>158</v>
      </c>
      <c r="E234" s="277" t="s">
        <v>17</v>
      </c>
      <c r="F234" s="278" t="s">
        <v>159</v>
      </c>
      <c r="G234" s="279">
        <v>6.7458057624315124</v>
      </c>
      <c r="H234" s="279">
        <v>6.7458057624315124</v>
      </c>
      <c r="I234" s="279">
        <v>6.7458057624315124</v>
      </c>
      <c r="J234" s="279">
        <v>6.7458057624315124</v>
      </c>
      <c r="K234" s="279">
        <v>6.7458057624315124</v>
      </c>
      <c r="L234" s="279">
        <v>6.7458057624315124</v>
      </c>
      <c r="M234" s="279">
        <v>6.7458057624315124</v>
      </c>
      <c r="N234" s="279">
        <v>6.7458057624315124</v>
      </c>
      <c r="O234" s="279">
        <v>6.7458057624315124</v>
      </c>
      <c r="P234" s="279">
        <v>6.7458057624315124</v>
      </c>
      <c r="Q234" s="279">
        <v>6.7458057624315124</v>
      </c>
      <c r="R234" s="279">
        <v>6.7458057624315124</v>
      </c>
      <c r="S234" s="279">
        <v>6.7458057624315124</v>
      </c>
      <c r="T234" s="279">
        <v>6.7458057624315124</v>
      </c>
      <c r="U234" s="279">
        <v>6.7458057624315124</v>
      </c>
      <c r="V234" s="279">
        <v>6.7458057624315124</v>
      </c>
      <c r="W234" s="279">
        <v>6.7458057624315124</v>
      </c>
      <c r="X234" s="279">
        <v>6.7458057624315124</v>
      </c>
      <c r="Y234" s="279">
        <v>6.7458057624315124</v>
      </c>
      <c r="Z234" s="279">
        <v>6.7458057624315124</v>
      </c>
      <c r="AA234" s="279">
        <v>6.7458057624315124</v>
      </c>
      <c r="AB234" s="279">
        <v>6.7458057624315124</v>
      </c>
      <c r="AC234" s="279">
        <v>6.7458057624315124</v>
      </c>
      <c r="AD234" s="279">
        <v>6.7458057624315124</v>
      </c>
      <c r="AE234" s="279">
        <v>6.7458057624315124</v>
      </c>
      <c r="AF234" s="279">
        <v>6.7458057624315124</v>
      </c>
      <c r="AG234" s="279">
        <v>6.7458057624315124</v>
      </c>
    </row>
    <row r="235" spans="1:33" x14ac:dyDescent="0.25">
      <c r="A235" s="277" t="s">
        <v>30</v>
      </c>
      <c r="B235" s="277" t="s">
        <v>18</v>
      </c>
      <c r="C235" s="277" t="s">
        <v>115</v>
      </c>
      <c r="D235" s="277" t="s">
        <v>293</v>
      </c>
      <c r="E235" s="277" t="s">
        <v>17</v>
      </c>
      <c r="F235" s="278" t="s">
        <v>294</v>
      </c>
      <c r="G235" s="279">
        <v>2.4705976518459369</v>
      </c>
      <c r="H235" s="279">
        <v>2.4705976518459369</v>
      </c>
      <c r="I235" s="279">
        <v>2.4705976518459369</v>
      </c>
      <c r="J235" s="279">
        <v>2.4705976518459369</v>
      </c>
      <c r="K235" s="279">
        <v>2.4705976518459369</v>
      </c>
      <c r="L235" s="279">
        <v>2.4705976518459369</v>
      </c>
      <c r="M235" s="279">
        <v>2.4705976518459369</v>
      </c>
      <c r="N235" s="279">
        <v>2.4705976518459369</v>
      </c>
      <c r="O235" s="279">
        <v>2.4705976518459369</v>
      </c>
      <c r="P235" s="279">
        <v>2.4705976518459369</v>
      </c>
      <c r="Q235" s="279">
        <v>2.4705976518459369</v>
      </c>
      <c r="R235" s="279">
        <v>2.4705976518459369</v>
      </c>
      <c r="S235" s="279">
        <v>2.4705976518459369</v>
      </c>
      <c r="T235" s="279">
        <v>2.4705976518459369</v>
      </c>
      <c r="U235" s="279">
        <v>2.4705976518459369</v>
      </c>
      <c r="V235" s="279">
        <v>2.4705976518459369</v>
      </c>
      <c r="W235" s="279">
        <v>2.4705976518459369</v>
      </c>
      <c r="X235" s="279">
        <v>2.4705976518459369</v>
      </c>
      <c r="Y235" s="279">
        <v>2.4705976518459369</v>
      </c>
      <c r="Z235" s="279">
        <v>2.4705976518459369</v>
      </c>
      <c r="AA235" s="279">
        <v>2.4705976518459369</v>
      </c>
      <c r="AB235" s="279">
        <v>2.4705976518459369</v>
      </c>
      <c r="AC235" s="279">
        <v>2.4705976518459369</v>
      </c>
      <c r="AD235" s="279">
        <v>2.4705976518459369</v>
      </c>
      <c r="AE235" s="279">
        <v>2.4705976518459369</v>
      </c>
      <c r="AF235" s="279">
        <v>2.4705976518459369</v>
      </c>
      <c r="AG235" s="279">
        <v>2.4705976518459369</v>
      </c>
    </row>
    <row r="236" spans="1:33" x14ac:dyDescent="0.25">
      <c r="A236" s="280" t="s">
        <v>30</v>
      </c>
      <c r="B236" s="280" t="s">
        <v>18</v>
      </c>
      <c r="C236" s="280" t="s">
        <v>115</v>
      </c>
      <c r="D236" s="280" t="s">
        <v>511</v>
      </c>
      <c r="E236" s="280" t="s">
        <v>17</v>
      </c>
      <c r="F236" s="280" t="s">
        <v>512</v>
      </c>
      <c r="G236" s="280">
        <v>0.32225186763207864</v>
      </c>
      <c r="H236" s="280">
        <v>0.32225186763207864</v>
      </c>
      <c r="I236" s="280">
        <v>0.32225186763207864</v>
      </c>
      <c r="J236" s="280">
        <v>0.32225186763207864</v>
      </c>
      <c r="K236" s="280">
        <v>0.32225186763207864</v>
      </c>
      <c r="L236" s="280">
        <v>0.32225186763207864</v>
      </c>
      <c r="M236" s="280">
        <v>0.32225186763207864</v>
      </c>
      <c r="N236" s="280">
        <v>0.32225186763207864</v>
      </c>
      <c r="O236" s="280">
        <v>0.32225186763207864</v>
      </c>
      <c r="P236" s="280">
        <v>0.32225186763207864</v>
      </c>
      <c r="Q236" s="280">
        <v>0.32225186763207864</v>
      </c>
      <c r="R236" s="280">
        <v>0.32225186763207864</v>
      </c>
      <c r="S236" s="280">
        <v>0.32225186763207864</v>
      </c>
      <c r="T236" s="280">
        <v>0.32225186763207864</v>
      </c>
      <c r="U236" s="280">
        <v>0.32225186763207864</v>
      </c>
      <c r="V236" s="280">
        <v>0.32225186763207864</v>
      </c>
      <c r="W236" s="280">
        <v>0.32225186763207864</v>
      </c>
      <c r="X236" s="280">
        <v>0.32225186763207864</v>
      </c>
      <c r="Y236" s="280">
        <v>0.32225186763207864</v>
      </c>
      <c r="Z236" s="280">
        <v>0.32225186763207864</v>
      </c>
      <c r="AA236" s="280">
        <v>0.32225186763207864</v>
      </c>
      <c r="AB236" s="280">
        <v>0.32225186763207864</v>
      </c>
      <c r="AC236" s="280">
        <v>0.32225186763207864</v>
      </c>
      <c r="AD236" s="280">
        <v>0.32225186763207864</v>
      </c>
      <c r="AE236" s="280">
        <v>0.32225186763207864</v>
      </c>
      <c r="AF236" s="280">
        <v>0.32225186763207864</v>
      </c>
      <c r="AG236" s="280">
        <v>0.32225186763207864</v>
      </c>
    </row>
    <row r="237" spans="1:33" x14ac:dyDescent="0.25">
      <c r="A237" s="277" t="s">
        <v>30</v>
      </c>
      <c r="B237" s="277" t="s">
        <v>18</v>
      </c>
      <c r="C237" s="277" t="s">
        <v>115</v>
      </c>
      <c r="D237" s="277" t="s">
        <v>316</v>
      </c>
      <c r="E237" s="277" t="s">
        <v>17</v>
      </c>
      <c r="F237" s="278" t="s">
        <v>317</v>
      </c>
      <c r="G237" s="279">
        <v>6.1657524006937718</v>
      </c>
      <c r="H237" s="279">
        <v>6.1657524006937718</v>
      </c>
      <c r="I237" s="279">
        <v>6.1657524006937718</v>
      </c>
      <c r="J237" s="279">
        <v>6.1657524006937718</v>
      </c>
      <c r="K237" s="279">
        <v>6.1657524006937718</v>
      </c>
      <c r="L237" s="279">
        <v>6.1657524006937718</v>
      </c>
      <c r="M237" s="279">
        <v>6.1657524006937718</v>
      </c>
      <c r="N237" s="279">
        <v>6.1657524006937718</v>
      </c>
      <c r="O237" s="279">
        <v>6.1657524006937718</v>
      </c>
      <c r="P237" s="279">
        <v>6.1657524006937718</v>
      </c>
      <c r="Q237" s="279">
        <v>6.1657524006937718</v>
      </c>
      <c r="R237" s="279">
        <v>6.1657524006937718</v>
      </c>
      <c r="S237" s="279">
        <v>6.1657524006937718</v>
      </c>
      <c r="T237" s="279">
        <v>6.1657524006937718</v>
      </c>
      <c r="U237" s="279">
        <v>6.1657524006937718</v>
      </c>
      <c r="V237" s="279">
        <v>6.1657524006937718</v>
      </c>
      <c r="W237" s="279">
        <v>6.1657524006937718</v>
      </c>
      <c r="X237" s="279">
        <v>6.1657524006937718</v>
      </c>
      <c r="Y237" s="279">
        <v>6.1657524006937718</v>
      </c>
      <c r="Z237" s="279">
        <v>6.1657524006937718</v>
      </c>
      <c r="AA237" s="279">
        <v>6.1657524006937718</v>
      </c>
      <c r="AB237" s="279">
        <v>6.1657524006937718</v>
      </c>
      <c r="AC237" s="279">
        <v>6.1657524006937718</v>
      </c>
      <c r="AD237" s="279">
        <v>6.1657524006937718</v>
      </c>
      <c r="AE237" s="279">
        <v>6.1657524006937718</v>
      </c>
      <c r="AF237" s="279">
        <v>6.1657524006937718</v>
      </c>
      <c r="AG237" s="279">
        <v>6.1657524006937718</v>
      </c>
    </row>
    <row r="238" spans="1:33" x14ac:dyDescent="0.25">
      <c r="A238" s="277" t="s">
        <v>30</v>
      </c>
      <c r="B238" s="277" t="s">
        <v>18</v>
      </c>
      <c r="C238" s="277" t="s">
        <v>115</v>
      </c>
      <c r="D238" s="277" t="s">
        <v>107</v>
      </c>
      <c r="E238" s="277" t="s">
        <v>17</v>
      </c>
      <c r="F238" s="278" t="s">
        <v>182</v>
      </c>
      <c r="G238" s="279">
        <v>1.2460405548440374</v>
      </c>
      <c r="H238" s="279">
        <v>1.2460405548440374</v>
      </c>
      <c r="I238" s="279">
        <v>1.2460405548440374</v>
      </c>
      <c r="J238" s="279">
        <v>1.2460405548440374</v>
      </c>
      <c r="K238" s="279">
        <v>1.2460405548440374</v>
      </c>
      <c r="L238" s="279">
        <v>1.2460405548440374</v>
      </c>
      <c r="M238" s="279">
        <v>1.2460405548440374</v>
      </c>
      <c r="N238" s="279">
        <v>1.2460405548440374</v>
      </c>
      <c r="O238" s="279">
        <v>1.2460405548440374</v>
      </c>
      <c r="P238" s="279">
        <v>1.2460405548440374</v>
      </c>
      <c r="Q238" s="279">
        <v>1.2460405548440374</v>
      </c>
      <c r="R238" s="279">
        <v>1.2460405548440374</v>
      </c>
      <c r="S238" s="279">
        <v>1.2460405548440374</v>
      </c>
      <c r="T238" s="279">
        <v>1.2460405548440374</v>
      </c>
      <c r="U238" s="279">
        <v>1.2460405548440374</v>
      </c>
      <c r="V238" s="279">
        <v>1.2460405548440374</v>
      </c>
      <c r="W238" s="279">
        <v>1.2460405548440374</v>
      </c>
      <c r="X238" s="279">
        <v>1.2460405548440374</v>
      </c>
      <c r="Y238" s="279">
        <v>1.2460405548440374</v>
      </c>
      <c r="Z238" s="279">
        <v>1.2460405548440374</v>
      </c>
      <c r="AA238" s="279">
        <v>1.2460405548440374</v>
      </c>
      <c r="AB238" s="279">
        <v>1.2460405548440374</v>
      </c>
      <c r="AC238" s="279">
        <v>1.2460405548440374</v>
      </c>
      <c r="AD238" s="279">
        <v>1.2460405548440374</v>
      </c>
      <c r="AE238" s="279">
        <v>1.2460405548440374</v>
      </c>
      <c r="AF238" s="279">
        <v>1.2460405548440374</v>
      </c>
      <c r="AG238" s="279">
        <v>1.2460405548440374</v>
      </c>
    </row>
    <row r="239" spans="1:33" x14ac:dyDescent="0.25">
      <c r="A239" s="280" t="s">
        <v>30</v>
      </c>
      <c r="B239" s="280" t="s">
        <v>18</v>
      </c>
      <c r="C239" s="280" t="s">
        <v>115</v>
      </c>
      <c r="D239" s="280" t="s">
        <v>393</v>
      </c>
      <c r="E239" s="280" t="s">
        <v>17</v>
      </c>
      <c r="F239" s="280" t="s">
        <v>394</v>
      </c>
      <c r="G239" s="280">
        <v>4.7908110987969028</v>
      </c>
      <c r="H239" s="280">
        <v>4.7908110987969028</v>
      </c>
      <c r="I239" s="280">
        <v>4.7908110987969028</v>
      </c>
      <c r="J239" s="280">
        <v>4.7908110987969028</v>
      </c>
      <c r="K239" s="280">
        <v>4.7908110987969028</v>
      </c>
      <c r="L239" s="280">
        <v>4.7908110987969028</v>
      </c>
      <c r="M239" s="280">
        <v>4.7908110987969028</v>
      </c>
      <c r="N239" s="280">
        <v>4.7908110987969028</v>
      </c>
      <c r="O239" s="280">
        <v>4.7908110987969028</v>
      </c>
      <c r="P239" s="280">
        <v>4.7908110987969028</v>
      </c>
      <c r="Q239" s="280">
        <v>4.7908110987969028</v>
      </c>
      <c r="R239" s="280">
        <v>4.7908110987969028</v>
      </c>
      <c r="S239" s="280">
        <v>4.7908110987969028</v>
      </c>
      <c r="T239" s="280">
        <v>4.7908110987969028</v>
      </c>
      <c r="U239" s="280">
        <v>4.7908110987969028</v>
      </c>
      <c r="V239" s="280">
        <v>4.7908110987969028</v>
      </c>
      <c r="W239" s="280">
        <v>4.7908110987969028</v>
      </c>
      <c r="X239" s="280">
        <v>4.7908110987969028</v>
      </c>
      <c r="Y239" s="280">
        <v>4.7908110987969028</v>
      </c>
      <c r="Z239" s="280">
        <v>4.7908110987969028</v>
      </c>
      <c r="AA239" s="280">
        <v>4.7908110987969028</v>
      </c>
      <c r="AB239" s="280">
        <v>4.7908110987969028</v>
      </c>
      <c r="AC239" s="280">
        <v>4.7908110987969028</v>
      </c>
      <c r="AD239" s="280">
        <v>4.7908110987969028</v>
      </c>
      <c r="AE239" s="280">
        <v>4.7908110987969028</v>
      </c>
      <c r="AF239" s="280">
        <v>4.7908110987969028</v>
      </c>
      <c r="AG239" s="280">
        <v>4.7908110987969028</v>
      </c>
    </row>
    <row r="240" spans="1:33" x14ac:dyDescent="0.25">
      <c r="A240" s="280" t="s">
        <v>30</v>
      </c>
      <c r="B240" s="280" t="s">
        <v>18</v>
      </c>
      <c r="C240" s="280" t="s">
        <v>115</v>
      </c>
      <c r="D240" s="280" t="s">
        <v>517</v>
      </c>
      <c r="E240" s="280" t="s">
        <v>17</v>
      </c>
      <c r="F240" s="280" t="s">
        <v>518</v>
      </c>
      <c r="G240" s="280">
        <v>2.2772465312666892</v>
      </c>
      <c r="H240" s="280">
        <v>2.2772465312666892</v>
      </c>
      <c r="I240" s="280">
        <v>2.2772465312666892</v>
      </c>
      <c r="J240" s="280">
        <v>2.2772465312666892</v>
      </c>
      <c r="K240" s="280">
        <v>2.2772465312666892</v>
      </c>
      <c r="L240" s="280">
        <v>2.2772465312666892</v>
      </c>
      <c r="M240" s="280">
        <v>2.2772465312666892</v>
      </c>
      <c r="N240" s="280">
        <v>2.2772465312666892</v>
      </c>
      <c r="O240" s="280">
        <v>2.2772465312666892</v>
      </c>
      <c r="P240" s="280">
        <v>2.2772465312666892</v>
      </c>
      <c r="Q240" s="280">
        <v>2.2772465312666892</v>
      </c>
      <c r="R240" s="280">
        <v>2.2772465312666892</v>
      </c>
      <c r="S240" s="280">
        <v>2.2772465312666892</v>
      </c>
      <c r="T240" s="280">
        <v>2.2772465312666892</v>
      </c>
      <c r="U240" s="280">
        <v>2.2772465312666892</v>
      </c>
      <c r="V240" s="280">
        <v>2.2772465312666892</v>
      </c>
      <c r="W240" s="280">
        <v>2.2772465312666892</v>
      </c>
      <c r="X240" s="280">
        <v>2.2772465312666892</v>
      </c>
      <c r="Y240" s="280">
        <v>2.2772465312666892</v>
      </c>
      <c r="Z240" s="280">
        <v>2.2772465312666892</v>
      </c>
      <c r="AA240" s="280">
        <v>2.2772465312666892</v>
      </c>
      <c r="AB240" s="280">
        <v>2.2772465312666892</v>
      </c>
      <c r="AC240" s="280">
        <v>2.2772465312666892</v>
      </c>
      <c r="AD240" s="280">
        <v>2.2772465312666892</v>
      </c>
      <c r="AE240" s="280">
        <v>2.2772465312666892</v>
      </c>
      <c r="AF240" s="280">
        <v>2.2772465312666892</v>
      </c>
      <c r="AG240" s="280">
        <v>2.2772465312666892</v>
      </c>
    </row>
  </sheetData>
  <autoFilter ref="A1:AG138" xr:uid="{21C4CF60-56F4-481C-896B-60701DEA7924}">
    <sortState xmlns:xlrd2="http://schemas.microsoft.com/office/spreadsheetml/2017/richdata2" ref="A2:AG240">
      <sortCondition ref="D1:D138"/>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B17E3-C210-4420-98CD-7F5D54ABE9E7}">
  <sheetPr>
    <tabColor theme="7" tint="0.39997558519241921"/>
  </sheetPr>
  <dimension ref="B1:CE1088"/>
  <sheetViews>
    <sheetView topLeftCell="W1" workbookViewId="0">
      <selection activeCell="AN20" sqref="AN20"/>
    </sheetView>
  </sheetViews>
  <sheetFormatPr defaultColWidth="12.5703125" defaultRowHeight="15" customHeight="1" x14ac:dyDescent="0.2"/>
  <cols>
    <col min="1" max="1" width="12.5703125" style="1"/>
    <col min="2" max="2" width="24.85546875" style="1" customWidth="1"/>
    <col min="3" max="3" width="25.5703125" style="1" customWidth="1"/>
    <col min="4" max="4" width="13.7109375" style="1" customWidth="1"/>
    <col min="5" max="5" width="17.85546875" style="1" customWidth="1"/>
    <col min="6" max="6" width="11.140625" style="1" customWidth="1"/>
    <col min="7" max="7" width="15" style="1" customWidth="1"/>
    <col min="8" max="8" width="13.140625" style="1" bestFit="1" customWidth="1"/>
    <col min="9" max="9" width="15.85546875" style="1" customWidth="1"/>
    <col min="10" max="10" width="13.140625" style="1" bestFit="1" customWidth="1"/>
    <col min="11" max="11" width="14.7109375" style="1" customWidth="1"/>
    <col min="12" max="12" width="11.5703125" style="1" customWidth="1"/>
    <col min="13" max="14" width="13.140625" style="1" bestFit="1" customWidth="1"/>
    <col min="15" max="33" width="11.5703125" style="1" customWidth="1"/>
    <col min="34" max="34" width="14.42578125" style="1" customWidth="1"/>
    <col min="35" max="35" width="19.5703125" style="1" customWidth="1"/>
    <col min="36" max="41" width="11.5703125" style="1" customWidth="1"/>
    <col min="42" max="42" width="13.85546875" style="1" customWidth="1"/>
    <col min="43" max="43" width="13.5703125" style="1" customWidth="1"/>
    <col min="44" max="57" width="9.140625" style="1" customWidth="1"/>
    <col min="58" max="16384" width="12.5703125" style="1"/>
  </cols>
  <sheetData>
    <row r="1" spans="2:83" ht="15" customHeight="1" x14ac:dyDescent="0.2">
      <c r="B1" s="289" t="s">
        <v>628</v>
      </c>
      <c r="C1" s="290"/>
      <c r="D1" s="290"/>
      <c r="E1" s="290"/>
      <c r="F1" s="290"/>
      <c r="G1" s="290"/>
      <c r="H1" s="290"/>
      <c r="I1" s="290"/>
      <c r="J1" s="290"/>
      <c r="K1" s="291"/>
    </row>
    <row r="2" spans="2:83" ht="15" customHeight="1" x14ac:dyDescent="0.2">
      <c r="B2" s="292"/>
      <c r="C2" s="293"/>
      <c r="D2" s="293"/>
      <c r="E2" s="293"/>
      <c r="F2" s="293"/>
      <c r="G2" s="293"/>
      <c r="H2" s="293"/>
      <c r="I2" s="293"/>
      <c r="J2" s="293"/>
      <c r="K2" s="294"/>
    </row>
    <row r="3" spans="2:83" ht="15" customHeight="1" thickBot="1" x14ac:dyDescent="0.25">
      <c r="B3" s="295"/>
      <c r="C3" s="296"/>
      <c r="D3" s="296"/>
      <c r="E3" s="296"/>
      <c r="F3" s="296"/>
      <c r="G3" s="296"/>
      <c r="H3" s="296"/>
      <c r="I3" s="296"/>
      <c r="J3" s="296"/>
      <c r="K3" s="297"/>
    </row>
    <row r="4" spans="2:83" ht="15.75" thickBot="1" x14ac:dyDescent="0.3">
      <c r="B4" s="69"/>
      <c r="C4" s="28"/>
      <c r="D4" s="28"/>
      <c r="E4" s="28"/>
      <c r="F4" s="28"/>
      <c r="G4" s="28"/>
      <c r="H4" s="69"/>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row>
    <row r="5" spans="2:83" ht="48" customHeight="1" x14ac:dyDescent="0.35">
      <c r="B5" s="298" t="s">
        <v>629</v>
      </c>
      <c r="C5" s="299"/>
      <c r="D5" s="300"/>
      <c r="E5" s="304" t="s">
        <v>630</v>
      </c>
      <c r="F5" s="305"/>
      <c r="G5" s="305"/>
      <c r="H5" s="305"/>
      <c r="I5" s="305"/>
      <c r="J5" s="305"/>
      <c r="K5" s="305"/>
      <c r="L5" s="305"/>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row>
    <row r="6" spans="2:83" ht="39" customHeight="1" thickBot="1" x14ac:dyDescent="0.4">
      <c r="B6" s="301"/>
      <c r="C6" s="302"/>
      <c r="D6" s="303"/>
      <c r="E6" s="306" t="s">
        <v>631</v>
      </c>
      <c r="F6" s="307"/>
      <c r="G6" s="307"/>
      <c r="H6" s="307"/>
      <c r="I6" s="307"/>
      <c r="J6" s="307"/>
      <c r="K6" s="307"/>
      <c r="L6" s="307"/>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28"/>
      <c r="AQ6" s="28"/>
      <c r="AR6" s="28"/>
      <c r="AS6" s="28"/>
      <c r="AT6" s="28"/>
      <c r="AU6" s="28"/>
      <c r="AV6" s="28"/>
      <c r="AW6" s="28"/>
      <c r="AX6" s="28"/>
      <c r="AY6" s="28"/>
      <c r="AZ6" s="28"/>
      <c r="BA6" s="28"/>
      <c r="BB6" s="28"/>
      <c r="BC6" s="28"/>
      <c r="BD6" s="28"/>
      <c r="BE6" s="28"/>
    </row>
    <row r="7" spans="2:83" ht="15.75" thickBot="1" x14ac:dyDescent="0.3">
      <c r="B7" s="28"/>
      <c r="C7" s="71"/>
      <c r="D7" s="28"/>
      <c r="E7" s="28"/>
      <c r="F7" s="28"/>
      <c r="G7" s="28"/>
      <c r="H7" s="28"/>
      <c r="I7" s="72"/>
      <c r="J7" s="64"/>
      <c r="K7" s="65"/>
      <c r="L7" s="73"/>
      <c r="M7" s="73"/>
      <c r="N7" s="73"/>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28"/>
      <c r="AQ7" s="28"/>
      <c r="AR7" s="28"/>
      <c r="AS7" s="28"/>
      <c r="AT7" s="28"/>
      <c r="AU7" s="28"/>
      <c r="AV7" s="28"/>
      <c r="AW7" s="28"/>
      <c r="AX7" s="28"/>
      <c r="AY7" s="28"/>
      <c r="AZ7" s="28"/>
      <c r="BA7" s="28"/>
      <c r="BB7" s="28"/>
      <c r="BC7" s="28"/>
      <c r="BD7" s="28"/>
      <c r="BE7" s="28"/>
    </row>
    <row r="8" spans="2:83" ht="15.75" thickBot="1" x14ac:dyDescent="0.3">
      <c r="B8" s="75" t="s">
        <v>2</v>
      </c>
      <c r="C8" s="76" t="s">
        <v>60</v>
      </c>
      <c r="D8" s="77">
        <v>2021</v>
      </c>
      <c r="E8" s="78">
        <v>2022</v>
      </c>
      <c r="F8" s="79">
        <v>2023</v>
      </c>
      <c r="G8" s="80">
        <v>2024</v>
      </c>
      <c r="H8" s="78">
        <v>2025</v>
      </c>
      <c r="I8" s="78">
        <v>2026</v>
      </c>
      <c r="J8" s="78">
        <v>2027</v>
      </c>
      <c r="K8" s="78">
        <v>2028</v>
      </c>
      <c r="L8" s="78">
        <v>2029</v>
      </c>
      <c r="M8" s="78">
        <v>2030</v>
      </c>
      <c r="N8" s="78">
        <v>2031</v>
      </c>
      <c r="O8" s="78">
        <v>2032</v>
      </c>
      <c r="P8" s="78">
        <v>2033</v>
      </c>
      <c r="Q8" s="78">
        <v>2034</v>
      </c>
      <c r="R8" s="78">
        <v>2035</v>
      </c>
      <c r="S8" s="78">
        <v>2036</v>
      </c>
      <c r="T8" s="78">
        <v>2037</v>
      </c>
      <c r="U8" s="78">
        <v>2038</v>
      </c>
      <c r="V8" s="78">
        <v>2039</v>
      </c>
      <c r="W8" s="78">
        <v>2040</v>
      </c>
      <c r="X8" s="78">
        <v>2041</v>
      </c>
      <c r="Y8" s="78">
        <v>2042</v>
      </c>
      <c r="Z8" s="78">
        <v>2043</v>
      </c>
      <c r="AA8" s="78">
        <v>2044</v>
      </c>
      <c r="AB8" s="78">
        <v>2045</v>
      </c>
      <c r="AC8" s="78">
        <v>2046</v>
      </c>
      <c r="AD8" s="78">
        <v>2047</v>
      </c>
      <c r="AE8" s="78">
        <v>2048</v>
      </c>
      <c r="AF8" s="78">
        <v>2049</v>
      </c>
      <c r="AG8" s="79">
        <v>2050</v>
      </c>
      <c r="AH8" s="74">
        <v>2051</v>
      </c>
      <c r="AI8" s="74">
        <v>2052</v>
      </c>
      <c r="AJ8" s="74">
        <v>2053</v>
      </c>
      <c r="AK8" s="74">
        <v>2054</v>
      </c>
      <c r="AL8" s="74">
        <v>2055</v>
      </c>
      <c r="AM8" s="74">
        <v>2056</v>
      </c>
      <c r="AN8" s="74">
        <v>2057</v>
      </c>
      <c r="AO8" s="74">
        <v>2058</v>
      </c>
      <c r="AP8" s="74">
        <v>2059</v>
      </c>
      <c r="AQ8" s="74">
        <v>2060</v>
      </c>
      <c r="AR8" s="74">
        <v>2061</v>
      </c>
      <c r="AS8" s="74">
        <v>2062</v>
      </c>
      <c r="AT8" s="74">
        <v>2063</v>
      </c>
      <c r="AU8" s="74">
        <v>2064</v>
      </c>
      <c r="AV8" s="74">
        <v>2065</v>
      </c>
      <c r="AW8" s="74">
        <v>2066</v>
      </c>
      <c r="AX8" s="74">
        <v>2067</v>
      </c>
      <c r="AY8" s="74">
        <v>2068</v>
      </c>
      <c r="AZ8" s="74">
        <v>2069</v>
      </c>
      <c r="BA8" s="74">
        <v>2070</v>
      </c>
      <c r="BB8" s="74">
        <v>2071</v>
      </c>
      <c r="BC8" s="74">
        <v>2072</v>
      </c>
      <c r="BD8" s="74">
        <v>2073</v>
      </c>
      <c r="BE8" s="74">
        <v>2074</v>
      </c>
      <c r="BF8" s="74">
        <v>2075</v>
      </c>
      <c r="BG8" s="74">
        <v>2076</v>
      </c>
      <c r="BH8" s="74">
        <v>2077</v>
      </c>
      <c r="BI8" s="74">
        <v>2078</v>
      </c>
      <c r="BJ8" s="74">
        <v>2079</v>
      </c>
      <c r="BK8" s="74">
        <v>2080</v>
      </c>
      <c r="BL8" s="74">
        <v>2081</v>
      </c>
      <c r="BM8" s="74">
        <v>2082</v>
      </c>
      <c r="BN8" s="74">
        <v>2083</v>
      </c>
      <c r="BO8" s="74">
        <v>2084</v>
      </c>
      <c r="BP8" s="74">
        <v>2085</v>
      </c>
      <c r="BQ8" s="74">
        <v>2086</v>
      </c>
      <c r="BR8" s="74">
        <v>2087</v>
      </c>
      <c r="BS8" s="74">
        <v>2088</v>
      </c>
      <c r="BT8" s="74">
        <v>2089</v>
      </c>
      <c r="BU8" s="74">
        <v>2090</v>
      </c>
      <c r="BV8" s="74">
        <v>2091</v>
      </c>
      <c r="BW8" s="74">
        <v>2092</v>
      </c>
      <c r="BX8" s="74">
        <v>2093</v>
      </c>
      <c r="BY8" s="74">
        <v>2094</v>
      </c>
      <c r="BZ8" s="74">
        <v>2095</v>
      </c>
      <c r="CA8" s="74">
        <v>2096</v>
      </c>
      <c r="CB8" s="74">
        <v>2097</v>
      </c>
      <c r="CC8" s="74">
        <v>2098</v>
      </c>
      <c r="CD8" s="74">
        <v>2099</v>
      </c>
      <c r="CE8" s="74">
        <v>2100</v>
      </c>
    </row>
    <row r="9" spans="2:83" x14ac:dyDescent="0.25">
      <c r="B9" s="82" t="s">
        <v>5</v>
      </c>
      <c r="C9" s="83" t="s">
        <v>22</v>
      </c>
      <c r="D9" s="84">
        <f>VLOOKUP($C9,[1]NWS_Input!$B$8:$E$18,D$20,FALSE)*1000/(365*VLOOKUP($C9,[1]NWS_Input!$B$51:$E$61,D$20,FALSE)*VLOOKUP($C9,[1]Pop_Wilayat!$B$78:$F$88,D$21,FALSE))</f>
        <v>175.81947898884201</v>
      </c>
      <c r="E9" s="85">
        <f>VLOOKUP($C9,[1]NWS_Input!$B$8:$E$18,E$20,FALSE)*1000/(365*VLOOKUP($C9,[1]NWS_Input!$B$51:$E$61,E$20,FALSE)*VLOOKUP($C9,[1]Pop_Wilayat!$B$78:$F$88,E$21,FALSE))</f>
        <v>162.06863692743235</v>
      </c>
      <c r="F9" s="86">
        <f>VLOOKUP($C9,[1]NWS_Input!$B$8:$E$18,F$20,FALSE)*1000/(365*VLOOKUP($C9,[1]NWS_Input!$B$51:$E$61,F$20,FALSE)*VLOOKUP($C9,[1]Pop_Wilayat!$B$78:$F$88,F$21,FALSE))</f>
        <v>160.26268006464667</v>
      </c>
      <c r="G9" s="87">
        <f>AVERAGE(D9:F9)</f>
        <v>166.05026532697369</v>
      </c>
      <c r="H9" s="87">
        <f t="shared" ref="H9:W19" si="0">G9</f>
        <v>166.05026532697369</v>
      </c>
      <c r="I9" s="87">
        <f t="shared" si="0"/>
        <v>166.05026532697369</v>
      </c>
      <c r="J9" s="87">
        <f t="shared" si="0"/>
        <v>166.05026532697369</v>
      </c>
      <c r="K9" s="87">
        <f t="shared" si="0"/>
        <v>166.05026532697369</v>
      </c>
      <c r="L9" s="87">
        <f t="shared" si="0"/>
        <v>166.05026532697369</v>
      </c>
      <c r="M9" s="87">
        <f t="shared" si="0"/>
        <v>166.05026532697369</v>
      </c>
      <c r="N9" s="87">
        <f t="shared" si="0"/>
        <v>166.05026532697369</v>
      </c>
      <c r="O9" s="87">
        <f t="shared" si="0"/>
        <v>166.05026532697369</v>
      </c>
      <c r="P9" s="87">
        <f t="shared" si="0"/>
        <v>166.05026532697369</v>
      </c>
      <c r="Q9" s="87">
        <f t="shared" si="0"/>
        <v>166.05026532697369</v>
      </c>
      <c r="R9" s="87">
        <f t="shared" si="0"/>
        <v>166.05026532697369</v>
      </c>
      <c r="S9" s="87">
        <f t="shared" si="0"/>
        <v>166.05026532697369</v>
      </c>
      <c r="T9" s="87">
        <f t="shared" si="0"/>
        <v>166.05026532697369</v>
      </c>
      <c r="U9" s="87">
        <f t="shared" si="0"/>
        <v>166.05026532697369</v>
      </c>
      <c r="V9" s="87">
        <f t="shared" si="0"/>
        <v>166.05026532697369</v>
      </c>
      <c r="W9" s="87">
        <f t="shared" si="0"/>
        <v>166.05026532697369</v>
      </c>
      <c r="X9" s="87">
        <f t="shared" ref="X9:AG19" si="1">W9</f>
        <v>166.05026532697369</v>
      </c>
      <c r="Y9" s="87">
        <f t="shared" si="1"/>
        <v>166.05026532697369</v>
      </c>
      <c r="Z9" s="87">
        <f t="shared" si="1"/>
        <v>166.05026532697369</v>
      </c>
      <c r="AA9" s="87">
        <f t="shared" si="1"/>
        <v>166.05026532697369</v>
      </c>
      <c r="AB9" s="87">
        <f t="shared" si="1"/>
        <v>166.05026532697369</v>
      </c>
      <c r="AC9" s="87">
        <f t="shared" si="1"/>
        <v>166.05026532697369</v>
      </c>
      <c r="AD9" s="87">
        <f t="shared" si="1"/>
        <v>166.05026532697369</v>
      </c>
      <c r="AE9" s="87">
        <f t="shared" si="1"/>
        <v>166.05026532697369</v>
      </c>
      <c r="AF9" s="87">
        <f t="shared" si="1"/>
        <v>166.05026532697369</v>
      </c>
      <c r="AG9" s="88">
        <f t="shared" si="1"/>
        <v>166.05026532697369</v>
      </c>
      <c r="AH9" s="74"/>
      <c r="AI9" s="74"/>
      <c r="AJ9" s="74"/>
      <c r="AK9" s="74"/>
      <c r="AL9" s="81"/>
      <c r="AM9" s="81"/>
      <c r="AN9" s="74"/>
      <c r="AO9" s="74"/>
      <c r="AP9" s="28"/>
      <c r="AQ9" s="28"/>
      <c r="AR9" s="28"/>
      <c r="AS9" s="28"/>
      <c r="AT9" s="28"/>
      <c r="AU9" s="28"/>
      <c r="AV9" s="28"/>
      <c r="AW9" s="28"/>
      <c r="AX9" s="28"/>
      <c r="AY9" s="28"/>
      <c r="AZ9" s="28"/>
      <c r="BA9" s="28"/>
      <c r="BB9" s="28"/>
      <c r="BC9" s="28"/>
      <c r="BD9" s="28"/>
      <c r="BE9" s="28"/>
    </row>
    <row r="10" spans="2:83" x14ac:dyDescent="0.25">
      <c r="B10" s="82" t="s">
        <v>6</v>
      </c>
      <c r="C10" s="83" t="s">
        <v>23</v>
      </c>
      <c r="D10" s="89">
        <f>VLOOKUP($C10,[1]NWS_Input!$B$8:$E$18,D$20,FALSE)*1000/(365*VLOOKUP($C10,[1]NWS_Input!$B$51:$E$61,D$20,FALSE)*VLOOKUP($C10,[1]Pop_Wilayat!$B$78:$F$88,D$21,FALSE))</f>
        <v>193.50184046127794</v>
      </c>
      <c r="E10" s="90">
        <f>VLOOKUP($C10,[1]NWS_Input!$B$8:$E$18,E$20,FALSE)*1000/(365*VLOOKUP($C10,[1]NWS_Input!$B$51:$E$61,E$20,FALSE)*VLOOKUP($C10,[1]Pop_Wilayat!$B$78:$F$88,E$21,FALSE))</f>
        <v>146.85954039714883</v>
      </c>
      <c r="F10" s="91">
        <f>VLOOKUP($C10,[1]NWS_Input!$B$8:$E$18,F$20,FALSE)*1000/(365*VLOOKUP($C10,[1]NWS_Input!$B$51:$E$61,F$20,FALSE)*VLOOKUP($C10,[1]Pop_Wilayat!$B$78:$F$88,F$21,FALSE))</f>
        <v>141.90375423117109</v>
      </c>
      <c r="G10" s="92">
        <f t="shared" ref="G10:G19" si="2">AVERAGE(D10:F10)</f>
        <v>160.75504502986595</v>
      </c>
      <c r="H10" s="92">
        <f t="shared" si="0"/>
        <v>160.75504502986595</v>
      </c>
      <c r="I10" s="92">
        <f t="shared" si="0"/>
        <v>160.75504502986595</v>
      </c>
      <c r="J10" s="92">
        <f t="shared" si="0"/>
        <v>160.75504502986595</v>
      </c>
      <c r="K10" s="92">
        <f t="shared" si="0"/>
        <v>160.75504502986595</v>
      </c>
      <c r="L10" s="92">
        <f t="shared" si="0"/>
        <v>160.75504502986595</v>
      </c>
      <c r="M10" s="92">
        <f t="shared" si="0"/>
        <v>160.75504502986595</v>
      </c>
      <c r="N10" s="92">
        <f t="shared" si="0"/>
        <v>160.75504502986595</v>
      </c>
      <c r="O10" s="92">
        <f t="shared" si="0"/>
        <v>160.75504502986595</v>
      </c>
      <c r="P10" s="92">
        <f t="shared" si="0"/>
        <v>160.75504502986595</v>
      </c>
      <c r="Q10" s="92">
        <f t="shared" si="0"/>
        <v>160.75504502986595</v>
      </c>
      <c r="R10" s="92">
        <f t="shared" si="0"/>
        <v>160.75504502986595</v>
      </c>
      <c r="S10" s="92">
        <f t="shared" si="0"/>
        <v>160.75504502986595</v>
      </c>
      <c r="T10" s="92">
        <f t="shared" si="0"/>
        <v>160.75504502986595</v>
      </c>
      <c r="U10" s="92">
        <f t="shared" si="0"/>
        <v>160.75504502986595</v>
      </c>
      <c r="V10" s="92">
        <f t="shared" si="0"/>
        <v>160.75504502986595</v>
      </c>
      <c r="W10" s="92">
        <f t="shared" si="0"/>
        <v>160.75504502986595</v>
      </c>
      <c r="X10" s="92">
        <f t="shared" si="1"/>
        <v>160.75504502986595</v>
      </c>
      <c r="Y10" s="92">
        <f t="shared" si="1"/>
        <v>160.75504502986595</v>
      </c>
      <c r="Z10" s="92">
        <f t="shared" si="1"/>
        <v>160.75504502986595</v>
      </c>
      <c r="AA10" s="92">
        <f t="shared" si="1"/>
        <v>160.75504502986595</v>
      </c>
      <c r="AB10" s="92">
        <f t="shared" si="1"/>
        <v>160.75504502986595</v>
      </c>
      <c r="AC10" s="92">
        <f t="shared" si="1"/>
        <v>160.75504502986595</v>
      </c>
      <c r="AD10" s="92">
        <f t="shared" si="1"/>
        <v>160.75504502986595</v>
      </c>
      <c r="AE10" s="92">
        <f t="shared" si="1"/>
        <v>160.75504502986595</v>
      </c>
      <c r="AF10" s="92">
        <f t="shared" si="1"/>
        <v>160.75504502986595</v>
      </c>
      <c r="AG10" s="93">
        <f t="shared" si="1"/>
        <v>160.75504502986595</v>
      </c>
      <c r="AH10" s="74"/>
      <c r="AI10" s="74"/>
      <c r="AJ10" s="74"/>
      <c r="AK10" s="74"/>
      <c r="AL10" s="81"/>
      <c r="AM10" s="81"/>
      <c r="AN10" s="74"/>
      <c r="AO10" s="74"/>
      <c r="AP10" s="28"/>
      <c r="AQ10" s="28"/>
      <c r="AR10" s="28"/>
      <c r="AS10" s="28"/>
      <c r="AT10" s="28"/>
      <c r="AU10" s="28"/>
      <c r="AV10" s="28"/>
      <c r="AW10" s="28"/>
      <c r="AX10" s="28"/>
      <c r="AY10" s="28"/>
      <c r="AZ10" s="28"/>
      <c r="BA10" s="28"/>
      <c r="BB10" s="28"/>
      <c r="BC10" s="28"/>
      <c r="BD10" s="28"/>
      <c r="BE10" s="28"/>
    </row>
    <row r="11" spans="2:83" x14ac:dyDescent="0.25">
      <c r="B11" s="82" t="s">
        <v>7</v>
      </c>
      <c r="C11" s="83" t="s">
        <v>24</v>
      </c>
      <c r="D11" s="89">
        <f>VLOOKUP($C11,[1]NWS_Input!$B$8:$E$18,D$20,FALSE)*1000/(365*VLOOKUP($C11,[1]NWS_Input!$B$51:$E$61,D$20,FALSE)*VLOOKUP($C11,[1]Pop_Wilayat!$B$78:$F$88,D$21,FALSE))</f>
        <v>180.74377715901753</v>
      </c>
      <c r="E11" s="90">
        <f>VLOOKUP($C11,[1]NWS_Input!$B$8:$E$18,E$20,FALSE)*1000/(365*VLOOKUP($C11,[1]NWS_Input!$B$51:$E$61,E$20,FALSE)*VLOOKUP($C11,[1]Pop_Wilayat!$B$78:$F$88,E$21,FALSE))</f>
        <v>144.31389020403302</v>
      </c>
      <c r="F11" s="91">
        <f>VLOOKUP($C11,[1]NWS_Input!$B$8:$E$18,F$20,FALSE)*1000/(365*VLOOKUP($C11,[1]NWS_Input!$B$51:$E$61,F$20,FALSE)*VLOOKUP($C11,[1]Pop_Wilayat!$B$78:$F$88,F$21,FALSE))</f>
        <v>133.15838050321548</v>
      </c>
      <c r="G11" s="92">
        <f t="shared" si="2"/>
        <v>152.73868262208867</v>
      </c>
      <c r="H11" s="92">
        <f t="shared" si="0"/>
        <v>152.73868262208867</v>
      </c>
      <c r="I11" s="92">
        <f t="shared" si="0"/>
        <v>152.73868262208867</v>
      </c>
      <c r="J11" s="92">
        <f t="shared" si="0"/>
        <v>152.73868262208867</v>
      </c>
      <c r="K11" s="92">
        <f t="shared" si="0"/>
        <v>152.73868262208867</v>
      </c>
      <c r="L11" s="92">
        <f t="shared" si="0"/>
        <v>152.73868262208867</v>
      </c>
      <c r="M11" s="92">
        <f t="shared" si="0"/>
        <v>152.73868262208867</v>
      </c>
      <c r="N11" s="92">
        <f t="shared" si="0"/>
        <v>152.73868262208867</v>
      </c>
      <c r="O11" s="92">
        <f t="shared" si="0"/>
        <v>152.73868262208867</v>
      </c>
      <c r="P11" s="92">
        <f t="shared" si="0"/>
        <v>152.73868262208867</v>
      </c>
      <c r="Q11" s="92">
        <f t="shared" si="0"/>
        <v>152.73868262208867</v>
      </c>
      <c r="R11" s="92">
        <f t="shared" si="0"/>
        <v>152.73868262208867</v>
      </c>
      <c r="S11" s="92">
        <f t="shared" si="0"/>
        <v>152.73868262208867</v>
      </c>
      <c r="T11" s="92">
        <f t="shared" si="0"/>
        <v>152.73868262208867</v>
      </c>
      <c r="U11" s="92">
        <f t="shared" si="0"/>
        <v>152.73868262208867</v>
      </c>
      <c r="V11" s="92">
        <f t="shared" si="0"/>
        <v>152.73868262208867</v>
      </c>
      <c r="W11" s="92">
        <f t="shared" si="0"/>
        <v>152.73868262208867</v>
      </c>
      <c r="X11" s="92">
        <f t="shared" si="1"/>
        <v>152.73868262208867</v>
      </c>
      <c r="Y11" s="92">
        <f t="shared" si="1"/>
        <v>152.73868262208867</v>
      </c>
      <c r="Z11" s="92">
        <f t="shared" si="1"/>
        <v>152.73868262208867</v>
      </c>
      <c r="AA11" s="92">
        <f t="shared" si="1"/>
        <v>152.73868262208867</v>
      </c>
      <c r="AB11" s="92">
        <f t="shared" si="1"/>
        <v>152.73868262208867</v>
      </c>
      <c r="AC11" s="92">
        <f t="shared" si="1"/>
        <v>152.73868262208867</v>
      </c>
      <c r="AD11" s="92">
        <f t="shared" si="1"/>
        <v>152.73868262208867</v>
      </c>
      <c r="AE11" s="92">
        <f t="shared" si="1"/>
        <v>152.73868262208867</v>
      </c>
      <c r="AF11" s="92">
        <f t="shared" si="1"/>
        <v>152.73868262208867</v>
      </c>
      <c r="AG11" s="93">
        <f t="shared" si="1"/>
        <v>152.73868262208867</v>
      </c>
      <c r="AH11" s="74"/>
      <c r="AI11" s="74"/>
      <c r="AJ11" s="74"/>
      <c r="AK11" s="94"/>
      <c r="AL11" s="95"/>
      <c r="AM11" s="95"/>
      <c r="AN11" s="74"/>
      <c r="AO11" s="74"/>
      <c r="AP11" s="28"/>
      <c r="AQ11" s="28"/>
      <c r="AR11" s="28"/>
      <c r="AS11" s="28"/>
      <c r="AT11" s="28"/>
      <c r="AU11" s="28"/>
      <c r="AV11" s="28"/>
      <c r="AW11" s="28"/>
      <c r="AX11" s="28"/>
      <c r="AY11" s="28"/>
      <c r="AZ11" s="28"/>
      <c r="BA11" s="28"/>
      <c r="BB11" s="28"/>
      <c r="BC11" s="28"/>
      <c r="BD11" s="28"/>
      <c r="BE11" s="28"/>
    </row>
    <row r="12" spans="2:83" x14ac:dyDescent="0.25">
      <c r="B12" s="82" t="s">
        <v>9</v>
      </c>
      <c r="C12" s="83" t="s">
        <v>25</v>
      </c>
      <c r="D12" s="89">
        <f>VLOOKUP($C12,[1]NWS_Input!$B$8:$E$18,D$20,FALSE)*1000/(365*VLOOKUP($C12,[1]NWS_Input!$B$51:$E$61,D$20,FALSE)*VLOOKUP($C12,[1]Pop_Wilayat!$B$78:$F$88,D$21,FALSE))</f>
        <v>206.72793118657563</v>
      </c>
      <c r="E12" s="90">
        <f>VLOOKUP($C12,[1]NWS_Input!$B$8:$E$18,E$20,FALSE)*1000/(365*VLOOKUP($C12,[1]NWS_Input!$B$51:$E$61,E$20,FALSE)*VLOOKUP($C12,[1]Pop_Wilayat!$B$78:$F$88,E$21,FALSE))</f>
        <v>152.54484846217269</v>
      </c>
      <c r="F12" s="91">
        <f>VLOOKUP($C12,[1]NWS_Input!$B$8:$E$18,F$20,FALSE)*1000/(365*VLOOKUP($C12,[1]NWS_Input!$B$51:$E$61,F$20,FALSE)*VLOOKUP($C12,[1]Pop_Wilayat!$B$78:$F$88,F$21,FALSE))</f>
        <v>137.49566596545094</v>
      </c>
      <c r="G12" s="92">
        <f t="shared" si="2"/>
        <v>165.58948187139976</v>
      </c>
      <c r="H12" s="92">
        <f t="shared" si="0"/>
        <v>165.58948187139976</v>
      </c>
      <c r="I12" s="92">
        <f t="shared" si="0"/>
        <v>165.58948187139976</v>
      </c>
      <c r="J12" s="92">
        <f t="shared" si="0"/>
        <v>165.58948187139976</v>
      </c>
      <c r="K12" s="92">
        <f t="shared" si="0"/>
        <v>165.58948187139976</v>
      </c>
      <c r="L12" s="92">
        <f t="shared" si="0"/>
        <v>165.58948187139976</v>
      </c>
      <c r="M12" s="92">
        <f t="shared" si="0"/>
        <v>165.58948187139976</v>
      </c>
      <c r="N12" s="92">
        <f t="shared" si="0"/>
        <v>165.58948187139976</v>
      </c>
      <c r="O12" s="92">
        <f t="shared" si="0"/>
        <v>165.58948187139976</v>
      </c>
      <c r="P12" s="92">
        <f t="shared" si="0"/>
        <v>165.58948187139976</v>
      </c>
      <c r="Q12" s="92">
        <f t="shared" si="0"/>
        <v>165.58948187139976</v>
      </c>
      <c r="R12" s="92">
        <f t="shared" si="0"/>
        <v>165.58948187139976</v>
      </c>
      <c r="S12" s="92">
        <f t="shared" si="0"/>
        <v>165.58948187139976</v>
      </c>
      <c r="T12" s="92">
        <f t="shared" si="0"/>
        <v>165.58948187139976</v>
      </c>
      <c r="U12" s="92">
        <f t="shared" si="0"/>
        <v>165.58948187139976</v>
      </c>
      <c r="V12" s="92">
        <f t="shared" si="0"/>
        <v>165.58948187139976</v>
      </c>
      <c r="W12" s="92">
        <f t="shared" si="0"/>
        <v>165.58948187139976</v>
      </c>
      <c r="X12" s="92">
        <f t="shared" si="1"/>
        <v>165.58948187139976</v>
      </c>
      <c r="Y12" s="92">
        <f t="shared" si="1"/>
        <v>165.58948187139976</v>
      </c>
      <c r="Z12" s="92">
        <f t="shared" si="1"/>
        <v>165.58948187139976</v>
      </c>
      <c r="AA12" s="92">
        <f t="shared" si="1"/>
        <v>165.58948187139976</v>
      </c>
      <c r="AB12" s="92">
        <f t="shared" si="1"/>
        <v>165.58948187139976</v>
      </c>
      <c r="AC12" s="92">
        <f t="shared" si="1"/>
        <v>165.58948187139976</v>
      </c>
      <c r="AD12" s="92">
        <f t="shared" si="1"/>
        <v>165.58948187139976</v>
      </c>
      <c r="AE12" s="92">
        <f t="shared" si="1"/>
        <v>165.58948187139976</v>
      </c>
      <c r="AF12" s="92">
        <f t="shared" si="1"/>
        <v>165.58948187139976</v>
      </c>
      <c r="AG12" s="93">
        <f t="shared" si="1"/>
        <v>165.58948187139976</v>
      </c>
      <c r="AH12" s="74"/>
      <c r="AI12" s="74"/>
      <c r="AJ12" s="74"/>
      <c r="AK12" s="94"/>
      <c r="AL12" s="95"/>
      <c r="AM12" s="95"/>
      <c r="AN12" s="74"/>
      <c r="AO12" s="74"/>
      <c r="AP12" s="28"/>
      <c r="AQ12" s="28"/>
      <c r="AR12" s="28"/>
      <c r="AS12" s="28"/>
      <c r="AT12" s="28"/>
      <c r="AU12" s="28"/>
      <c r="AV12" s="28"/>
      <c r="AW12" s="28"/>
      <c r="AX12" s="28"/>
      <c r="AY12" s="28"/>
      <c r="AZ12" s="28"/>
      <c r="BA12" s="28"/>
      <c r="BB12" s="28"/>
      <c r="BC12" s="28"/>
      <c r="BD12" s="28"/>
      <c r="BE12" s="28"/>
    </row>
    <row r="13" spans="2:83" x14ac:dyDescent="0.25">
      <c r="B13" s="82" t="s">
        <v>10</v>
      </c>
      <c r="C13" s="83" t="s">
        <v>26</v>
      </c>
      <c r="D13" s="89">
        <f>VLOOKUP($C13,[1]NWS_Input!$B$8:$E$18,D$20,FALSE)*1000/(365*VLOOKUP($C13,[1]NWS_Input!$B$51:$E$61,D$20,FALSE)*VLOOKUP($C13,[1]Pop_Wilayat!$B$78:$F$88,D$21,FALSE))</f>
        <v>169.48189625496158</v>
      </c>
      <c r="E13" s="90">
        <f>VLOOKUP($C13,[1]NWS_Input!$B$8:$E$18,E$20,FALSE)*1000/(365*VLOOKUP($C13,[1]NWS_Input!$B$51:$E$61,E$20,FALSE)*VLOOKUP($C13,[1]Pop_Wilayat!$B$78:$F$88,E$21,FALSE))</f>
        <v>131.2827466270985</v>
      </c>
      <c r="F13" s="91">
        <f>VLOOKUP($C13,[1]NWS_Input!$B$8:$E$18,F$20,FALSE)*1000/(365*VLOOKUP($C13,[1]NWS_Input!$B$51:$E$61,F$20,FALSE)*VLOOKUP($C13,[1]Pop_Wilayat!$B$78:$F$88,F$21,FALSE))</f>
        <v>117.53422960786301</v>
      </c>
      <c r="G13" s="92">
        <f t="shared" si="2"/>
        <v>139.43295749664105</v>
      </c>
      <c r="H13" s="92">
        <f t="shared" si="0"/>
        <v>139.43295749664105</v>
      </c>
      <c r="I13" s="92">
        <f t="shared" si="0"/>
        <v>139.43295749664105</v>
      </c>
      <c r="J13" s="92">
        <f t="shared" si="0"/>
        <v>139.43295749664105</v>
      </c>
      <c r="K13" s="92">
        <f t="shared" si="0"/>
        <v>139.43295749664105</v>
      </c>
      <c r="L13" s="92">
        <f t="shared" si="0"/>
        <v>139.43295749664105</v>
      </c>
      <c r="M13" s="92">
        <f t="shared" si="0"/>
        <v>139.43295749664105</v>
      </c>
      <c r="N13" s="92">
        <f t="shared" si="0"/>
        <v>139.43295749664105</v>
      </c>
      <c r="O13" s="92">
        <f t="shared" si="0"/>
        <v>139.43295749664105</v>
      </c>
      <c r="P13" s="92">
        <f t="shared" si="0"/>
        <v>139.43295749664105</v>
      </c>
      <c r="Q13" s="92">
        <f t="shared" si="0"/>
        <v>139.43295749664105</v>
      </c>
      <c r="R13" s="92">
        <f t="shared" si="0"/>
        <v>139.43295749664105</v>
      </c>
      <c r="S13" s="92">
        <f t="shared" si="0"/>
        <v>139.43295749664105</v>
      </c>
      <c r="T13" s="92">
        <f t="shared" si="0"/>
        <v>139.43295749664105</v>
      </c>
      <c r="U13" s="92">
        <f t="shared" si="0"/>
        <v>139.43295749664105</v>
      </c>
      <c r="V13" s="92">
        <f t="shared" si="0"/>
        <v>139.43295749664105</v>
      </c>
      <c r="W13" s="92">
        <f t="shared" si="0"/>
        <v>139.43295749664105</v>
      </c>
      <c r="X13" s="92">
        <f t="shared" si="1"/>
        <v>139.43295749664105</v>
      </c>
      <c r="Y13" s="92">
        <f t="shared" si="1"/>
        <v>139.43295749664105</v>
      </c>
      <c r="Z13" s="92">
        <f t="shared" si="1"/>
        <v>139.43295749664105</v>
      </c>
      <c r="AA13" s="92">
        <f t="shared" si="1"/>
        <v>139.43295749664105</v>
      </c>
      <c r="AB13" s="92">
        <f t="shared" si="1"/>
        <v>139.43295749664105</v>
      </c>
      <c r="AC13" s="92">
        <f t="shared" si="1"/>
        <v>139.43295749664105</v>
      </c>
      <c r="AD13" s="92">
        <f t="shared" si="1"/>
        <v>139.43295749664105</v>
      </c>
      <c r="AE13" s="92">
        <f t="shared" si="1"/>
        <v>139.43295749664105</v>
      </c>
      <c r="AF13" s="92">
        <f t="shared" si="1"/>
        <v>139.43295749664105</v>
      </c>
      <c r="AG13" s="93">
        <f t="shared" si="1"/>
        <v>139.43295749664105</v>
      </c>
      <c r="AH13" s="74"/>
      <c r="AI13" s="74"/>
      <c r="AJ13" s="74"/>
      <c r="AK13" s="74"/>
      <c r="AL13" s="81"/>
      <c r="AM13" s="81"/>
      <c r="AN13" s="74"/>
      <c r="AO13" s="74"/>
      <c r="AP13" s="28"/>
      <c r="AQ13" s="28"/>
      <c r="AR13" s="28"/>
      <c r="AS13" s="28"/>
      <c r="AT13" s="28"/>
      <c r="AU13" s="28"/>
      <c r="AV13" s="28"/>
      <c r="AW13" s="28"/>
      <c r="AX13" s="28"/>
      <c r="AY13" s="28"/>
      <c r="AZ13" s="28"/>
      <c r="BA13" s="28"/>
      <c r="BB13" s="28"/>
      <c r="BC13" s="28"/>
      <c r="BD13" s="28"/>
      <c r="BE13" s="28"/>
    </row>
    <row r="14" spans="2:83" x14ac:dyDescent="0.25">
      <c r="B14" s="82" t="s">
        <v>12</v>
      </c>
      <c r="C14" s="83" t="s">
        <v>27</v>
      </c>
      <c r="D14" s="89">
        <f>VLOOKUP($C14,[1]NWS_Input!$B$8:$E$18,D$20,FALSE)*1000/(365*VLOOKUP($C14,[1]NWS_Input!$B$51:$E$61,D$20,FALSE)*VLOOKUP($C14,[1]Pop_Wilayat!$B$78:$F$88,D$21,FALSE))</f>
        <v>189.54684662816632</v>
      </c>
      <c r="E14" s="90">
        <f>VLOOKUP($C14,[1]NWS_Input!$B$8:$E$18,E$20,FALSE)*1000/(365*VLOOKUP($C14,[1]NWS_Input!$B$51:$E$61,E$20,FALSE)*VLOOKUP($C14,[1]Pop_Wilayat!$B$78:$F$88,E$21,FALSE))</f>
        <v>153.43672845066939</v>
      </c>
      <c r="F14" s="91">
        <f>VLOOKUP($C14,[1]NWS_Input!$B$8:$E$18,F$20,FALSE)*1000/(365*VLOOKUP($C14,[1]NWS_Input!$B$51:$E$61,F$20,FALSE)*VLOOKUP($C14,[1]Pop_Wilayat!$B$78:$F$88,F$21,FALSE))</f>
        <v>143.18781940542638</v>
      </c>
      <c r="G14" s="92">
        <f t="shared" si="2"/>
        <v>162.05713149475403</v>
      </c>
      <c r="H14" s="92">
        <f t="shared" si="0"/>
        <v>162.05713149475403</v>
      </c>
      <c r="I14" s="92">
        <f t="shared" si="0"/>
        <v>162.05713149475403</v>
      </c>
      <c r="J14" s="92">
        <f t="shared" si="0"/>
        <v>162.05713149475403</v>
      </c>
      <c r="K14" s="92">
        <f t="shared" si="0"/>
        <v>162.05713149475403</v>
      </c>
      <c r="L14" s="92">
        <f t="shared" si="0"/>
        <v>162.05713149475403</v>
      </c>
      <c r="M14" s="92">
        <f t="shared" si="0"/>
        <v>162.05713149475403</v>
      </c>
      <c r="N14" s="92">
        <f t="shared" si="0"/>
        <v>162.05713149475403</v>
      </c>
      <c r="O14" s="92">
        <f t="shared" si="0"/>
        <v>162.05713149475403</v>
      </c>
      <c r="P14" s="92">
        <f t="shared" si="0"/>
        <v>162.05713149475403</v>
      </c>
      <c r="Q14" s="92">
        <f t="shared" si="0"/>
        <v>162.05713149475403</v>
      </c>
      <c r="R14" s="92">
        <f t="shared" si="0"/>
        <v>162.05713149475403</v>
      </c>
      <c r="S14" s="92">
        <f t="shared" si="0"/>
        <v>162.05713149475403</v>
      </c>
      <c r="T14" s="92">
        <f t="shared" si="0"/>
        <v>162.05713149475403</v>
      </c>
      <c r="U14" s="92">
        <f t="shared" si="0"/>
        <v>162.05713149475403</v>
      </c>
      <c r="V14" s="92">
        <f t="shared" si="0"/>
        <v>162.05713149475403</v>
      </c>
      <c r="W14" s="92">
        <f t="shared" si="0"/>
        <v>162.05713149475403</v>
      </c>
      <c r="X14" s="92">
        <f t="shared" si="1"/>
        <v>162.05713149475403</v>
      </c>
      <c r="Y14" s="92">
        <f t="shared" si="1"/>
        <v>162.05713149475403</v>
      </c>
      <c r="Z14" s="92">
        <f t="shared" si="1"/>
        <v>162.05713149475403</v>
      </c>
      <c r="AA14" s="92">
        <f t="shared" si="1"/>
        <v>162.05713149475403</v>
      </c>
      <c r="AB14" s="92">
        <f t="shared" si="1"/>
        <v>162.05713149475403</v>
      </c>
      <c r="AC14" s="92">
        <f t="shared" si="1"/>
        <v>162.05713149475403</v>
      </c>
      <c r="AD14" s="92">
        <f t="shared" si="1"/>
        <v>162.05713149475403</v>
      </c>
      <c r="AE14" s="92">
        <f t="shared" si="1"/>
        <v>162.05713149475403</v>
      </c>
      <c r="AF14" s="92">
        <f t="shared" si="1"/>
        <v>162.05713149475403</v>
      </c>
      <c r="AG14" s="93">
        <f t="shared" si="1"/>
        <v>162.05713149475403</v>
      </c>
      <c r="AH14" s="74"/>
      <c r="AI14" s="74"/>
      <c r="AJ14" s="74"/>
      <c r="AK14" s="74"/>
      <c r="AL14" s="96"/>
      <c r="AM14" s="96"/>
      <c r="AN14" s="74"/>
      <c r="AO14" s="74"/>
      <c r="AP14" s="28"/>
      <c r="AQ14" s="28"/>
      <c r="AR14" s="28"/>
      <c r="AS14" s="28"/>
      <c r="AT14" s="28"/>
      <c r="AU14" s="28"/>
      <c r="AV14" s="28"/>
      <c r="AW14" s="28"/>
      <c r="AX14" s="28"/>
      <c r="AY14" s="28"/>
      <c r="AZ14" s="28"/>
      <c r="BA14" s="28"/>
      <c r="BB14" s="28"/>
      <c r="BC14" s="28"/>
      <c r="BD14" s="28"/>
      <c r="BE14" s="28"/>
    </row>
    <row r="15" spans="2:83" x14ac:dyDescent="0.25">
      <c r="B15" s="82" t="s">
        <v>13</v>
      </c>
      <c r="C15" s="83" t="s">
        <v>28</v>
      </c>
      <c r="D15" s="89">
        <f>VLOOKUP($C15,[1]NWS_Input!$B$8:$E$18,D$20,FALSE)*1000/(365*VLOOKUP($C15,[1]NWS_Input!$B$51:$E$61,D$20,FALSE)*VLOOKUP($C15,[1]Pop_Wilayat!$B$78:$F$88,D$21,FALSE))</f>
        <v>176.00376270297187</v>
      </c>
      <c r="E15" s="90">
        <f>VLOOKUP($C15,[1]NWS_Input!$B$8:$E$18,E$20,FALSE)*1000/(365*VLOOKUP($C15,[1]NWS_Input!$B$51:$E$61,E$20,FALSE)*VLOOKUP($C15,[1]Pop_Wilayat!$B$78:$F$88,E$21,FALSE))</f>
        <v>126.96879879938787</v>
      </c>
      <c r="F15" s="91">
        <f>VLOOKUP($C15,[1]NWS_Input!$B$8:$E$18,F$20,FALSE)*1000/(365*VLOOKUP($C15,[1]NWS_Input!$B$51:$E$61,F$20,FALSE)*VLOOKUP($C15,[1]Pop_Wilayat!$B$78:$F$88,F$21,FALSE))</f>
        <v>117.1035151404179</v>
      </c>
      <c r="G15" s="92">
        <f t="shared" si="2"/>
        <v>140.02535888092586</v>
      </c>
      <c r="H15" s="92">
        <f t="shared" si="0"/>
        <v>140.02535888092586</v>
      </c>
      <c r="I15" s="92">
        <f t="shared" si="0"/>
        <v>140.02535888092586</v>
      </c>
      <c r="J15" s="92">
        <f t="shared" si="0"/>
        <v>140.02535888092586</v>
      </c>
      <c r="K15" s="92">
        <f t="shared" si="0"/>
        <v>140.02535888092586</v>
      </c>
      <c r="L15" s="92">
        <f t="shared" si="0"/>
        <v>140.02535888092586</v>
      </c>
      <c r="M15" s="92">
        <f t="shared" si="0"/>
        <v>140.02535888092586</v>
      </c>
      <c r="N15" s="92">
        <f t="shared" si="0"/>
        <v>140.02535888092586</v>
      </c>
      <c r="O15" s="92">
        <f t="shared" si="0"/>
        <v>140.02535888092586</v>
      </c>
      <c r="P15" s="92">
        <f t="shared" si="0"/>
        <v>140.02535888092586</v>
      </c>
      <c r="Q15" s="92">
        <f t="shared" si="0"/>
        <v>140.02535888092586</v>
      </c>
      <c r="R15" s="92">
        <f t="shared" si="0"/>
        <v>140.02535888092586</v>
      </c>
      <c r="S15" s="92">
        <f t="shared" si="0"/>
        <v>140.02535888092586</v>
      </c>
      <c r="T15" s="92">
        <f t="shared" si="0"/>
        <v>140.02535888092586</v>
      </c>
      <c r="U15" s="92">
        <f t="shared" si="0"/>
        <v>140.02535888092586</v>
      </c>
      <c r="V15" s="92">
        <f t="shared" si="0"/>
        <v>140.02535888092586</v>
      </c>
      <c r="W15" s="92">
        <f t="shared" si="0"/>
        <v>140.02535888092586</v>
      </c>
      <c r="X15" s="92">
        <f t="shared" si="1"/>
        <v>140.02535888092586</v>
      </c>
      <c r="Y15" s="92">
        <f t="shared" si="1"/>
        <v>140.02535888092586</v>
      </c>
      <c r="Z15" s="92">
        <f t="shared" si="1"/>
        <v>140.02535888092586</v>
      </c>
      <c r="AA15" s="92">
        <f t="shared" si="1"/>
        <v>140.02535888092586</v>
      </c>
      <c r="AB15" s="92">
        <f t="shared" si="1"/>
        <v>140.02535888092586</v>
      </c>
      <c r="AC15" s="92">
        <f t="shared" si="1"/>
        <v>140.02535888092586</v>
      </c>
      <c r="AD15" s="92">
        <f t="shared" si="1"/>
        <v>140.02535888092586</v>
      </c>
      <c r="AE15" s="92">
        <f t="shared" si="1"/>
        <v>140.02535888092586</v>
      </c>
      <c r="AF15" s="92">
        <f t="shared" si="1"/>
        <v>140.02535888092586</v>
      </c>
      <c r="AG15" s="93">
        <f t="shared" si="1"/>
        <v>140.02535888092586</v>
      </c>
      <c r="AH15" s="74"/>
      <c r="AI15" s="74"/>
      <c r="AJ15" s="74"/>
      <c r="AK15" s="74"/>
      <c r="AL15" s="96"/>
      <c r="AM15" s="96"/>
      <c r="AN15" s="74"/>
      <c r="AO15" s="74"/>
      <c r="AP15" s="28"/>
      <c r="AQ15" s="28"/>
      <c r="AR15" s="28"/>
      <c r="AS15" s="28"/>
      <c r="AT15" s="28"/>
      <c r="AU15" s="28"/>
      <c r="AV15" s="28"/>
      <c r="AW15" s="28"/>
      <c r="AX15" s="28"/>
      <c r="AY15" s="28"/>
      <c r="AZ15" s="28"/>
      <c r="BA15" s="28"/>
      <c r="BB15" s="28"/>
      <c r="BC15" s="28"/>
      <c r="BD15" s="28"/>
      <c r="BE15" s="28"/>
    </row>
    <row r="16" spans="2:83" x14ac:dyDescent="0.25">
      <c r="B16" s="82" t="s">
        <v>14</v>
      </c>
      <c r="C16" s="83" t="s">
        <v>29</v>
      </c>
      <c r="D16" s="89">
        <f>VLOOKUP($C16,[1]NWS_Input!$B$8:$E$18,D$20,FALSE)*1000/(365*VLOOKUP($C16,[1]NWS_Input!$B$51:$E$61,D$20,FALSE)*VLOOKUP($C16,[1]Pop_Wilayat!$B$78:$F$88,D$21,FALSE))</f>
        <v>197.70454328444677</v>
      </c>
      <c r="E16" s="90">
        <f>VLOOKUP($C16,[1]NWS_Input!$B$8:$E$18,E$20,FALSE)*1000/(365*VLOOKUP($C16,[1]NWS_Input!$B$51:$E$61,E$20,FALSE)*VLOOKUP($C16,[1]Pop_Wilayat!$B$78:$F$88,E$21,FALSE))</f>
        <v>133.30536887696661</v>
      </c>
      <c r="F16" s="91">
        <f>VLOOKUP($C16,[1]NWS_Input!$B$8:$E$18,F$20,FALSE)*1000/(365*VLOOKUP($C16,[1]NWS_Input!$B$51:$E$61,F$20,FALSE)*VLOOKUP($C16,[1]Pop_Wilayat!$B$78:$F$88,F$21,FALSE))</f>
        <v>124.26046927457229</v>
      </c>
      <c r="G16" s="92">
        <f t="shared" si="2"/>
        <v>151.75679381199521</v>
      </c>
      <c r="H16" s="92">
        <f t="shared" si="0"/>
        <v>151.75679381199521</v>
      </c>
      <c r="I16" s="92">
        <f t="shared" si="0"/>
        <v>151.75679381199521</v>
      </c>
      <c r="J16" s="92">
        <f t="shared" si="0"/>
        <v>151.75679381199521</v>
      </c>
      <c r="K16" s="92">
        <f t="shared" si="0"/>
        <v>151.75679381199521</v>
      </c>
      <c r="L16" s="92">
        <f t="shared" si="0"/>
        <v>151.75679381199521</v>
      </c>
      <c r="M16" s="92">
        <f t="shared" si="0"/>
        <v>151.75679381199521</v>
      </c>
      <c r="N16" s="92">
        <f t="shared" si="0"/>
        <v>151.75679381199521</v>
      </c>
      <c r="O16" s="92">
        <f t="shared" si="0"/>
        <v>151.75679381199521</v>
      </c>
      <c r="P16" s="92">
        <f t="shared" si="0"/>
        <v>151.75679381199521</v>
      </c>
      <c r="Q16" s="92">
        <f t="shared" si="0"/>
        <v>151.75679381199521</v>
      </c>
      <c r="R16" s="92">
        <f t="shared" si="0"/>
        <v>151.75679381199521</v>
      </c>
      <c r="S16" s="92">
        <f t="shared" si="0"/>
        <v>151.75679381199521</v>
      </c>
      <c r="T16" s="92">
        <f t="shared" si="0"/>
        <v>151.75679381199521</v>
      </c>
      <c r="U16" s="92">
        <f t="shared" si="0"/>
        <v>151.75679381199521</v>
      </c>
      <c r="V16" s="92">
        <f t="shared" si="0"/>
        <v>151.75679381199521</v>
      </c>
      <c r="W16" s="92">
        <f t="shared" si="0"/>
        <v>151.75679381199521</v>
      </c>
      <c r="X16" s="92">
        <f t="shared" si="1"/>
        <v>151.75679381199521</v>
      </c>
      <c r="Y16" s="92">
        <f t="shared" si="1"/>
        <v>151.75679381199521</v>
      </c>
      <c r="Z16" s="92">
        <f t="shared" si="1"/>
        <v>151.75679381199521</v>
      </c>
      <c r="AA16" s="92">
        <f t="shared" si="1"/>
        <v>151.75679381199521</v>
      </c>
      <c r="AB16" s="92">
        <f t="shared" si="1"/>
        <v>151.75679381199521</v>
      </c>
      <c r="AC16" s="92">
        <f t="shared" si="1"/>
        <v>151.75679381199521</v>
      </c>
      <c r="AD16" s="92">
        <f t="shared" si="1"/>
        <v>151.75679381199521</v>
      </c>
      <c r="AE16" s="92">
        <f t="shared" si="1"/>
        <v>151.75679381199521</v>
      </c>
      <c r="AF16" s="92">
        <f t="shared" si="1"/>
        <v>151.75679381199521</v>
      </c>
      <c r="AG16" s="93">
        <f t="shared" si="1"/>
        <v>151.75679381199521</v>
      </c>
      <c r="AH16" s="74"/>
      <c r="AI16" s="74"/>
      <c r="AJ16" s="74"/>
      <c r="AK16" s="74"/>
      <c r="AL16" s="81"/>
      <c r="AM16" s="81"/>
      <c r="AN16" s="74"/>
      <c r="AO16" s="74"/>
      <c r="AP16" s="28"/>
      <c r="AQ16" s="28"/>
      <c r="AR16" s="28"/>
      <c r="AS16" s="28"/>
      <c r="AT16" s="28"/>
      <c r="AU16" s="28"/>
      <c r="AV16" s="28"/>
      <c r="AW16" s="28"/>
      <c r="AX16" s="28"/>
      <c r="AY16" s="28"/>
      <c r="AZ16" s="28"/>
      <c r="BA16" s="28"/>
      <c r="BB16" s="28"/>
      <c r="BC16" s="28"/>
      <c r="BD16" s="28"/>
      <c r="BE16" s="28"/>
    </row>
    <row r="17" spans="2:83" x14ac:dyDescent="0.2">
      <c r="B17" s="82" t="s">
        <v>16</v>
      </c>
      <c r="C17" s="83" t="s">
        <v>30</v>
      </c>
      <c r="D17" s="89">
        <f>VLOOKUP($C17,[1]NWS_Input!$B$8:$E$18,D$20,FALSE)*1000/(365*VLOOKUP($C17,[1]NWS_Input!$B$51:$E$61,D$20,FALSE)*VLOOKUP($C17,[1]Pop_Wilayat!$B$78:$F$88,D$21,FALSE))</f>
        <v>196.96209567927218</v>
      </c>
      <c r="E17" s="90">
        <f>VLOOKUP($C17,[1]NWS_Input!$B$8:$E$18,E$20,FALSE)*1000/(365*VLOOKUP($C17,[1]NWS_Input!$B$51:$E$61,E$20,FALSE)*VLOOKUP($C17,[1]Pop_Wilayat!$B$78:$F$88,E$21,FALSE))</f>
        <v>149.42231341963171</v>
      </c>
      <c r="F17" s="91">
        <f>VLOOKUP($C17,[1]NWS_Input!$B$8:$E$18,F$20,FALSE)*1000/(365*VLOOKUP($C17,[1]NWS_Input!$B$51:$E$61,F$20,FALSE)*VLOOKUP($C17,[1]Pop_Wilayat!$B$78:$F$88,F$21,FALSE))</f>
        <v>144.11747280862551</v>
      </c>
      <c r="G17" s="92">
        <f t="shared" si="2"/>
        <v>163.5006273025098</v>
      </c>
      <c r="H17" s="92">
        <f t="shared" si="0"/>
        <v>163.5006273025098</v>
      </c>
      <c r="I17" s="92">
        <f t="shared" si="0"/>
        <v>163.5006273025098</v>
      </c>
      <c r="J17" s="92">
        <f t="shared" si="0"/>
        <v>163.5006273025098</v>
      </c>
      <c r="K17" s="92">
        <f t="shared" si="0"/>
        <v>163.5006273025098</v>
      </c>
      <c r="L17" s="92">
        <f t="shared" si="0"/>
        <v>163.5006273025098</v>
      </c>
      <c r="M17" s="92">
        <f t="shared" si="0"/>
        <v>163.5006273025098</v>
      </c>
      <c r="N17" s="92">
        <f t="shared" si="0"/>
        <v>163.5006273025098</v>
      </c>
      <c r="O17" s="92">
        <f t="shared" si="0"/>
        <v>163.5006273025098</v>
      </c>
      <c r="P17" s="92">
        <f t="shared" si="0"/>
        <v>163.5006273025098</v>
      </c>
      <c r="Q17" s="92">
        <f t="shared" si="0"/>
        <v>163.5006273025098</v>
      </c>
      <c r="R17" s="92">
        <f t="shared" si="0"/>
        <v>163.5006273025098</v>
      </c>
      <c r="S17" s="92">
        <f t="shared" si="0"/>
        <v>163.5006273025098</v>
      </c>
      <c r="T17" s="92">
        <f t="shared" si="0"/>
        <v>163.5006273025098</v>
      </c>
      <c r="U17" s="92">
        <f t="shared" si="0"/>
        <v>163.5006273025098</v>
      </c>
      <c r="V17" s="92">
        <f t="shared" si="0"/>
        <v>163.5006273025098</v>
      </c>
      <c r="W17" s="92">
        <f t="shared" si="0"/>
        <v>163.5006273025098</v>
      </c>
      <c r="X17" s="92">
        <f t="shared" si="1"/>
        <v>163.5006273025098</v>
      </c>
      <c r="Y17" s="92">
        <f t="shared" si="1"/>
        <v>163.5006273025098</v>
      </c>
      <c r="Z17" s="92">
        <f t="shared" si="1"/>
        <v>163.5006273025098</v>
      </c>
      <c r="AA17" s="92">
        <f t="shared" si="1"/>
        <v>163.5006273025098</v>
      </c>
      <c r="AB17" s="92">
        <f t="shared" si="1"/>
        <v>163.5006273025098</v>
      </c>
      <c r="AC17" s="92">
        <f t="shared" si="1"/>
        <v>163.5006273025098</v>
      </c>
      <c r="AD17" s="92">
        <f t="shared" si="1"/>
        <v>163.5006273025098</v>
      </c>
      <c r="AE17" s="92">
        <f t="shared" si="1"/>
        <v>163.5006273025098</v>
      </c>
      <c r="AF17" s="92">
        <f t="shared" si="1"/>
        <v>163.5006273025098</v>
      </c>
      <c r="AG17" s="93">
        <f t="shared" si="1"/>
        <v>163.5006273025098</v>
      </c>
      <c r="AH17" s="93">
        <f t="shared" ref="AH17" si="3">AG17</f>
        <v>163.5006273025098</v>
      </c>
      <c r="AI17" s="93">
        <f t="shared" ref="AI17" si="4">AH17</f>
        <v>163.5006273025098</v>
      </c>
      <c r="AJ17" s="93">
        <f t="shared" ref="AJ17" si="5">AI17</f>
        <v>163.5006273025098</v>
      </c>
      <c r="AK17" s="93">
        <f t="shared" ref="AK17" si="6">AJ17</f>
        <v>163.5006273025098</v>
      </c>
      <c r="AL17" s="93">
        <f t="shared" ref="AL17" si="7">AK17</f>
        <v>163.5006273025098</v>
      </c>
      <c r="AM17" s="93">
        <f t="shared" ref="AM17" si="8">AL17</f>
        <v>163.5006273025098</v>
      </c>
      <c r="AN17" s="93">
        <f t="shared" ref="AN17" si="9">AM17</f>
        <v>163.5006273025098</v>
      </c>
      <c r="AO17" s="93">
        <f t="shared" ref="AO17" si="10">AN17</f>
        <v>163.5006273025098</v>
      </c>
      <c r="AP17" s="93">
        <f t="shared" ref="AP17" si="11">AO17</f>
        <v>163.5006273025098</v>
      </c>
      <c r="AQ17" s="93">
        <f t="shared" ref="AQ17" si="12">AP17</f>
        <v>163.5006273025098</v>
      </c>
      <c r="AR17" s="93">
        <f t="shared" ref="AR17" si="13">AQ17</f>
        <v>163.5006273025098</v>
      </c>
      <c r="AS17" s="93">
        <f t="shared" ref="AS17" si="14">AR17</f>
        <v>163.5006273025098</v>
      </c>
      <c r="AT17" s="93">
        <f t="shared" ref="AT17" si="15">AS17</f>
        <v>163.5006273025098</v>
      </c>
      <c r="AU17" s="93">
        <f t="shared" ref="AU17" si="16">AT17</f>
        <v>163.5006273025098</v>
      </c>
      <c r="AV17" s="93">
        <f t="shared" ref="AV17" si="17">AU17</f>
        <v>163.5006273025098</v>
      </c>
      <c r="AW17" s="93">
        <f t="shared" ref="AW17" si="18">AV17</f>
        <v>163.5006273025098</v>
      </c>
      <c r="AX17" s="93">
        <f t="shared" ref="AX17" si="19">AW17</f>
        <v>163.5006273025098</v>
      </c>
      <c r="AY17" s="93">
        <f t="shared" ref="AY17" si="20">AX17</f>
        <v>163.5006273025098</v>
      </c>
      <c r="AZ17" s="93">
        <f t="shared" ref="AZ17" si="21">AY17</f>
        <v>163.5006273025098</v>
      </c>
      <c r="BA17" s="93">
        <f t="shared" ref="BA17" si="22">AZ17</f>
        <v>163.5006273025098</v>
      </c>
      <c r="BB17" s="93">
        <f t="shared" ref="BB17" si="23">BA17</f>
        <v>163.5006273025098</v>
      </c>
      <c r="BC17" s="93">
        <f t="shared" ref="BC17" si="24">BB17</f>
        <v>163.5006273025098</v>
      </c>
      <c r="BD17" s="93">
        <f t="shared" ref="BD17" si="25">BC17</f>
        <v>163.5006273025098</v>
      </c>
      <c r="BE17" s="93">
        <f t="shared" ref="BE17" si="26">BD17</f>
        <v>163.5006273025098</v>
      </c>
      <c r="BF17" s="93">
        <f t="shared" ref="BF17" si="27">BE17</f>
        <v>163.5006273025098</v>
      </c>
      <c r="BG17" s="93">
        <f t="shared" ref="BG17" si="28">BF17</f>
        <v>163.5006273025098</v>
      </c>
      <c r="BH17" s="93">
        <f t="shared" ref="BH17" si="29">BG17</f>
        <v>163.5006273025098</v>
      </c>
      <c r="BI17" s="93">
        <f t="shared" ref="BI17" si="30">BH17</f>
        <v>163.5006273025098</v>
      </c>
      <c r="BJ17" s="93">
        <f t="shared" ref="BJ17" si="31">BI17</f>
        <v>163.5006273025098</v>
      </c>
      <c r="BK17" s="93">
        <f t="shared" ref="BK17" si="32">BJ17</f>
        <v>163.5006273025098</v>
      </c>
      <c r="BL17" s="93">
        <f t="shared" ref="BL17" si="33">BK17</f>
        <v>163.5006273025098</v>
      </c>
      <c r="BM17" s="93">
        <f t="shared" ref="BM17" si="34">BL17</f>
        <v>163.5006273025098</v>
      </c>
      <c r="BN17" s="93">
        <f t="shared" ref="BN17" si="35">BM17</f>
        <v>163.5006273025098</v>
      </c>
      <c r="BO17" s="93">
        <f t="shared" ref="BO17" si="36">BN17</f>
        <v>163.5006273025098</v>
      </c>
      <c r="BP17" s="93">
        <f t="shared" ref="BP17" si="37">BO17</f>
        <v>163.5006273025098</v>
      </c>
      <c r="BQ17" s="93">
        <f t="shared" ref="BQ17" si="38">BP17</f>
        <v>163.5006273025098</v>
      </c>
      <c r="BR17" s="93">
        <f t="shared" ref="BR17" si="39">BQ17</f>
        <v>163.5006273025098</v>
      </c>
      <c r="BS17" s="93">
        <f t="shared" ref="BS17" si="40">BR17</f>
        <v>163.5006273025098</v>
      </c>
      <c r="BT17" s="93">
        <f t="shared" ref="BT17" si="41">BS17</f>
        <v>163.5006273025098</v>
      </c>
      <c r="BU17" s="93">
        <f t="shared" ref="BU17" si="42">BT17</f>
        <v>163.5006273025098</v>
      </c>
      <c r="BV17" s="93">
        <f t="shared" ref="BV17" si="43">BU17</f>
        <v>163.5006273025098</v>
      </c>
      <c r="BW17" s="93">
        <f t="shared" ref="BW17" si="44">BV17</f>
        <v>163.5006273025098</v>
      </c>
      <c r="BX17" s="93">
        <f t="shared" ref="BX17" si="45">BW17</f>
        <v>163.5006273025098</v>
      </c>
      <c r="BY17" s="93">
        <f t="shared" ref="BY17" si="46">BX17</f>
        <v>163.5006273025098</v>
      </c>
      <c r="BZ17" s="93">
        <f t="shared" ref="BZ17" si="47">BY17</f>
        <v>163.5006273025098</v>
      </c>
      <c r="CA17" s="93">
        <f t="shared" ref="CA17" si="48">BZ17</f>
        <v>163.5006273025098</v>
      </c>
      <c r="CB17" s="93">
        <f t="shared" ref="CB17" si="49">CA17</f>
        <v>163.5006273025098</v>
      </c>
      <c r="CC17" s="93">
        <f t="shared" ref="CC17" si="50">CB17</f>
        <v>163.5006273025098</v>
      </c>
      <c r="CD17" s="93">
        <f t="shared" ref="CD17" si="51">CC17</f>
        <v>163.5006273025098</v>
      </c>
      <c r="CE17" s="93">
        <f t="shared" ref="CE17" si="52">CD17</f>
        <v>163.5006273025098</v>
      </c>
    </row>
    <row r="18" spans="2:83" ht="15.75" thickBot="1" x14ac:dyDescent="0.3">
      <c r="B18" s="98" t="s">
        <v>19</v>
      </c>
      <c r="C18" s="99" t="s">
        <v>31</v>
      </c>
      <c r="D18" s="89">
        <f>VLOOKUP($C18,[1]NWS_Input!$B$8:$E$18,D$20,FALSE)*1000/(365*VLOOKUP($C18,[1]NWS_Input!$B$51:$E$61,D$20,FALSE)*VLOOKUP($C18,[1]Pop_Wilayat!$B$78:$F$88,D$21,FALSE))</f>
        <v>135.92620324095742</v>
      </c>
      <c r="E18" s="90">
        <f>VLOOKUP($C18,[1]NWS_Input!$B$8:$E$18,E$20,FALSE)*1000/(365*VLOOKUP($C18,[1]NWS_Input!$B$51:$E$61,E$20,FALSE)*VLOOKUP($C18,[1]Pop_Wilayat!$B$78:$F$88,E$21,FALSE))</f>
        <v>95.961169507871716</v>
      </c>
      <c r="F18" s="91">
        <f>VLOOKUP($C18,[1]NWS_Input!$B$8:$E$18,F$20,FALSE)*1000/(365*VLOOKUP($C18,[1]NWS_Input!$B$51:$E$61,F$20,FALSE)*VLOOKUP($C18,[1]Pop_Wilayat!$B$78:$F$88,F$21,FALSE))</f>
        <v>111.23499230837041</v>
      </c>
      <c r="G18" s="92">
        <f t="shared" si="2"/>
        <v>114.37412168573319</v>
      </c>
      <c r="H18" s="92">
        <f t="shared" si="0"/>
        <v>114.37412168573319</v>
      </c>
      <c r="I18" s="92">
        <f t="shared" si="0"/>
        <v>114.37412168573319</v>
      </c>
      <c r="J18" s="92">
        <f t="shared" si="0"/>
        <v>114.37412168573319</v>
      </c>
      <c r="K18" s="92">
        <f t="shared" si="0"/>
        <v>114.37412168573319</v>
      </c>
      <c r="L18" s="92">
        <f t="shared" si="0"/>
        <v>114.37412168573319</v>
      </c>
      <c r="M18" s="92">
        <f t="shared" si="0"/>
        <v>114.37412168573319</v>
      </c>
      <c r="N18" s="92">
        <f t="shared" si="0"/>
        <v>114.37412168573319</v>
      </c>
      <c r="O18" s="92">
        <f t="shared" si="0"/>
        <v>114.37412168573319</v>
      </c>
      <c r="P18" s="92">
        <f t="shared" si="0"/>
        <v>114.37412168573319</v>
      </c>
      <c r="Q18" s="92">
        <f t="shared" si="0"/>
        <v>114.37412168573319</v>
      </c>
      <c r="R18" s="92">
        <f t="shared" si="0"/>
        <v>114.37412168573319</v>
      </c>
      <c r="S18" s="92">
        <f t="shared" si="0"/>
        <v>114.37412168573319</v>
      </c>
      <c r="T18" s="92">
        <f t="shared" si="0"/>
        <v>114.37412168573319</v>
      </c>
      <c r="U18" s="92">
        <f t="shared" si="0"/>
        <v>114.37412168573319</v>
      </c>
      <c r="V18" s="92">
        <f t="shared" si="0"/>
        <v>114.37412168573319</v>
      </c>
      <c r="W18" s="92">
        <f t="shared" si="0"/>
        <v>114.37412168573319</v>
      </c>
      <c r="X18" s="92">
        <f t="shared" si="1"/>
        <v>114.37412168573319</v>
      </c>
      <c r="Y18" s="92">
        <f t="shared" si="1"/>
        <v>114.37412168573319</v>
      </c>
      <c r="Z18" s="92">
        <f t="shared" si="1"/>
        <v>114.37412168573319</v>
      </c>
      <c r="AA18" s="92">
        <f t="shared" si="1"/>
        <v>114.37412168573319</v>
      </c>
      <c r="AB18" s="92">
        <f t="shared" si="1"/>
        <v>114.37412168573319</v>
      </c>
      <c r="AC18" s="92">
        <f t="shared" si="1"/>
        <v>114.37412168573319</v>
      </c>
      <c r="AD18" s="92">
        <f t="shared" si="1"/>
        <v>114.37412168573319</v>
      </c>
      <c r="AE18" s="92">
        <f t="shared" si="1"/>
        <v>114.37412168573319</v>
      </c>
      <c r="AF18" s="92">
        <f t="shared" si="1"/>
        <v>114.37412168573319</v>
      </c>
      <c r="AG18" s="93">
        <f t="shared" si="1"/>
        <v>114.37412168573319</v>
      </c>
      <c r="AP18" s="28"/>
      <c r="AQ18" s="28"/>
      <c r="AR18" s="28"/>
      <c r="AS18" s="28"/>
      <c r="AT18" s="28"/>
      <c r="AU18" s="28"/>
      <c r="AV18" s="28"/>
      <c r="AW18" s="28"/>
      <c r="AX18" s="28"/>
      <c r="AY18" s="28"/>
      <c r="AZ18" s="28"/>
      <c r="BA18" s="28"/>
      <c r="BB18" s="28"/>
      <c r="BC18" s="28"/>
      <c r="BD18" s="28"/>
      <c r="BE18" s="28"/>
    </row>
    <row r="19" spans="2:83" ht="15.75" thickBot="1" x14ac:dyDescent="0.3">
      <c r="B19" s="28"/>
      <c r="C19" s="23" t="s">
        <v>32</v>
      </c>
      <c r="D19" s="100">
        <f>VLOOKUP($C19,[1]NWS_Input!$B$8:$E$18,D$20,FALSE)*1000/(365*VLOOKUP($C19,[1]NWS_Input!$B$51:$E$61,D$20,FALSE)*VLOOKUP($C19,[1]Pop_Wilayat!$B$78:$F$88,D$21,FALSE))</f>
        <v>180.39114101903837</v>
      </c>
      <c r="E19" s="101">
        <f>VLOOKUP($C19,[1]NWS_Input!$B$8:$E$18,E$20,FALSE)*1000/(365*VLOOKUP($C19,[1]NWS_Input!$B$51:$E$61,E$20,FALSE)*VLOOKUP($C19,[1]Pop_Wilayat!$B$78:$F$88,E$21,FALSE))</f>
        <v>148.1740520375613</v>
      </c>
      <c r="F19" s="102">
        <f>VLOOKUP($C19,[1]NWS_Input!$B$8:$E$18,F$20,FALSE)*1000/(365*VLOOKUP($C19,[1]NWS_Input!$B$51:$E$61,F$20,FALSE)*VLOOKUP($C19,[1]Pop_Wilayat!$B$78:$F$88,F$21,FALSE))</f>
        <v>140.58636993218619</v>
      </c>
      <c r="G19" s="103">
        <f t="shared" si="2"/>
        <v>156.38385432959529</v>
      </c>
      <c r="H19" s="104">
        <f t="shared" si="0"/>
        <v>156.38385432959529</v>
      </c>
      <c r="I19" s="104">
        <f t="shared" si="0"/>
        <v>156.38385432959529</v>
      </c>
      <c r="J19" s="104">
        <f t="shared" si="0"/>
        <v>156.38385432959529</v>
      </c>
      <c r="K19" s="104">
        <f t="shared" si="0"/>
        <v>156.38385432959529</v>
      </c>
      <c r="L19" s="104">
        <f t="shared" si="0"/>
        <v>156.38385432959529</v>
      </c>
      <c r="M19" s="104">
        <f t="shared" si="0"/>
        <v>156.38385432959529</v>
      </c>
      <c r="N19" s="104">
        <f t="shared" si="0"/>
        <v>156.38385432959529</v>
      </c>
      <c r="O19" s="104">
        <f t="shared" si="0"/>
        <v>156.38385432959529</v>
      </c>
      <c r="P19" s="104">
        <f t="shared" si="0"/>
        <v>156.38385432959529</v>
      </c>
      <c r="Q19" s="104">
        <f t="shared" si="0"/>
        <v>156.38385432959529</v>
      </c>
      <c r="R19" s="104">
        <f t="shared" si="0"/>
        <v>156.38385432959529</v>
      </c>
      <c r="S19" s="104">
        <f t="shared" si="0"/>
        <v>156.38385432959529</v>
      </c>
      <c r="T19" s="104">
        <f t="shared" si="0"/>
        <v>156.38385432959529</v>
      </c>
      <c r="U19" s="104">
        <f t="shared" si="0"/>
        <v>156.38385432959529</v>
      </c>
      <c r="V19" s="104">
        <f t="shared" si="0"/>
        <v>156.38385432959529</v>
      </c>
      <c r="W19" s="104">
        <f t="shared" si="0"/>
        <v>156.38385432959529</v>
      </c>
      <c r="X19" s="104">
        <f t="shared" si="1"/>
        <v>156.38385432959529</v>
      </c>
      <c r="Y19" s="104">
        <f t="shared" si="1"/>
        <v>156.38385432959529</v>
      </c>
      <c r="Z19" s="104">
        <f t="shared" si="1"/>
        <v>156.38385432959529</v>
      </c>
      <c r="AA19" s="104">
        <f t="shared" si="1"/>
        <v>156.38385432959529</v>
      </c>
      <c r="AB19" s="104">
        <f t="shared" si="1"/>
        <v>156.38385432959529</v>
      </c>
      <c r="AC19" s="104">
        <f>AB19</f>
        <v>156.38385432959529</v>
      </c>
      <c r="AD19" s="104">
        <f>AC19</f>
        <v>156.38385432959529</v>
      </c>
      <c r="AE19" s="104">
        <f>AD19</f>
        <v>156.38385432959529</v>
      </c>
      <c r="AF19" s="104">
        <f>AE19</f>
        <v>156.38385432959529</v>
      </c>
      <c r="AG19" s="105">
        <f>AF19</f>
        <v>156.38385432959529</v>
      </c>
      <c r="AP19" s="28"/>
      <c r="AQ19" s="28"/>
      <c r="AR19" s="28"/>
      <c r="AS19" s="28"/>
      <c r="AT19" s="28"/>
      <c r="AU19" s="28"/>
      <c r="AV19" s="28"/>
      <c r="AW19" s="28"/>
      <c r="AX19" s="28"/>
      <c r="AY19" s="28"/>
      <c r="AZ19" s="28"/>
      <c r="BA19" s="28"/>
      <c r="BB19" s="28"/>
      <c r="BC19" s="28"/>
      <c r="BD19" s="28"/>
      <c r="BE19" s="28"/>
    </row>
    <row r="20" spans="2:83" ht="30" x14ac:dyDescent="0.25">
      <c r="B20" s="28"/>
      <c r="C20" s="106" t="s">
        <v>632</v>
      </c>
      <c r="D20" s="107">
        <v>2</v>
      </c>
      <c r="E20" s="108">
        <v>3</v>
      </c>
      <c r="F20" s="107">
        <v>4</v>
      </c>
      <c r="G20" s="108">
        <v>5</v>
      </c>
      <c r="H20" s="107">
        <v>6</v>
      </c>
      <c r="I20" s="108">
        <v>7</v>
      </c>
      <c r="J20" s="107">
        <v>8</v>
      </c>
      <c r="K20" s="108">
        <v>9</v>
      </c>
      <c r="L20" s="107">
        <v>10</v>
      </c>
      <c r="M20" s="108">
        <v>11</v>
      </c>
      <c r="N20" s="107">
        <v>12</v>
      </c>
      <c r="O20" s="108">
        <v>13</v>
      </c>
      <c r="P20" s="107">
        <v>14</v>
      </c>
      <c r="Q20" s="108">
        <v>15</v>
      </c>
      <c r="R20" s="107">
        <v>16</v>
      </c>
      <c r="S20" s="108">
        <v>17</v>
      </c>
      <c r="T20" s="107">
        <v>18</v>
      </c>
      <c r="U20" s="108">
        <v>19</v>
      </c>
      <c r="V20" s="107">
        <v>20</v>
      </c>
      <c r="W20" s="108">
        <v>21</v>
      </c>
      <c r="X20" s="107">
        <v>22</v>
      </c>
      <c r="Y20" s="108">
        <v>23</v>
      </c>
      <c r="Z20" s="107">
        <v>24</v>
      </c>
      <c r="AA20" s="108">
        <v>25</v>
      </c>
      <c r="AB20" s="107">
        <v>26</v>
      </c>
      <c r="AC20" s="108">
        <v>27</v>
      </c>
      <c r="AD20" s="107">
        <v>28</v>
      </c>
      <c r="AE20" s="108">
        <v>29</v>
      </c>
      <c r="AF20" s="107">
        <v>30</v>
      </c>
      <c r="AG20" s="108">
        <v>31</v>
      </c>
      <c r="AH20" s="70"/>
      <c r="AI20" s="70"/>
      <c r="AJ20" s="70"/>
      <c r="AK20" s="70"/>
      <c r="AL20" s="70"/>
      <c r="AM20" s="70"/>
      <c r="AN20" s="70"/>
      <c r="AO20" s="70"/>
      <c r="AP20" s="28"/>
      <c r="AQ20" s="28"/>
      <c r="AR20" s="28"/>
      <c r="AS20" s="28"/>
      <c r="AT20" s="28"/>
      <c r="AU20" s="28"/>
      <c r="AV20" s="28"/>
      <c r="AW20" s="28"/>
      <c r="AX20" s="28"/>
      <c r="AY20" s="28"/>
      <c r="AZ20" s="28"/>
      <c r="BA20" s="28"/>
      <c r="BB20" s="28"/>
      <c r="BC20" s="28"/>
      <c r="BD20" s="28"/>
      <c r="BE20" s="28"/>
    </row>
    <row r="21" spans="2:83" x14ac:dyDescent="0.25">
      <c r="B21" s="28"/>
      <c r="C21" s="28" t="s">
        <v>633</v>
      </c>
      <c r="D21" s="28">
        <v>3</v>
      </c>
      <c r="E21" s="28">
        <v>4</v>
      </c>
      <c r="F21" s="28">
        <v>5</v>
      </c>
      <c r="G21" s="28">
        <v>6</v>
      </c>
      <c r="H21" s="28">
        <v>7</v>
      </c>
      <c r="I21" s="28">
        <v>8</v>
      </c>
      <c r="J21" s="28">
        <v>9</v>
      </c>
      <c r="K21" s="28">
        <v>10</v>
      </c>
      <c r="L21" s="28">
        <v>11</v>
      </c>
      <c r="M21" s="28">
        <v>12</v>
      </c>
      <c r="N21" s="28">
        <v>13</v>
      </c>
      <c r="O21" s="28">
        <v>14</v>
      </c>
      <c r="P21" s="28">
        <v>15</v>
      </c>
      <c r="Q21" s="28">
        <v>16</v>
      </c>
      <c r="R21" s="28">
        <v>17</v>
      </c>
      <c r="S21" s="28">
        <v>18</v>
      </c>
      <c r="T21" s="28">
        <v>19</v>
      </c>
      <c r="U21" s="28">
        <v>20</v>
      </c>
      <c r="V21" s="28">
        <v>21</v>
      </c>
      <c r="W21" s="28">
        <v>22</v>
      </c>
      <c r="X21" s="28">
        <v>23</v>
      </c>
      <c r="Y21" s="28">
        <v>24</v>
      </c>
      <c r="Z21" s="28">
        <v>25</v>
      </c>
      <c r="AA21" s="28">
        <v>26</v>
      </c>
      <c r="AB21" s="28">
        <v>27</v>
      </c>
      <c r="AC21" s="28">
        <v>28</v>
      </c>
      <c r="AD21" s="28">
        <v>29</v>
      </c>
      <c r="AE21" s="28">
        <v>30</v>
      </c>
      <c r="AF21" s="28">
        <v>31</v>
      </c>
      <c r="AG21" s="28">
        <v>32</v>
      </c>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row>
    <row r="22" spans="2:83" x14ac:dyDescent="0.25">
      <c r="B22" s="28"/>
      <c r="C22" s="28"/>
      <c r="D22" s="28"/>
      <c r="E22" s="28"/>
      <c r="F22" s="28"/>
      <c r="G22" s="28"/>
      <c r="H22" s="28"/>
      <c r="I22" s="72"/>
      <c r="J22" s="64"/>
      <c r="K22" s="65"/>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97"/>
      <c r="AM22" s="97"/>
      <c r="AN22" s="28"/>
      <c r="AO22" s="28"/>
      <c r="AP22" s="28"/>
      <c r="AQ22" s="28"/>
      <c r="AR22" s="28"/>
      <c r="AS22" s="28"/>
      <c r="AT22" s="28"/>
      <c r="AU22" s="28"/>
      <c r="AV22" s="28"/>
      <c r="AW22" s="28"/>
      <c r="AX22" s="28"/>
      <c r="AY22" s="28"/>
      <c r="AZ22" s="28"/>
      <c r="BA22" s="28"/>
      <c r="BB22" s="28"/>
      <c r="BC22" s="28"/>
      <c r="BD22" s="28"/>
      <c r="BE22" s="28"/>
    </row>
    <row r="23" spans="2:83" x14ac:dyDescent="0.25">
      <c r="B23" s="28"/>
      <c r="C23" s="28"/>
      <c r="D23" s="28"/>
      <c r="E23" s="28"/>
      <c r="F23" s="28"/>
      <c r="G23" s="28"/>
      <c r="H23" s="28"/>
      <c r="I23" s="72"/>
      <c r="J23" s="64"/>
      <c r="K23" s="65"/>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97"/>
      <c r="AM23" s="97"/>
      <c r="AN23" s="28"/>
      <c r="AO23" s="28"/>
      <c r="AP23" s="28"/>
      <c r="AQ23" s="28"/>
      <c r="AR23" s="28"/>
      <c r="AS23" s="28"/>
      <c r="AT23" s="28"/>
      <c r="AU23" s="28"/>
      <c r="AV23" s="28"/>
      <c r="AW23" s="28"/>
      <c r="AX23" s="28"/>
      <c r="AY23" s="28"/>
      <c r="AZ23" s="28"/>
      <c r="BA23" s="28"/>
      <c r="BB23" s="28"/>
      <c r="BC23" s="28"/>
      <c r="BD23" s="28"/>
      <c r="BE23" s="28"/>
    </row>
    <row r="24" spans="2:83" ht="15.75" thickBot="1" x14ac:dyDescent="0.3">
      <c r="B24" s="28"/>
      <c r="C24" s="28"/>
      <c r="D24" s="28"/>
      <c r="E24" s="28"/>
      <c r="F24" s="28"/>
      <c r="G24" s="28"/>
      <c r="H24" s="28"/>
      <c r="I24" s="72"/>
      <c r="J24" s="64"/>
      <c r="K24" s="65"/>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97"/>
      <c r="AM24" s="97"/>
      <c r="AN24" s="28"/>
      <c r="AO24" s="28"/>
      <c r="AP24" s="28"/>
      <c r="AQ24" s="28"/>
      <c r="AR24" s="28"/>
      <c r="AS24" s="28"/>
      <c r="AT24" s="28"/>
      <c r="AU24" s="28"/>
      <c r="AV24" s="28"/>
      <c r="AW24" s="28"/>
      <c r="AX24" s="28"/>
      <c r="AY24" s="28"/>
      <c r="AZ24" s="28"/>
      <c r="BA24" s="28"/>
      <c r="BB24" s="28"/>
      <c r="BC24" s="28"/>
      <c r="BD24" s="28"/>
      <c r="BE24" s="28"/>
    </row>
    <row r="25" spans="2:83" ht="25.5" customHeight="1" x14ac:dyDescent="0.35">
      <c r="B25" s="308" t="s">
        <v>634</v>
      </c>
      <c r="C25" s="309"/>
      <c r="D25" s="310"/>
      <c r="E25" s="314" t="s">
        <v>635</v>
      </c>
      <c r="F25" s="315"/>
      <c r="G25" s="315"/>
      <c r="H25" s="315"/>
      <c r="I25" s="315"/>
      <c r="J25" s="315"/>
      <c r="K25" s="315"/>
      <c r="L25" s="315"/>
      <c r="M25" s="109" t="s">
        <v>636</v>
      </c>
      <c r="N25" s="110"/>
      <c r="O25" s="110"/>
      <c r="P25" s="28"/>
      <c r="Q25" s="28"/>
      <c r="R25" s="28"/>
      <c r="S25" s="28"/>
      <c r="T25" s="28"/>
      <c r="U25" s="28"/>
      <c r="V25" s="28"/>
      <c r="W25" s="28"/>
      <c r="X25" s="28"/>
      <c r="Y25" s="28"/>
      <c r="Z25" s="28"/>
      <c r="AA25" s="28"/>
      <c r="AB25" s="28"/>
      <c r="AC25" s="28"/>
      <c r="AD25" s="28"/>
      <c r="AE25" s="28"/>
      <c r="AF25" s="28"/>
      <c r="AG25" s="28"/>
      <c r="AH25" s="28"/>
      <c r="AI25" s="28"/>
      <c r="AJ25" s="28"/>
      <c r="AK25" s="28"/>
      <c r="AL25" s="97"/>
      <c r="AM25" s="97"/>
      <c r="AN25" s="28"/>
      <c r="AO25" s="28"/>
      <c r="AP25" s="28"/>
      <c r="AQ25" s="28"/>
      <c r="AR25" s="28"/>
      <c r="AS25" s="28"/>
      <c r="AT25" s="28"/>
      <c r="AU25" s="28"/>
      <c r="AV25" s="28"/>
      <c r="AW25" s="28"/>
      <c r="AX25" s="28"/>
      <c r="AY25" s="28"/>
      <c r="AZ25" s="28"/>
      <c r="BA25" s="28"/>
      <c r="BB25" s="28"/>
      <c r="BC25" s="28"/>
      <c r="BD25" s="28"/>
      <c r="BE25" s="28"/>
    </row>
    <row r="26" spans="2:83" ht="21.75" customHeight="1" thickBot="1" x14ac:dyDescent="0.4">
      <c r="B26" s="311"/>
      <c r="C26" s="312"/>
      <c r="D26" s="313"/>
      <c r="E26" s="304" t="s">
        <v>637</v>
      </c>
      <c r="F26" s="305"/>
      <c r="G26" s="305"/>
      <c r="H26" s="305"/>
      <c r="I26" s="305"/>
      <c r="J26" s="305"/>
      <c r="K26" s="305"/>
      <c r="L26" s="305"/>
      <c r="M26" s="307" t="s">
        <v>638</v>
      </c>
      <c r="N26" s="307"/>
      <c r="O26" s="307"/>
      <c r="P26" s="307"/>
      <c r="Q26" s="307"/>
      <c r="R26" s="307"/>
      <c r="S26" s="307"/>
      <c r="T26" s="307"/>
      <c r="U26" s="70"/>
      <c r="V26" s="70"/>
      <c r="W26" s="70"/>
      <c r="X26" s="70"/>
      <c r="Y26" s="70"/>
      <c r="Z26" s="70"/>
      <c r="AA26" s="70"/>
      <c r="AB26" s="70"/>
      <c r="AC26" s="70"/>
      <c r="AD26" s="70"/>
      <c r="AE26" s="70"/>
      <c r="AF26" s="70"/>
      <c r="AG26" s="70"/>
      <c r="AH26" s="28"/>
      <c r="AI26" s="28"/>
      <c r="AJ26" s="28"/>
      <c r="AK26" s="28"/>
      <c r="AL26" s="97"/>
      <c r="AM26" s="97"/>
      <c r="AN26" s="28"/>
      <c r="AO26" s="28"/>
      <c r="AP26" s="28"/>
      <c r="AQ26" s="28"/>
      <c r="AR26" s="28"/>
      <c r="AS26" s="28"/>
      <c r="AT26" s="28"/>
      <c r="AU26" s="28"/>
      <c r="AV26" s="28"/>
      <c r="AW26" s="28"/>
      <c r="AX26" s="28"/>
      <c r="AY26" s="28"/>
      <c r="AZ26" s="28"/>
      <c r="BA26" s="28"/>
      <c r="BB26" s="28"/>
      <c r="BC26" s="28"/>
      <c r="BD26" s="28"/>
      <c r="BE26" s="28"/>
    </row>
    <row r="27" spans="2:83" ht="15.75" thickBot="1" x14ac:dyDescent="0.3">
      <c r="B27" s="28"/>
      <c r="C27" s="71"/>
      <c r="D27" s="28"/>
      <c r="E27" s="28"/>
      <c r="F27" s="28"/>
      <c r="G27" s="28"/>
      <c r="H27" s="28"/>
      <c r="I27" s="72"/>
      <c r="J27" s="64"/>
      <c r="K27" s="65"/>
      <c r="L27" s="73"/>
      <c r="M27" s="73"/>
      <c r="N27" s="73"/>
      <c r="O27" s="74"/>
      <c r="P27" s="74"/>
      <c r="Q27" s="74"/>
      <c r="R27" s="74"/>
      <c r="S27" s="74"/>
      <c r="T27" s="74"/>
      <c r="U27" s="74"/>
      <c r="V27" s="74"/>
      <c r="W27" s="74"/>
      <c r="X27" s="74"/>
      <c r="Y27" s="74"/>
      <c r="Z27" s="74"/>
      <c r="AA27" s="74"/>
      <c r="AB27" s="74"/>
      <c r="AC27" s="74"/>
      <c r="AD27" s="74"/>
      <c r="AE27" s="74"/>
      <c r="AF27" s="74"/>
      <c r="AG27" s="74"/>
      <c r="AH27" s="28"/>
      <c r="AI27" s="28"/>
      <c r="AJ27" s="28"/>
      <c r="AK27" s="28"/>
      <c r="AL27" s="97"/>
      <c r="AM27" s="97"/>
      <c r="AN27" s="28"/>
      <c r="AO27" s="28"/>
      <c r="AP27" s="28"/>
      <c r="AQ27" s="28"/>
      <c r="AR27" s="28"/>
      <c r="AS27" s="28"/>
      <c r="AT27" s="28"/>
      <c r="AU27" s="28"/>
      <c r="AV27" s="28"/>
      <c r="AW27" s="28"/>
      <c r="AX27" s="28"/>
      <c r="AY27" s="28"/>
      <c r="AZ27" s="28"/>
      <c r="BA27" s="28"/>
      <c r="BB27" s="28"/>
      <c r="BC27" s="28"/>
      <c r="BD27" s="28"/>
      <c r="BE27" s="28"/>
    </row>
    <row r="28" spans="2:83" ht="15.75" thickBot="1" x14ac:dyDescent="0.3">
      <c r="B28" s="75" t="s">
        <v>2</v>
      </c>
      <c r="C28" s="76" t="s">
        <v>60</v>
      </c>
      <c r="D28" s="77">
        <v>2021</v>
      </c>
      <c r="E28" s="78">
        <v>2022</v>
      </c>
      <c r="F28" s="79">
        <v>2023</v>
      </c>
      <c r="G28" s="77">
        <v>2024</v>
      </c>
      <c r="H28" s="78">
        <v>2025</v>
      </c>
      <c r="I28" s="78">
        <v>2026</v>
      </c>
      <c r="J28" s="78">
        <v>2027</v>
      </c>
      <c r="K28" s="78">
        <v>2028</v>
      </c>
      <c r="L28" s="78">
        <v>2029</v>
      </c>
      <c r="M28" s="78">
        <v>2030</v>
      </c>
      <c r="N28" s="78">
        <v>2031</v>
      </c>
      <c r="O28" s="78">
        <v>2032</v>
      </c>
      <c r="P28" s="78">
        <v>2033</v>
      </c>
      <c r="Q28" s="78">
        <v>2034</v>
      </c>
      <c r="R28" s="78">
        <v>2035</v>
      </c>
      <c r="S28" s="78">
        <v>2036</v>
      </c>
      <c r="T28" s="78">
        <v>2037</v>
      </c>
      <c r="U28" s="78">
        <v>2038</v>
      </c>
      <c r="V28" s="78">
        <v>2039</v>
      </c>
      <c r="W28" s="78">
        <v>2040</v>
      </c>
      <c r="X28" s="78">
        <v>2041</v>
      </c>
      <c r="Y28" s="78">
        <v>2042</v>
      </c>
      <c r="Z28" s="78">
        <v>2043</v>
      </c>
      <c r="AA28" s="78">
        <v>2044</v>
      </c>
      <c r="AB28" s="78">
        <v>2045</v>
      </c>
      <c r="AC28" s="78">
        <v>2046</v>
      </c>
      <c r="AD28" s="78">
        <v>2047</v>
      </c>
      <c r="AE28" s="78">
        <v>2048</v>
      </c>
      <c r="AF28" s="78">
        <v>2049</v>
      </c>
      <c r="AG28" s="79">
        <v>2050</v>
      </c>
      <c r="AH28" s="74">
        <v>2051</v>
      </c>
      <c r="AI28" s="74">
        <v>2052</v>
      </c>
      <c r="AJ28" s="74">
        <v>2053</v>
      </c>
      <c r="AK28" s="74">
        <v>2054</v>
      </c>
      <c r="AL28" s="74">
        <v>2055</v>
      </c>
      <c r="AM28" s="74">
        <v>2056</v>
      </c>
      <c r="AN28" s="74">
        <v>2057</v>
      </c>
      <c r="AO28" s="74">
        <v>2058</v>
      </c>
      <c r="AP28" s="74">
        <v>2059</v>
      </c>
      <c r="AQ28" s="74">
        <v>2060</v>
      </c>
      <c r="AR28" s="74">
        <v>2061</v>
      </c>
      <c r="AS28" s="74">
        <v>2062</v>
      </c>
      <c r="AT28" s="74">
        <v>2063</v>
      </c>
      <c r="AU28" s="74">
        <v>2064</v>
      </c>
      <c r="AV28" s="74">
        <v>2065</v>
      </c>
      <c r="AW28" s="74">
        <v>2066</v>
      </c>
      <c r="AX28" s="74">
        <v>2067</v>
      </c>
      <c r="AY28" s="74">
        <v>2068</v>
      </c>
      <c r="AZ28" s="74">
        <v>2069</v>
      </c>
      <c r="BA28" s="74">
        <v>2070</v>
      </c>
      <c r="BB28" s="74">
        <v>2071</v>
      </c>
      <c r="BC28" s="74">
        <v>2072</v>
      </c>
      <c r="BD28" s="74">
        <v>2073</v>
      </c>
      <c r="BE28" s="74">
        <v>2074</v>
      </c>
      <c r="BF28" s="74">
        <v>2075</v>
      </c>
      <c r="BG28" s="74">
        <v>2076</v>
      </c>
      <c r="BH28" s="74">
        <v>2077</v>
      </c>
      <c r="BI28" s="74">
        <v>2078</v>
      </c>
      <c r="BJ28" s="74">
        <v>2079</v>
      </c>
      <c r="BK28" s="74">
        <v>2080</v>
      </c>
      <c r="BL28" s="74">
        <v>2081</v>
      </c>
      <c r="BM28" s="74">
        <v>2082</v>
      </c>
      <c r="BN28" s="74">
        <v>2083</v>
      </c>
      <c r="BO28" s="74">
        <v>2084</v>
      </c>
      <c r="BP28" s="74">
        <v>2085</v>
      </c>
      <c r="BQ28" s="74">
        <v>2086</v>
      </c>
      <c r="BR28" s="74">
        <v>2087</v>
      </c>
      <c r="BS28" s="74">
        <v>2088</v>
      </c>
      <c r="BT28" s="74">
        <v>2089</v>
      </c>
      <c r="BU28" s="74">
        <v>2090</v>
      </c>
      <c r="BV28" s="74">
        <v>2091</v>
      </c>
      <c r="BW28" s="74">
        <v>2092</v>
      </c>
      <c r="BX28" s="74">
        <v>2093</v>
      </c>
      <c r="BY28" s="74">
        <v>2094</v>
      </c>
      <c r="BZ28" s="74">
        <v>2095</v>
      </c>
      <c r="CA28" s="74">
        <v>2096</v>
      </c>
      <c r="CB28" s="74">
        <v>2097</v>
      </c>
      <c r="CC28" s="74">
        <v>2098</v>
      </c>
      <c r="CD28" s="74">
        <v>2099</v>
      </c>
      <c r="CE28" s="74">
        <v>2100</v>
      </c>
    </row>
    <row r="29" spans="2:83" x14ac:dyDescent="0.25">
      <c r="B29" s="82" t="s">
        <v>5</v>
      </c>
      <c r="C29" s="83" t="s">
        <v>22</v>
      </c>
      <c r="D29" s="111"/>
      <c r="E29" s="112">
        <f>(VLOOKUP(C29,[1]NWS_Input!$B$22:$E$32,'Water Demand Criteria'!G$40,FALSE))/VLOOKUP(C29,[1]NWS_Input!$B$8:$E$18,G$40,FALSE)</f>
        <v>0.37071855184751396</v>
      </c>
      <c r="F29" s="113">
        <f>VLOOKUP(C29,[1]NWS_Input!$B$22:$E$32,'Water Demand Criteria'!H$40,FALSE)/VLOOKUP(C29,[1]NWS_Input!$B$8:$E$18,H$40,FALSE)</f>
        <v>0.38505972998239602</v>
      </c>
      <c r="G29" s="114">
        <f>(VLOOKUP(C29,[1]NWS_Input!$B$22:$E$32,'Water Demand Criteria'!G$40,FALSE)+VLOOKUP(C29,[1]NWS_Input!$B$22:$E$32,'Water Demand Criteria'!H$40,FALSE))/(VLOOKUP(C29,[1]NWS_Input!$B$8:$E$18,G$40,FALSE)+VLOOKUP(C29,[1]NWS_Input!$B$8:$E$18,H$40,FALSE))</f>
        <v>0.37801379685552572</v>
      </c>
      <c r="H29" s="115">
        <f>G29</f>
        <v>0.37801379685552572</v>
      </c>
      <c r="I29" s="115">
        <f t="shared" ref="I29:X29" si="53">H29</f>
        <v>0.37801379685552572</v>
      </c>
      <c r="J29" s="115">
        <f t="shared" si="53"/>
        <v>0.37801379685552572</v>
      </c>
      <c r="K29" s="115">
        <f t="shared" si="53"/>
        <v>0.37801379685552572</v>
      </c>
      <c r="L29" s="115">
        <f t="shared" si="53"/>
        <v>0.37801379685552572</v>
      </c>
      <c r="M29" s="115">
        <f t="shared" si="53"/>
        <v>0.37801379685552572</v>
      </c>
      <c r="N29" s="115">
        <f t="shared" si="53"/>
        <v>0.37801379685552572</v>
      </c>
      <c r="O29" s="115">
        <f t="shared" si="53"/>
        <v>0.37801379685552572</v>
      </c>
      <c r="P29" s="115">
        <f t="shared" si="53"/>
        <v>0.37801379685552572</v>
      </c>
      <c r="Q29" s="115">
        <f t="shared" si="53"/>
        <v>0.37801379685552572</v>
      </c>
      <c r="R29" s="115">
        <f t="shared" si="53"/>
        <v>0.37801379685552572</v>
      </c>
      <c r="S29" s="115">
        <f t="shared" si="53"/>
        <v>0.37801379685552572</v>
      </c>
      <c r="T29" s="115">
        <f t="shared" si="53"/>
        <v>0.37801379685552572</v>
      </c>
      <c r="U29" s="115">
        <f t="shared" si="53"/>
        <v>0.37801379685552572</v>
      </c>
      <c r="V29" s="115">
        <f t="shared" si="53"/>
        <v>0.37801379685552572</v>
      </c>
      <c r="W29" s="115">
        <f t="shared" si="53"/>
        <v>0.37801379685552572</v>
      </c>
      <c r="X29" s="115">
        <f t="shared" si="53"/>
        <v>0.37801379685552572</v>
      </c>
      <c r="Y29" s="115">
        <f t="shared" ref="X29:AG39" si="54">X29</f>
        <v>0.37801379685552572</v>
      </c>
      <c r="Z29" s="115">
        <f t="shared" si="54"/>
        <v>0.37801379685552572</v>
      </c>
      <c r="AA29" s="115">
        <f t="shared" si="54"/>
        <v>0.37801379685552572</v>
      </c>
      <c r="AB29" s="115">
        <f t="shared" si="54"/>
        <v>0.37801379685552572</v>
      </c>
      <c r="AC29" s="115">
        <f t="shared" si="54"/>
        <v>0.37801379685552572</v>
      </c>
      <c r="AD29" s="115">
        <f t="shared" si="54"/>
        <v>0.37801379685552572</v>
      </c>
      <c r="AE29" s="115">
        <f t="shared" si="54"/>
        <v>0.37801379685552572</v>
      </c>
      <c r="AF29" s="115">
        <f t="shared" si="54"/>
        <v>0.37801379685552572</v>
      </c>
      <c r="AG29" s="116">
        <f t="shared" si="54"/>
        <v>0.37801379685552572</v>
      </c>
      <c r="AH29" s="28"/>
      <c r="AI29" s="28"/>
      <c r="AJ29" s="28"/>
      <c r="AK29" s="28"/>
      <c r="AL29" s="97"/>
      <c r="AM29" s="97"/>
      <c r="AN29" s="28"/>
      <c r="AO29" s="28"/>
      <c r="AP29" s="28"/>
      <c r="AQ29" s="28"/>
      <c r="AR29" s="28"/>
      <c r="AS29" s="28"/>
      <c r="AT29" s="28"/>
      <c r="AU29" s="28"/>
      <c r="AV29" s="28"/>
      <c r="AW29" s="28"/>
      <c r="AX29" s="28"/>
      <c r="AY29" s="28"/>
      <c r="AZ29" s="28"/>
      <c r="BA29" s="28"/>
      <c r="BB29" s="28"/>
      <c r="BC29" s="28"/>
      <c r="BD29" s="28"/>
      <c r="BE29" s="28"/>
    </row>
    <row r="30" spans="2:83" x14ac:dyDescent="0.25">
      <c r="B30" s="82" t="s">
        <v>6</v>
      </c>
      <c r="C30" s="83" t="s">
        <v>23</v>
      </c>
      <c r="D30" s="117"/>
      <c r="E30" s="118">
        <f>(VLOOKUP(C30,[1]NWS_Input!$B$22:$E$32,'Water Demand Criteria'!G$40,FALSE))/VLOOKUP(C30,[1]NWS_Input!$B$8:$E$18,G$40,FALSE)</f>
        <v>0.30419386834227874</v>
      </c>
      <c r="F30" s="119">
        <f>VLOOKUP(C30,[1]NWS_Input!$B$22:$E$32,'Water Demand Criteria'!H$40,FALSE)/VLOOKUP(C30,[1]NWS_Input!$B$8:$E$18,H$40,FALSE)</f>
        <v>0.37158973879832197</v>
      </c>
      <c r="G30" s="120">
        <f>(VLOOKUP(C30,[1]NWS_Input!$B$22:$E$32,'Water Demand Criteria'!G$40,FALSE)+VLOOKUP(C30,[1]NWS_Input!$B$22:$E$32,'Water Demand Criteria'!H$40,FALSE))/(VLOOKUP(C30,[1]NWS_Input!$B$8:$E$18,G$40,FALSE)+VLOOKUP(C30,[1]NWS_Input!$B$8:$E$18,H$40,FALSE))</f>
        <v>0.33850226336981998</v>
      </c>
      <c r="H30" s="121">
        <f t="shared" ref="H30:W39" si="55">G30</f>
        <v>0.33850226336981998</v>
      </c>
      <c r="I30" s="121">
        <f t="shared" si="55"/>
        <v>0.33850226336981998</v>
      </c>
      <c r="J30" s="121">
        <f t="shared" si="55"/>
        <v>0.33850226336981998</v>
      </c>
      <c r="K30" s="121">
        <f t="shared" si="55"/>
        <v>0.33850226336981998</v>
      </c>
      <c r="L30" s="121">
        <f t="shared" si="55"/>
        <v>0.33850226336981998</v>
      </c>
      <c r="M30" s="121">
        <f t="shared" si="55"/>
        <v>0.33850226336981998</v>
      </c>
      <c r="N30" s="121">
        <f t="shared" si="55"/>
        <v>0.33850226336981998</v>
      </c>
      <c r="O30" s="121">
        <f t="shared" si="55"/>
        <v>0.33850226336981998</v>
      </c>
      <c r="P30" s="121">
        <f t="shared" si="55"/>
        <v>0.33850226336981998</v>
      </c>
      <c r="Q30" s="121">
        <f t="shared" si="55"/>
        <v>0.33850226336981998</v>
      </c>
      <c r="R30" s="121">
        <f t="shared" si="55"/>
        <v>0.33850226336981998</v>
      </c>
      <c r="S30" s="121">
        <f t="shared" si="55"/>
        <v>0.33850226336981998</v>
      </c>
      <c r="T30" s="121">
        <f t="shared" si="55"/>
        <v>0.33850226336981998</v>
      </c>
      <c r="U30" s="121">
        <f t="shared" si="55"/>
        <v>0.33850226336981998</v>
      </c>
      <c r="V30" s="121">
        <f t="shared" si="55"/>
        <v>0.33850226336981998</v>
      </c>
      <c r="W30" s="121">
        <f t="shared" si="55"/>
        <v>0.33850226336981998</v>
      </c>
      <c r="X30" s="121">
        <f t="shared" si="54"/>
        <v>0.33850226336981998</v>
      </c>
      <c r="Y30" s="121">
        <f t="shared" si="54"/>
        <v>0.33850226336981998</v>
      </c>
      <c r="Z30" s="121">
        <f t="shared" si="54"/>
        <v>0.33850226336981998</v>
      </c>
      <c r="AA30" s="121">
        <f t="shared" si="54"/>
        <v>0.33850226336981998</v>
      </c>
      <c r="AB30" s="121">
        <f t="shared" si="54"/>
        <v>0.33850226336981998</v>
      </c>
      <c r="AC30" s="121">
        <f t="shared" si="54"/>
        <v>0.33850226336981998</v>
      </c>
      <c r="AD30" s="121">
        <f t="shared" si="54"/>
        <v>0.33850226336981998</v>
      </c>
      <c r="AE30" s="121">
        <f t="shared" si="54"/>
        <v>0.33850226336981998</v>
      </c>
      <c r="AF30" s="121">
        <f t="shared" si="54"/>
        <v>0.33850226336981998</v>
      </c>
      <c r="AG30" s="122">
        <f t="shared" si="54"/>
        <v>0.33850226336981998</v>
      </c>
      <c r="AH30" s="28"/>
      <c r="AI30" s="28"/>
      <c r="AJ30" s="28"/>
      <c r="AK30" s="28"/>
      <c r="AL30" s="97"/>
      <c r="AM30" s="97"/>
      <c r="AN30" s="28"/>
      <c r="AO30" s="28"/>
      <c r="AP30" s="28"/>
      <c r="AQ30" s="28"/>
      <c r="AR30" s="28"/>
      <c r="AS30" s="28"/>
      <c r="AT30" s="28"/>
      <c r="AU30" s="28"/>
      <c r="AV30" s="28"/>
      <c r="AW30" s="28"/>
      <c r="AX30" s="28"/>
      <c r="AY30" s="28"/>
      <c r="AZ30" s="28"/>
      <c r="BA30" s="28"/>
      <c r="BB30" s="28"/>
      <c r="BC30" s="28"/>
      <c r="BD30" s="28"/>
      <c r="BE30" s="28"/>
    </row>
    <row r="31" spans="2:83" x14ac:dyDescent="0.25">
      <c r="B31" s="82" t="s">
        <v>7</v>
      </c>
      <c r="C31" s="83" t="s">
        <v>24</v>
      </c>
      <c r="D31" s="117"/>
      <c r="E31" s="118">
        <f>(VLOOKUP(C31,[1]NWS_Input!$B$22:$E$32,'Water Demand Criteria'!G$40,FALSE))/VLOOKUP(C31,[1]NWS_Input!$B$8:$E$18,G$40,FALSE)</f>
        <v>0.19459429467670505</v>
      </c>
      <c r="F31" s="119">
        <f>VLOOKUP(C31,[1]NWS_Input!$B$22:$E$32,'Water Demand Criteria'!H$40,FALSE)/VLOOKUP(C31,[1]NWS_Input!$B$8:$E$18,H$40,FALSE)</f>
        <v>0.20857724902318675</v>
      </c>
      <c r="G31" s="120">
        <f>(VLOOKUP(C31,[1]NWS_Input!$B$22:$E$32,'Water Demand Criteria'!G$40,FALSE)+VLOOKUP(C31,[1]NWS_Input!$B$22:$E$32,'Water Demand Criteria'!H$40,FALSE))/(VLOOKUP(C31,[1]NWS_Input!$B$8:$E$18,G$40,FALSE)+VLOOKUP(C31,[1]NWS_Input!$B$8:$E$18,H$40,FALSE))</f>
        <v>0.2015037451975373</v>
      </c>
      <c r="H31" s="121">
        <f t="shared" si="55"/>
        <v>0.2015037451975373</v>
      </c>
      <c r="I31" s="121">
        <f t="shared" si="55"/>
        <v>0.2015037451975373</v>
      </c>
      <c r="J31" s="121">
        <f t="shared" si="55"/>
        <v>0.2015037451975373</v>
      </c>
      <c r="K31" s="121">
        <f t="shared" si="55"/>
        <v>0.2015037451975373</v>
      </c>
      <c r="L31" s="121">
        <f t="shared" si="55"/>
        <v>0.2015037451975373</v>
      </c>
      <c r="M31" s="121">
        <f t="shared" si="55"/>
        <v>0.2015037451975373</v>
      </c>
      <c r="N31" s="121">
        <f t="shared" si="55"/>
        <v>0.2015037451975373</v>
      </c>
      <c r="O31" s="121">
        <f t="shared" si="55"/>
        <v>0.2015037451975373</v>
      </c>
      <c r="P31" s="121">
        <f t="shared" si="55"/>
        <v>0.2015037451975373</v>
      </c>
      <c r="Q31" s="121">
        <f t="shared" si="55"/>
        <v>0.2015037451975373</v>
      </c>
      <c r="R31" s="121">
        <f t="shared" si="55"/>
        <v>0.2015037451975373</v>
      </c>
      <c r="S31" s="121">
        <f t="shared" si="55"/>
        <v>0.2015037451975373</v>
      </c>
      <c r="T31" s="121">
        <f t="shared" si="55"/>
        <v>0.2015037451975373</v>
      </c>
      <c r="U31" s="121">
        <f t="shared" si="55"/>
        <v>0.2015037451975373</v>
      </c>
      <c r="V31" s="121">
        <f t="shared" si="55"/>
        <v>0.2015037451975373</v>
      </c>
      <c r="W31" s="121">
        <f t="shared" si="55"/>
        <v>0.2015037451975373</v>
      </c>
      <c r="X31" s="121">
        <f t="shared" si="54"/>
        <v>0.2015037451975373</v>
      </c>
      <c r="Y31" s="121">
        <f t="shared" si="54"/>
        <v>0.2015037451975373</v>
      </c>
      <c r="Z31" s="121">
        <f t="shared" si="54"/>
        <v>0.2015037451975373</v>
      </c>
      <c r="AA31" s="121">
        <f t="shared" si="54"/>
        <v>0.2015037451975373</v>
      </c>
      <c r="AB31" s="121">
        <f t="shared" si="54"/>
        <v>0.2015037451975373</v>
      </c>
      <c r="AC31" s="121">
        <f t="shared" si="54"/>
        <v>0.2015037451975373</v>
      </c>
      <c r="AD31" s="121">
        <f t="shared" si="54"/>
        <v>0.2015037451975373</v>
      </c>
      <c r="AE31" s="121">
        <f t="shared" si="54"/>
        <v>0.2015037451975373</v>
      </c>
      <c r="AF31" s="121">
        <f t="shared" si="54"/>
        <v>0.2015037451975373</v>
      </c>
      <c r="AG31" s="122">
        <f t="shared" si="54"/>
        <v>0.2015037451975373</v>
      </c>
      <c r="AH31" s="28"/>
      <c r="AI31" s="28"/>
      <c r="AJ31" s="28"/>
      <c r="AK31" s="28"/>
      <c r="AL31" s="97"/>
      <c r="AM31" s="97"/>
      <c r="AN31" s="28"/>
      <c r="AO31" s="28"/>
      <c r="AP31" s="28"/>
      <c r="AQ31" s="28"/>
      <c r="AR31" s="28"/>
      <c r="AS31" s="28"/>
      <c r="AT31" s="28"/>
      <c r="AU31" s="28"/>
      <c r="AV31" s="28"/>
      <c r="AW31" s="28"/>
      <c r="AX31" s="28"/>
      <c r="AY31" s="28"/>
      <c r="AZ31" s="28"/>
      <c r="BA31" s="28"/>
      <c r="BB31" s="28"/>
      <c r="BC31" s="28"/>
      <c r="BD31" s="28"/>
      <c r="BE31" s="28"/>
    </row>
    <row r="32" spans="2:83" x14ac:dyDescent="0.25">
      <c r="B32" s="82" t="s">
        <v>9</v>
      </c>
      <c r="C32" s="83" t="s">
        <v>25</v>
      </c>
      <c r="D32" s="117"/>
      <c r="E32" s="118">
        <f>(VLOOKUP(C32,[1]NWS_Input!$B$22:$E$32,'Water Demand Criteria'!G$40,FALSE))/VLOOKUP(C32,[1]NWS_Input!$B$8:$E$18,G$40,FALSE)</f>
        <v>0.26638083220384712</v>
      </c>
      <c r="F32" s="119">
        <f>VLOOKUP(C32,[1]NWS_Input!$B$22:$E$32,'Water Demand Criteria'!H$40,FALSE)/VLOOKUP(C32,[1]NWS_Input!$B$8:$E$18,H$40,FALSE)</f>
        <v>0.32400427914838531</v>
      </c>
      <c r="G32" s="120">
        <f>(VLOOKUP(C32,[1]NWS_Input!$B$22:$E$32,'Water Demand Criteria'!G$40,FALSE)+VLOOKUP(C32,[1]NWS_Input!$B$22:$E$32,'Water Demand Criteria'!H$40,FALSE))/(VLOOKUP(C32,[1]NWS_Input!$B$8:$E$18,G$40,FALSE)+VLOOKUP(C32,[1]NWS_Input!$B$8:$E$18,H$40,FALSE))</f>
        <v>0.29442367116166268</v>
      </c>
      <c r="H32" s="121">
        <f t="shared" si="55"/>
        <v>0.29442367116166268</v>
      </c>
      <c r="I32" s="121">
        <f t="shared" si="55"/>
        <v>0.29442367116166268</v>
      </c>
      <c r="J32" s="121">
        <f t="shared" si="55"/>
        <v>0.29442367116166268</v>
      </c>
      <c r="K32" s="121">
        <f t="shared" si="55"/>
        <v>0.29442367116166268</v>
      </c>
      <c r="L32" s="121">
        <f t="shared" si="55"/>
        <v>0.29442367116166268</v>
      </c>
      <c r="M32" s="121">
        <f t="shared" si="55"/>
        <v>0.29442367116166268</v>
      </c>
      <c r="N32" s="121">
        <f t="shared" si="55"/>
        <v>0.29442367116166268</v>
      </c>
      <c r="O32" s="121">
        <f t="shared" si="55"/>
        <v>0.29442367116166268</v>
      </c>
      <c r="P32" s="121">
        <f t="shared" si="55"/>
        <v>0.29442367116166268</v>
      </c>
      <c r="Q32" s="121">
        <f t="shared" si="55"/>
        <v>0.29442367116166268</v>
      </c>
      <c r="R32" s="121">
        <f t="shared" si="55"/>
        <v>0.29442367116166268</v>
      </c>
      <c r="S32" s="121">
        <f t="shared" si="55"/>
        <v>0.29442367116166268</v>
      </c>
      <c r="T32" s="121">
        <f t="shared" si="55"/>
        <v>0.29442367116166268</v>
      </c>
      <c r="U32" s="121">
        <f t="shared" si="55"/>
        <v>0.29442367116166268</v>
      </c>
      <c r="V32" s="121">
        <f t="shared" si="55"/>
        <v>0.29442367116166268</v>
      </c>
      <c r="W32" s="121">
        <f t="shared" si="55"/>
        <v>0.29442367116166268</v>
      </c>
      <c r="X32" s="121">
        <f t="shared" si="54"/>
        <v>0.29442367116166268</v>
      </c>
      <c r="Y32" s="121">
        <f t="shared" si="54"/>
        <v>0.29442367116166268</v>
      </c>
      <c r="Z32" s="121">
        <f t="shared" si="54"/>
        <v>0.29442367116166268</v>
      </c>
      <c r="AA32" s="121">
        <f t="shared" si="54"/>
        <v>0.29442367116166268</v>
      </c>
      <c r="AB32" s="121">
        <f t="shared" si="54"/>
        <v>0.29442367116166268</v>
      </c>
      <c r="AC32" s="121">
        <f t="shared" si="54"/>
        <v>0.29442367116166268</v>
      </c>
      <c r="AD32" s="121">
        <f t="shared" si="54"/>
        <v>0.29442367116166268</v>
      </c>
      <c r="AE32" s="121">
        <f t="shared" si="54"/>
        <v>0.29442367116166268</v>
      </c>
      <c r="AF32" s="121">
        <f t="shared" si="54"/>
        <v>0.29442367116166268</v>
      </c>
      <c r="AG32" s="122">
        <f t="shared" si="54"/>
        <v>0.29442367116166268</v>
      </c>
      <c r="AH32" s="28"/>
      <c r="AI32" s="28"/>
      <c r="AJ32" s="28"/>
      <c r="AK32" s="28"/>
      <c r="AL32" s="97"/>
      <c r="AM32" s="97"/>
      <c r="AN32" s="28"/>
      <c r="AO32" s="28"/>
      <c r="AP32" s="28"/>
      <c r="AQ32" s="28"/>
      <c r="AR32" s="28"/>
      <c r="AS32" s="28"/>
      <c r="AT32" s="28"/>
      <c r="AU32" s="28"/>
      <c r="AV32" s="28"/>
      <c r="AW32" s="28"/>
      <c r="AX32" s="28"/>
      <c r="AY32" s="28"/>
      <c r="AZ32" s="28"/>
      <c r="BA32" s="28"/>
      <c r="BB32" s="28"/>
      <c r="BC32" s="28"/>
      <c r="BD32" s="28"/>
      <c r="BE32" s="28"/>
    </row>
    <row r="33" spans="2:83" x14ac:dyDescent="0.25">
      <c r="B33" s="82" t="s">
        <v>10</v>
      </c>
      <c r="C33" s="83" t="s">
        <v>26</v>
      </c>
      <c r="D33" s="117"/>
      <c r="E33" s="118">
        <f>(VLOOKUP(C33,[1]NWS_Input!$B$22:$E$32,'Water Demand Criteria'!G$40,FALSE))/VLOOKUP(C33,[1]NWS_Input!$B$8:$E$18,G$40,FALSE)</f>
        <v>0.11253975928956966</v>
      </c>
      <c r="F33" s="119">
        <f>VLOOKUP(C33,[1]NWS_Input!$B$22:$E$32,'Water Demand Criteria'!H$40,FALSE)/VLOOKUP(C33,[1]NWS_Input!$B$8:$E$18,H$40,FALSE)</f>
        <v>0.1339225921182613</v>
      </c>
      <c r="G33" s="120">
        <f>(VLOOKUP(C33,[1]NWS_Input!$B$22:$E$32,'Water Demand Criteria'!G$40,FALSE)+VLOOKUP(C33,[1]NWS_Input!$B$22:$E$32,'Water Demand Criteria'!H$40,FALSE))/(VLOOKUP(C33,[1]NWS_Input!$B$8:$E$18,G$40,FALSE)+VLOOKUP(C33,[1]NWS_Input!$B$8:$E$18,H$40,FALSE))</f>
        <v>0.1228367522541325</v>
      </c>
      <c r="H33" s="121">
        <f t="shared" si="55"/>
        <v>0.1228367522541325</v>
      </c>
      <c r="I33" s="121">
        <f t="shared" si="55"/>
        <v>0.1228367522541325</v>
      </c>
      <c r="J33" s="121">
        <f t="shared" si="55"/>
        <v>0.1228367522541325</v>
      </c>
      <c r="K33" s="121">
        <f t="shared" si="55"/>
        <v>0.1228367522541325</v>
      </c>
      <c r="L33" s="121">
        <f t="shared" si="55"/>
        <v>0.1228367522541325</v>
      </c>
      <c r="M33" s="121">
        <f t="shared" si="55"/>
        <v>0.1228367522541325</v>
      </c>
      <c r="N33" s="121">
        <f t="shared" si="55"/>
        <v>0.1228367522541325</v>
      </c>
      <c r="O33" s="121">
        <f t="shared" si="55"/>
        <v>0.1228367522541325</v>
      </c>
      <c r="P33" s="121">
        <f t="shared" si="55"/>
        <v>0.1228367522541325</v>
      </c>
      <c r="Q33" s="121">
        <f t="shared" si="55"/>
        <v>0.1228367522541325</v>
      </c>
      <c r="R33" s="121">
        <f t="shared" si="55"/>
        <v>0.1228367522541325</v>
      </c>
      <c r="S33" s="121">
        <f t="shared" si="55"/>
        <v>0.1228367522541325</v>
      </c>
      <c r="T33" s="121">
        <f t="shared" si="55"/>
        <v>0.1228367522541325</v>
      </c>
      <c r="U33" s="121">
        <f t="shared" si="55"/>
        <v>0.1228367522541325</v>
      </c>
      <c r="V33" s="121">
        <f t="shared" si="55"/>
        <v>0.1228367522541325</v>
      </c>
      <c r="W33" s="121">
        <f t="shared" si="55"/>
        <v>0.1228367522541325</v>
      </c>
      <c r="X33" s="121">
        <f t="shared" si="54"/>
        <v>0.1228367522541325</v>
      </c>
      <c r="Y33" s="121">
        <f t="shared" si="54"/>
        <v>0.1228367522541325</v>
      </c>
      <c r="Z33" s="121">
        <f t="shared" si="54"/>
        <v>0.1228367522541325</v>
      </c>
      <c r="AA33" s="121">
        <f t="shared" si="54"/>
        <v>0.1228367522541325</v>
      </c>
      <c r="AB33" s="121">
        <f t="shared" si="54"/>
        <v>0.1228367522541325</v>
      </c>
      <c r="AC33" s="121">
        <f t="shared" si="54"/>
        <v>0.1228367522541325</v>
      </c>
      <c r="AD33" s="121">
        <f t="shared" si="54"/>
        <v>0.1228367522541325</v>
      </c>
      <c r="AE33" s="121">
        <f t="shared" si="54"/>
        <v>0.1228367522541325</v>
      </c>
      <c r="AF33" s="121">
        <f t="shared" si="54"/>
        <v>0.1228367522541325</v>
      </c>
      <c r="AG33" s="122">
        <f t="shared" si="54"/>
        <v>0.1228367522541325</v>
      </c>
      <c r="AH33" s="28"/>
      <c r="AI33" s="28"/>
      <c r="AJ33" s="28"/>
      <c r="AK33" s="28"/>
      <c r="AL33" s="97"/>
      <c r="AM33" s="97"/>
      <c r="AN33" s="28"/>
      <c r="AO33" s="28"/>
      <c r="AP33" s="28"/>
      <c r="AQ33" s="28"/>
      <c r="AR33" s="28"/>
      <c r="AS33" s="28"/>
      <c r="AT33" s="28"/>
      <c r="AU33" s="28"/>
      <c r="AV33" s="28"/>
      <c r="AW33" s="28"/>
      <c r="AX33" s="28"/>
      <c r="AY33" s="28"/>
      <c r="AZ33" s="28"/>
      <c r="BA33" s="28"/>
      <c r="BB33" s="28"/>
      <c r="BC33" s="28"/>
      <c r="BD33" s="28"/>
      <c r="BE33" s="28"/>
    </row>
    <row r="34" spans="2:83" x14ac:dyDescent="0.25">
      <c r="B34" s="82" t="s">
        <v>12</v>
      </c>
      <c r="C34" s="83" t="s">
        <v>27</v>
      </c>
      <c r="D34" s="117"/>
      <c r="E34" s="118">
        <f>(VLOOKUP(C34,[1]NWS_Input!$B$22:$E$32,'Water Demand Criteria'!G$40,FALSE))/VLOOKUP(C34,[1]NWS_Input!$B$8:$E$18,G$40,FALSE)</f>
        <v>9.5789149677083976E-2</v>
      </c>
      <c r="F34" s="119">
        <f>VLOOKUP(C34,[1]NWS_Input!$B$22:$E$32,'Water Demand Criteria'!H$40,FALSE)/VLOOKUP(C34,[1]NWS_Input!$B$8:$E$18,H$40,FALSE)</f>
        <v>0.10793851074227448</v>
      </c>
      <c r="G34" s="120">
        <f>(VLOOKUP(C34,[1]NWS_Input!$B$22:$E$32,'Water Demand Criteria'!G$40,FALSE)+VLOOKUP(C34,[1]NWS_Input!$B$22:$E$32,'Water Demand Criteria'!H$40,FALSE))/(VLOOKUP(C34,[1]NWS_Input!$B$8:$E$18,G$40,FALSE)+VLOOKUP(C34,[1]NWS_Input!$B$8:$E$18,H$40,FALSE))</f>
        <v>0.101879364025141</v>
      </c>
      <c r="H34" s="121">
        <f t="shared" si="55"/>
        <v>0.101879364025141</v>
      </c>
      <c r="I34" s="121">
        <f t="shared" si="55"/>
        <v>0.101879364025141</v>
      </c>
      <c r="J34" s="121">
        <f t="shared" si="55"/>
        <v>0.101879364025141</v>
      </c>
      <c r="K34" s="121">
        <f t="shared" si="55"/>
        <v>0.101879364025141</v>
      </c>
      <c r="L34" s="121">
        <f t="shared" si="55"/>
        <v>0.101879364025141</v>
      </c>
      <c r="M34" s="121">
        <f t="shared" si="55"/>
        <v>0.101879364025141</v>
      </c>
      <c r="N34" s="121">
        <f t="shared" si="55"/>
        <v>0.101879364025141</v>
      </c>
      <c r="O34" s="121">
        <f t="shared" si="55"/>
        <v>0.101879364025141</v>
      </c>
      <c r="P34" s="121">
        <f t="shared" si="55"/>
        <v>0.101879364025141</v>
      </c>
      <c r="Q34" s="121">
        <f t="shared" si="55"/>
        <v>0.101879364025141</v>
      </c>
      <c r="R34" s="121">
        <f t="shared" si="55"/>
        <v>0.101879364025141</v>
      </c>
      <c r="S34" s="121">
        <f t="shared" si="55"/>
        <v>0.101879364025141</v>
      </c>
      <c r="T34" s="121">
        <f t="shared" si="55"/>
        <v>0.101879364025141</v>
      </c>
      <c r="U34" s="121">
        <f t="shared" si="55"/>
        <v>0.101879364025141</v>
      </c>
      <c r="V34" s="121">
        <f t="shared" si="55"/>
        <v>0.101879364025141</v>
      </c>
      <c r="W34" s="121">
        <f t="shared" si="55"/>
        <v>0.101879364025141</v>
      </c>
      <c r="X34" s="121">
        <f t="shared" si="54"/>
        <v>0.101879364025141</v>
      </c>
      <c r="Y34" s="121">
        <f t="shared" si="54"/>
        <v>0.101879364025141</v>
      </c>
      <c r="Z34" s="121">
        <f t="shared" si="54"/>
        <v>0.101879364025141</v>
      </c>
      <c r="AA34" s="121">
        <f t="shared" si="54"/>
        <v>0.101879364025141</v>
      </c>
      <c r="AB34" s="121">
        <f t="shared" si="54"/>
        <v>0.101879364025141</v>
      </c>
      <c r="AC34" s="121">
        <f t="shared" si="54"/>
        <v>0.101879364025141</v>
      </c>
      <c r="AD34" s="121">
        <f t="shared" si="54"/>
        <v>0.101879364025141</v>
      </c>
      <c r="AE34" s="121">
        <f t="shared" si="54"/>
        <v>0.101879364025141</v>
      </c>
      <c r="AF34" s="121">
        <f t="shared" si="54"/>
        <v>0.101879364025141</v>
      </c>
      <c r="AG34" s="122">
        <f t="shared" si="54"/>
        <v>0.101879364025141</v>
      </c>
      <c r="AH34" s="28"/>
      <c r="AI34" s="28"/>
      <c r="AJ34" s="28"/>
      <c r="AK34" s="28"/>
      <c r="AL34" s="97"/>
      <c r="AM34" s="97"/>
      <c r="AN34" s="28"/>
      <c r="AO34" s="28"/>
      <c r="AP34" s="28"/>
      <c r="AQ34" s="28"/>
      <c r="AR34" s="28"/>
      <c r="AS34" s="28"/>
      <c r="AT34" s="28"/>
      <c r="AU34" s="28"/>
      <c r="AV34" s="28"/>
      <c r="AW34" s="28"/>
      <c r="AX34" s="28"/>
      <c r="AY34" s="28"/>
      <c r="AZ34" s="28"/>
      <c r="BA34" s="28"/>
      <c r="BB34" s="28"/>
      <c r="BC34" s="28"/>
      <c r="BD34" s="28"/>
      <c r="BE34" s="28"/>
    </row>
    <row r="35" spans="2:83" x14ac:dyDescent="0.25">
      <c r="B35" s="82" t="s">
        <v>13</v>
      </c>
      <c r="C35" s="83" t="s">
        <v>28</v>
      </c>
      <c r="D35" s="117"/>
      <c r="E35" s="118">
        <f>(VLOOKUP(C35,[1]NWS_Input!$B$22:$E$32,'Water Demand Criteria'!G$40,FALSE))/VLOOKUP(C35,[1]NWS_Input!$B$8:$E$18,G$40,FALSE)</f>
        <v>0.11400224719559843</v>
      </c>
      <c r="F35" s="119">
        <f>VLOOKUP(C35,[1]NWS_Input!$B$22:$E$32,'Water Demand Criteria'!H$40,FALSE)/VLOOKUP(C35,[1]NWS_Input!$B$8:$E$18,H$40,FALSE)</f>
        <v>0.11424541292876202</v>
      </c>
      <c r="G35" s="120">
        <f>(VLOOKUP(C35,[1]NWS_Input!$B$22:$E$32,'Water Demand Criteria'!G$40,FALSE)+VLOOKUP(C35,[1]NWS_Input!$B$22:$E$32,'Water Demand Criteria'!H$40,FALSE))/(VLOOKUP(C35,[1]NWS_Input!$B$8:$E$18,G$40,FALSE)+VLOOKUP(C35,[1]NWS_Input!$B$8:$E$18,H$40,FALSE))</f>
        <v>0.11412311047548677</v>
      </c>
      <c r="H35" s="121">
        <f t="shared" si="55"/>
        <v>0.11412311047548677</v>
      </c>
      <c r="I35" s="121">
        <f t="shared" si="55"/>
        <v>0.11412311047548677</v>
      </c>
      <c r="J35" s="121">
        <f t="shared" si="55"/>
        <v>0.11412311047548677</v>
      </c>
      <c r="K35" s="121">
        <f t="shared" si="55"/>
        <v>0.11412311047548677</v>
      </c>
      <c r="L35" s="121">
        <f t="shared" si="55"/>
        <v>0.11412311047548677</v>
      </c>
      <c r="M35" s="121">
        <f t="shared" si="55"/>
        <v>0.11412311047548677</v>
      </c>
      <c r="N35" s="121">
        <f t="shared" si="55"/>
        <v>0.11412311047548677</v>
      </c>
      <c r="O35" s="121">
        <f t="shared" si="55"/>
        <v>0.11412311047548677</v>
      </c>
      <c r="P35" s="121">
        <f t="shared" si="55"/>
        <v>0.11412311047548677</v>
      </c>
      <c r="Q35" s="121">
        <f t="shared" si="55"/>
        <v>0.11412311047548677</v>
      </c>
      <c r="R35" s="121">
        <f t="shared" si="55"/>
        <v>0.11412311047548677</v>
      </c>
      <c r="S35" s="121">
        <f t="shared" si="55"/>
        <v>0.11412311047548677</v>
      </c>
      <c r="T35" s="121">
        <f t="shared" si="55"/>
        <v>0.11412311047548677</v>
      </c>
      <c r="U35" s="121">
        <f t="shared" si="55"/>
        <v>0.11412311047548677</v>
      </c>
      <c r="V35" s="121">
        <f t="shared" si="55"/>
        <v>0.11412311047548677</v>
      </c>
      <c r="W35" s="121">
        <f t="shared" si="55"/>
        <v>0.11412311047548677</v>
      </c>
      <c r="X35" s="121">
        <f t="shared" si="54"/>
        <v>0.11412311047548677</v>
      </c>
      <c r="Y35" s="121">
        <f t="shared" si="54"/>
        <v>0.11412311047548677</v>
      </c>
      <c r="Z35" s="121">
        <f t="shared" si="54"/>
        <v>0.11412311047548677</v>
      </c>
      <c r="AA35" s="121">
        <f t="shared" si="54"/>
        <v>0.11412311047548677</v>
      </c>
      <c r="AB35" s="121">
        <f t="shared" si="54"/>
        <v>0.11412311047548677</v>
      </c>
      <c r="AC35" s="121">
        <f t="shared" si="54"/>
        <v>0.11412311047548677</v>
      </c>
      <c r="AD35" s="121">
        <f t="shared" si="54"/>
        <v>0.11412311047548677</v>
      </c>
      <c r="AE35" s="121">
        <f t="shared" si="54"/>
        <v>0.11412311047548677</v>
      </c>
      <c r="AF35" s="121">
        <f t="shared" si="54"/>
        <v>0.11412311047548677</v>
      </c>
      <c r="AG35" s="122">
        <f t="shared" si="54"/>
        <v>0.11412311047548677</v>
      </c>
      <c r="AH35" s="28"/>
      <c r="AI35" s="28"/>
      <c r="AJ35" s="28"/>
      <c r="AK35" s="28"/>
      <c r="AL35" s="97"/>
      <c r="AM35" s="97"/>
      <c r="AN35" s="28"/>
      <c r="AO35" s="28"/>
      <c r="AP35" s="28"/>
      <c r="AQ35" s="28"/>
      <c r="AR35" s="28"/>
      <c r="AS35" s="28"/>
      <c r="AT35" s="28"/>
      <c r="AU35" s="28"/>
      <c r="AV35" s="28"/>
      <c r="AW35" s="28"/>
      <c r="AX35" s="28"/>
      <c r="AY35" s="28"/>
      <c r="AZ35" s="28"/>
      <c r="BA35" s="28"/>
      <c r="BB35" s="28"/>
      <c r="BC35" s="28"/>
      <c r="BD35" s="28"/>
      <c r="BE35" s="28"/>
    </row>
    <row r="36" spans="2:83" x14ac:dyDescent="0.25">
      <c r="B36" s="82" t="s">
        <v>14</v>
      </c>
      <c r="C36" s="83" t="s">
        <v>29</v>
      </c>
      <c r="D36" s="117"/>
      <c r="E36" s="118">
        <f>(VLOOKUP(C36,[1]NWS_Input!$B$22:$E$32,'Water Demand Criteria'!G$40,FALSE))/VLOOKUP(C36,[1]NWS_Input!$B$8:$E$18,G$40,FALSE)</f>
        <v>0.12663557538255893</v>
      </c>
      <c r="F36" s="119">
        <f>VLOOKUP(C36,[1]NWS_Input!$B$22:$E$32,'Water Demand Criteria'!H$40,FALSE)/VLOOKUP(C36,[1]NWS_Input!$B$8:$E$18,H$40,FALSE)</f>
        <v>0.1544367792379269</v>
      </c>
      <c r="G36" s="120">
        <f>(VLOOKUP(C36,[1]NWS_Input!$B$22:$E$32,'Water Demand Criteria'!G$40,FALSE)+VLOOKUP(C36,[1]NWS_Input!$B$22:$E$32,'Water Demand Criteria'!H$40,FALSE))/(VLOOKUP(C36,[1]NWS_Input!$B$8:$E$18,G$40,FALSE)+VLOOKUP(C36,[1]NWS_Input!$B$8:$E$18,H$40,FALSE))</f>
        <v>0.14058120049104386</v>
      </c>
      <c r="H36" s="121">
        <f t="shared" si="55"/>
        <v>0.14058120049104386</v>
      </c>
      <c r="I36" s="121">
        <f t="shared" si="55"/>
        <v>0.14058120049104386</v>
      </c>
      <c r="J36" s="121">
        <f t="shared" si="55"/>
        <v>0.14058120049104386</v>
      </c>
      <c r="K36" s="121">
        <f t="shared" si="55"/>
        <v>0.14058120049104386</v>
      </c>
      <c r="L36" s="121">
        <f t="shared" si="55"/>
        <v>0.14058120049104386</v>
      </c>
      <c r="M36" s="121">
        <f t="shared" si="55"/>
        <v>0.14058120049104386</v>
      </c>
      <c r="N36" s="121">
        <f t="shared" si="55"/>
        <v>0.14058120049104386</v>
      </c>
      <c r="O36" s="121">
        <f t="shared" si="55"/>
        <v>0.14058120049104386</v>
      </c>
      <c r="P36" s="121">
        <f t="shared" si="55"/>
        <v>0.14058120049104386</v>
      </c>
      <c r="Q36" s="121">
        <f t="shared" si="55"/>
        <v>0.14058120049104386</v>
      </c>
      <c r="R36" s="121">
        <f t="shared" si="55"/>
        <v>0.14058120049104386</v>
      </c>
      <c r="S36" s="121">
        <f t="shared" si="55"/>
        <v>0.14058120049104386</v>
      </c>
      <c r="T36" s="121">
        <f t="shared" si="55"/>
        <v>0.14058120049104386</v>
      </c>
      <c r="U36" s="121">
        <f t="shared" si="55"/>
        <v>0.14058120049104386</v>
      </c>
      <c r="V36" s="121">
        <f t="shared" si="55"/>
        <v>0.14058120049104386</v>
      </c>
      <c r="W36" s="121">
        <f t="shared" si="55"/>
        <v>0.14058120049104386</v>
      </c>
      <c r="X36" s="121">
        <f t="shared" si="54"/>
        <v>0.14058120049104386</v>
      </c>
      <c r="Y36" s="121">
        <f t="shared" si="54"/>
        <v>0.14058120049104386</v>
      </c>
      <c r="Z36" s="121">
        <f t="shared" si="54"/>
        <v>0.14058120049104386</v>
      </c>
      <c r="AA36" s="121">
        <f t="shared" si="54"/>
        <v>0.14058120049104386</v>
      </c>
      <c r="AB36" s="121">
        <f t="shared" si="54"/>
        <v>0.14058120049104386</v>
      </c>
      <c r="AC36" s="121">
        <f t="shared" si="54"/>
        <v>0.14058120049104386</v>
      </c>
      <c r="AD36" s="121">
        <f t="shared" si="54"/>
        <v>0.14058120049104386</v>
      </c>
      <c r="AE36" s="121">
        <f t="shared" si="54"/>
        <v>0.14058120049104386</v>
      </c>
      <c r="AF36" s="121">
        <f t="shared" si="54"/>
        <v>0.14058120049104386</v>
      </c>
      <c r="AG36" s="122">
        <f t="shared" si="54"/>
        <v>0.14058120049104386</v>
      </c>
      <c r="AH36" s="28"/>
      <c r="AI36" s="28"/>
      <c r="AJ36" s="28"/>
      <c r="AK36" s="28"/>
      <c r="AL36" s="97"/>
      <c r="AM36" s="97"/>
      <c r="AN36" s="28"/>
      <c r="AO36" s="28"/>
      <c r="AP36" s="28"/>
      <c r="AQ36" s="28"/>
      <c r="AR36" s="28"/>
      <c r="AS36" s="28"/>
      <c r="AT36" s="28"/>
      <c r="AU36" s="28"/>
      <c r="AV36" s="28"/>
      <c r="AW36" s="28"/>
      <c r="AX36" s="28"/>
      <c r="AY36" s="28"/>
      <c r="AZ36" s="28"/>
      <c r="BA36" s="28"/>
      <c r="BB36" s="28"/>
      <c r="BC36" s="28"/>
      <c r="BD36" s="28"/>
      <c r="BE36" s="28"/>
    </row>
    <row r="37" spans="2:83" x14ac:dyDescent="0.2">
      <c r="B37" s="82" t="s">
        <v>16</v>
      </c>
      <c r="C37" s="83" t="s">
        <v>30</v>
      </c>
      <c r="D37" s="117"/>
      <c r="E37" s="118">
        <f>(VLOOKUP(C37,[1]NWS_Input!$B$22:$E$32,'Water Demand Criteria'!G$40,FALSE))/VLOOKUP(C37,[1]NWS_Input!$B$8:$E$18,G$40,FALSE)</f>
        <v>0.13545223057973751</v>
      </c>
      <c r="F37" s="119">
        <f>VLOOKUP(C37,[1]NWS_Input!$B$22:$E$32,'Water Demand Criteria'!H$40,FALSE)/VLOOKUP(C37,[1]NWS_Input!$B$8:$E$18,H$40,FALSE)</f>
        <v>0.14481925082399036</v>
      </c>
      <c r="G37" s="120">
        <f>(VLOOKUP(C37,[1]NWS_Input!$B$22:$E$32,'Water Demand Criteria'!G$40,FALSE)+VLOOKUP(C37,[1]NWS_Input!$B$22:$E$32,'Water Demand Criteria'!H$40,FALSE))/(VLOOKUP(C37,[1]NWS_Input!$B$8:$E$18,G$40,FALSE)+VLOOKUP(C37,[1]NWS_Input!$B$8:$E$18,H$40,FALSE))</f>
        <v>0.14013866471295033</v>
      </c>
      <c r="H37" s="121">
        <f t="shared" si="55"/>
        <v>0.14013866471295033</v>
      </c>
      <c r="I37" s="121">
        <f t="shared" si="55"/>
        <v>0.14013866471295033</v>
      </c>
      <c r="J37" s="121">
        <f t="shared" si="55"/>
        <v>0.14013866471295033</v>
      </c>
      <c r="K37" s="121">
        <f t="shared" si="55"/>
        <v>0.14013866471295033</v>
      </c>
      <c r="L37" s="121">
        <f t="shared" si="55"/>
        <v>0.14013866471295033</v>
      </c>
      <c r="M37" s="121">
        <f t="shared" si="55"/>
        <v>0.14013866471295033</v>
      </c>
      <c r="N37" s="121">
        <f t="shared" si="55"/>
        <v>0.14013866471295033</v>
      </c>
      <c r="O37" s="121">
        <f t="shared" si="55"/>
        <v>0.14013866471295033</v>
      </c>
      <c r="P37" s="121">
        <f t="shared" si="55"/>
        <v>0.14013866471295033</v>
      </c>
      <c r="Q37" s="121">
        <f t="shared" si="55"/>
        <v>0.14013866471295033</v>
      </c>
      <c r="R37" s="121">
        <f t="shared" si="55"/>
        <v>0.14013866471295033</v>
      </c>
      <c r="S37" s="121">
        <f t="shared" si="55"/>
        <v>0.14013866471295033</v>
      </c>
      <c r="T37" s="121">
        <f t="shared" si="55"/>
        <v>0.14013866471295033</v>
      </c>
      <c r="U37" s="121">
        <f t="shared" si="55"/>
        <v>0.14013866471295033</v>
      </c>
      <c r="V37" s="121">
        <f t="shared" si="55"/>
        <v>0.14013866471295033</v>
      </c>
      <c r="W37" s="121">
        <f t="shared" si="55"/>
        <v>0.14013866471295033</v>
      </c>
      <c r="X37" s="121">
        <f t="shared" si="54"/>
        <v>0.14013866471295033</v>
      </c>
      <c r="Y37" s="121">
        <f t="shared" si="54"/>
        <v>0.14013866471295033</v>
      </c>
      <c r="Z37" s="121">
        <f t="shared" si="54"/>
        <v>0.14013866471295033</v>
      </c>
      <c r="AA37" s="121">
        <f t="shared" si="54"/>
        <v>0.14013866471295033</v>
      </c>
      <c r="AB37" s="121">
        <f t="shared" si="54"/>
        <v>0.14013866471295033</v>
      </c>
      <c r="AC37" s="121">
        <f t="shared" si="54"/>
        <v>0.14013866471295033</v>
      </c>
      <c r="AD37" s="121">
        <f t="shared" si="54"/>
        <v>0.14013866471295033</v>
      </c>
      <c r="AE37" s="121">
        <f t="shared" si="54"/>
        <v>0.14013866471295033</v>
      </c>
      <c r="AF37" s="121">
        <f t="shared" si="54"/>
        <v>0.14013866471295033</v>
      </c>
      <c r="AG37" s="122">
        <f t="shared" si="54"/>
        <v>0.14013866471295033</v>
      </c>
      <c r="AH37" s="122">
        <f t="shared" ref="AH37" si="56">AG37</f>
        <v>0.14013866471295033</v>
      </c>
      <c r="AI37" s="122">
        <f t="shared" ref="AI37" si="57">AH37</f>
        <v>0.14013866471295033</v>
      </c>
      <c r="AJ37" s="122">
        <f t="shared" ref="AJ37" si="58">AI37</f>
        <v>0.14013866471295033</v>
      </c>
      <c r="AK37" s="122">
        <f t="shared" ref="AK37" si="59">AJ37</f>
        <v>0.14013866471295033</v>
      </c>
      <c r="AL37" s="122">
        <f t="shared" ref="AL37" si="60">AK37</f>
        <v>0.14013866471295033</v>
      </c>
      <c r="AM37" s="122">
        <f t="shared" ref="AM37" si="61">AL37</f>
        <v>0.14013866471295033</v>
      </c>
      <c r="AN37" s="122">
        <f t="shared" ref="AN37" si="62">AM37</f>
        <v>0.14013866471295033</v>
      </c>
      <c r="AO37" s="122">
        <f t="shared" ref="AO37" si="63">AN37</f>
        <v>0.14013866471295033</v>
      </c>
      <c r="AP37" s="122">
        <f t="shared" ref="AP37" si="64">AO37</f>
        <v>0.14013866471295033</v>
      </c>
      <c r="AQ37" s="122">
        <f t="shared" ref="AQ37" si="65">AP37</f>
        <v>0.14013866471295033</v>
      </c>
      <c r="AR37" s="122">
        <f t="shared" ref="AR37" si="66">AQ37</f>
        <v>0.14013866471295033</v>
      </c>
      <c r="AS37" s="122">
        <f t="shared" ref="AS37" si="67">AR37</f>
        <v>0.14013866471295033</v>
      </c>
      <c r="AT37" s="122">
        <f t="shared" ref="AT37" si="68">AS37</f>
        <v>0.14013866471295033</v>
      </c>
      <c r="AU37" s="122">
        <f t="shared" ref="AU37" si="69">AT37</f>
        <v>0.14013866471295033</v>
      </c>
      <c r="AV37" s="122">
        <f t="shared" ref="AV37" si="70">AU37</f>
        <v>0.14013866471295033</v>
      </c>
      <c r="AW37" s="122">
        <f t="shared" ref="AW37" si="71">AV37</f>
        <v>0.14013866471295033</v>
      </c>
      <c r="AX37" s="122">
        <f t="shared" ref="AX37" si="72">AW37</f>
        <v>0.14013866471295033</v>
      </c>
      <c r="AY37" s="122">
        <f t="shared" ref="AY37" si="73">AX37</f>
        <v>0.14013866471295033</v>
      </c>
      <c r="AZ37" s="122">
        <f t="shared" ref="AZ37" si="74">AY37</f>
        <v>0.14013866471295033</v>
      </c>
      <c r="BA37" s="122">
        <f t="shared" ref="BA37" si="75">AZ37</f>
        <v>0.14013866471295033</v>
      </c>
      <c r="BB37" s="122">
        <f t="shared" ref="BB37" si="76">BA37</f>
        <v>0.14013866471295033</v>
      </c>
      <c r="BC37" s="122">
        <f t="shared" ref="BC37" si="77">BB37</f>
        <v>0.14013866471295033</v>
      </c>
      <c r="BD37" s="122">
        <f t="shared" ref="BD37" si="78">BC37</f>
        <v>0.14013866471295033</v>
      </c>
      <c r="BE37" s="122">
        <f t="shared" ref="BE37" si="79">BD37</f>
        <v>0.14013866471295033</v>
      </c>
      <c r="BF37" s="122">
        <f t="shared" ref="BF37" si="80">BE37</f>
        <v>0.14013866471295033</v>
      </c>
      <c r="BG37" s="122">
        <f t="shared" ref="BG37" si="81">BF37</f>
        <v>0.14013866471295033</v>
      </c>
      <c r="BH37" s="122">
        <f t="shared" ref="BH37" si="82">BG37</f>
        <v>0.14013866471295033</v>
      </c>
      <c r="BI37" s="122">
        <f t="shared" ref="BI37" si="83">BH37</f>
        <v>0.14013866471295033</v>
      </c>
      <c r="BJ37" s="122">
        <f t="shared" ref="BJ37" si="84">BI37</f>
        <v>0.14013866471295033</v>
      </c>
      <c r="BK37" s="122">
        <f t="shared" ref="BK37" si="85">BJ37</f>
        <v>0.14013866471295033</v>
      </c>
      <c r="BL37" s="122">
        <f t="shared" ref="BL37" si="86">BK37</f>
        <v>0.14013866471295033</v>
      </c>
      <c r="BM37" s="122">
        <f t="shared" ref="BM37" si="87">BL37</f>
        <v>0.14013866471295033</v>
      </c>
      <c r="BN37" s="122">
        <f t="shared" ref="BN37" si="88">BM37</f>
        <v>0.14013866471295033</v>
      </c>
      <c r="BO37" s="122">
        <f t="shared" ref="BO37" si="89">BN37</f>
        <v>0.14013866471295033</v>
      </c>
      <c r="BP37" s="122">
        <f t="shared" ref="BP37" si="90">BO37</f>
        <v>0.14013866471295033</v>
      </c>
      <c r="BQ37" s="122">
        <f t="shared" ref="BQ37" si="91">BP37</f>
        <v>0.14013866471295033</v>
      </c>
      <c r="BR37" s="122">
        <f t="shared" ref="BR37" si="92">BQ37</f>
        <v>0.14013866471295033</v>
      </c>
      <c r="BS37" s="122">
        <f t="shared" ref="BS37" si="93">BR37</f>
        <v>0.14013866471295033</v>
      </c>
      <c r="BT37" s="122">
        <f t="shared" ref="BT37" si="94">BS37</f>
        <v>0.14013866471295033</v>
      </c>
      <c r="BU37" s="122">
        <f t="shared" ref="BU37" si="95">BT37</f>
        <v>0.14013866471295033</v>
      </c>
      <c r="BV37" s="122">
        <f t="shared" ref="BV37" si="96">BU37</f>
        <v>0.14013866471295033</v>
      </c>
      <c r="BW37" s="122">
        <f t="shared" ref="BW37" si="97">BV37</f>
        <v>0.14013866471295033</v>
      </c>
      <c r="BX37" s="122">
        <f t="shared" ref="BX37" si="98">BW37</f>
        <v>0.14013866471295033</v>
      </c>
      <c r="BY37" s="122">
        <f t="shared" ref="BY37" si="99">BX37</f>
        <v>0.14013866471295033</v>
      </c>
      <c r="BZ37" s="122">
        <f t="shared" ref="BZ37" si="100">BY37</f>
        <v>0.14013866471295033</v>
      </c>
      <c r="CA37" s="122">
        <f t="shared" ref="CA37" si="101">BZ37</f>
        <v>0.14013866471295033</v>
      </c>
      <c r="CB37" s="122">
        <f t="shared" ref="CB37" si="102">CA37</f>
        <v>0.14013866471295033</v>
      </c>
      <c r="CC37" s="122">
        <f t="shared" ref="CC37" si="103">CB37</f>
        <v>0.14013866471295033</v>
      </c>
      <c r="CD37" s="122">
        <f t="shared" ref="CD37" si="104">CC37</f>
        <v>0.14013866471295033</v>
      </c>
      <c r="CE37" s="122">
        <f t="shared" ref="CE37" si="105">CD37</f>
        <v>0.14013866471295033</v>
      </c>
    </row>
    <row r="38" spans="2:83" ht="15.75" thickBot="1" x14ac:dyDescent="0.3">
      <c r="B38" s="98" t="s">
        <v>19</v>
      </c>
      <c r="C38" s="99" t="s">
        <v>31</v>
      </c>
      <c r="D38" s="117"/>
      <c r="E38" s="118">
        <f>(VLOOKUP(C38,[1]NWS_Input!$B$22:$E$32,'Water Demand Criteria'!G$40,FALSE))/VLOOKUP(C38,[1]NWS_Input!$B$8:$E$18,G$40,FALSE)</f>
        <v>-9.5113147551527291E-2</v>
      </c>
      <c r="F38" s="119">
        <f>VLOOKUP(C38,[1]NWS_Input!$B$22:$E$32,'Water Demand Criteria'!H$40,FALSE)/VLOOKUP(C38,[1]NWS_Input!$B$8:$E$18,H$40,FALSE)</f>
        <v>0.20814953319580098</v>
      </c>
      <c r="G38" s="123">
        <f>VLOOKUP(C38,[1]NWS_Input!$B$22:$E$32,'Water Demand Criteria'!H$40,FALSE)/VLOOKUP(C38,[1]NWS_Input!$B$8:$E$18,H$40,FALSE)</f>
        <v>0.20814953319580098</v>
      </c>
      <c r="H38" s="121">
        <f t="shared" si="55"/>
        <v>0.20814953319580098</v>
      </c>
      <c r="I38" s="121">
        <f t="shared" si="55"/>
        <v>0.20814953319580098</v>
      </c>
      <c r="J38" s="121">
        <f t="shared" si="55"/>
        <v>0.20814953319580098</v>
      </c>
      <c r="K38" s="121">
        <f t="shared" si="55"/>
        <v>0.20814953319580098</v>
      </c>
      <c r="L38" s="121">
        <f t="shared" si="55"/>
        <v>0.20814953319580098</v>
      </c>
      <c r="M38" s="121">
        <f t="shared" si="55"/>
        <v>0.20814953319580098</v>
      </c>
      <c r="N38" s="121">
        <f t="shared" si="55"/>
        <v>0.20814953319580098</v>
      </c>
      <c r="O38" s="121">
        <f t="shared" si="55"/>
        <v>0.20814953319580098</v>
      </c>
      <c r="P38" s="121">
        <f t="shared" si="55"/>
        <v>0.20814953319580098</v>
      </c>
      <c r="Q38" s="121">
        <f t="shared" si="55"/>
        <v>0.20814953319580098</v>
      </c>
      <c r="R38" s="121">
        <f t="shared" si="55"/>
        <v>0.20814953319580098</v>
      </c>
      <c r="S38" s="121">
        <f t="shared" si="55"/>
        <v>0.20814953319580098</v>
      </c>
      <c r="T38" s="121">
        <f t="shared" si="55"/>
        <v>0.20814953319580098</v>
      </c>
      <c r="U38" s="121">
        <f t="shared" si="55"/>
        <v>0.20814953319580098</v>
      </c>
      <c r="V38" s="121">
        <f t="shared" si="55"/>
        <v>0.20814953319580098</v>
      </c>
      <c r="W38" s="121">
        <f t="shared" si="55"/>
        <v>0.20814953319580098</v>
      </c>
      <c r="X38" s="121">
        <f t="shared" si="54"/>
        <v>0.20814953319580098</v>
      </c>
      <c r="Y38" s="121">
        <f t="shared" si="54"/>
        <v>0.20814953319580098</v>
      </c>
      <c r="Z38" s="121">
        <f t="shared" si="54"/>
        <v>0.20814953319580098</v>
      </c>
      <c r="AA38" s="121">
        <f t="shared" si="54"/>
        <v>0.20814953319580098</v>
      </c>
      <c r="AB38" s="121">
        <f t="shared" si="54"/>
        <v>0.20814953319580098</v>
      </c>
      <c r="AC38" s="121">
        <f t="shared" si="54"/>
        <v>0.20814953319580098</v>
      </c>
      <c r="AD38" s="121">
        <f t="shared" si="54"/>
        <v>0.20814953319580098</v>
      </c>
      <c r="AE38" s="121">
        <f t="shared" si="54"/>
        <v>0.20814953319580098</v>
      </c>
      <c r="AF38" s="121">
        <f t="shared" si="54"/>
        <v>0.20814953319580098</v>
      </c>
      <c r="AG38" s="122">
        <f t="shared" si="54"/>
        <v>0.20814953319580098</v>
      </c>
      <c r="AH38" s="28"/>
      <c r="AI38" s="28"/>
      <c r="AJ38" s="28"/>
      <c r="AK38" s="28"/>
      <c r="AL38" s="97"/>
      <c r="AM38" s="97"/>
      <c r="AN38" s="28"/>
      <c r="AO38" s="28"/>
      <c r="AP38" s="28"/>
      <c r="AQ38" s="28"/>
      <c r="AR38" s="28"/>
      <c r="AS38" s="28"/>
      <c r="AT38" s="28"/>
      <c r="AU38" s="28"/>
      <c r="AV38" s="28"/>
      <c r="AW38" s="28"/>
      <c r="AX38" s="28"/>
      <c r="AY38" s="28"/>
      <c r="AZ38" s="28"/>
      <c r="BA38" s="28"/>
      <c r="BB38" s="28"/>
      <c r="BC38" s="28"/>
      <c r="BD38" s="28"/>
      <c r="BE38" s="28"/>
    </row>
    <row r="39" spans="2:83" ht="15.75" thickBot="1" x14ac:dyDescent="0.3">
      <c r="B39" s="28"/>
      <c r="C39" s="23" t="s">
        <v>32</v>
      </c>
      <c r="D39" s="124"/>
      <c r="E39" s="125">
        <f>(VLOOKUP(C39,[1]NWS_Input!$B$22:$E$32,'Water Demand Criteria'!G$40,FALSE))/VLOOKUP(C39,[1]NWS_Input!$B$8:$E$18,G$40,FALSE)</f>
        <v>0.24917715223894335</v>
      </c>
      <c r="F39" s="126">
        <f>VLOOKUP(C39,[1]NWS_Input!$B$22:$E$32,'Water Demand Criteria'!H$40,FALSE)/VLOOKUP(C39,[1]NWS_Input!$B$8:$E$18,H$40,FALSE)</f>
        <v>0.27259814838068802</v>
      </c>
      <c r="G39" s="127">
        <f>(VLOOKUP(C39,[1]NWS_Input!$B$22:$E$32,'Water Demand Criteria'!G$40,FALSE)+VLOOKUP(C39,[1]NWS_Input!$B$22:$E$32,'Water Demand Criteria'!H$40,FALSE))/(VLOOKUP(C39,[1]NWS_Input!$B$8:$E$18,G$40,FALSE)+VLOOKUP(C39,[1]NWS_Input!$B$8:$E$18,H$40,FALSE))</f>
        <v>0.26088576282564868</v>
      </c>
      <c r="H39" s="128">
        <f t="shared" si="55"/>
        <v>0.26088576282564868</v>
      </c>
      <c r="I39" s="128">
        <f t="shared" si="55"/>
        <v>0.26088576282564868</v>
      </c>
      <c r="J39" s="128">
        <f t="shared" si="55"/>
        <v>0.26088576282564868</v>
      </c>
      <c r="K39" s="128">
        <f t="shared" si="55"/>
        <v>0.26088576282564868</v>
      </c>
      <c r="L39" s="128">
        <f t="shared" si="55"/>
        <v>0.26088576282564868</v>
      </c>
      <c r="M39" s="128">
        <f t="shared" si="55"/>
        <v>0.26088576282564868</v>
      </c>
      <c r="N39" s="128">
        <f t="shared" si="55"/>
        <v>0.26088576282564868</v>
      </c>
      <c r="O39" s="128">
        <f t="shared" si="55"/>
        <v>0.26088576282564868</v>
      </c>
      <c r="P39" s="128">
        <f t="shared" si="55"/>
        <v>0.26088576282564868</v>
      </c>
      <c r="Q39" s="128">
        <f t="shared" si="55"/>
        <v>0.26088576282564868</v>
      </c>
      <c r="R39" s="128">
        <f t="shared" si="55"/>
        <v>0.26088576282564868</v>
      </c>
      <c r="S39" s="128">
        <f t="shared" si="55"/>
        <v>0.26088576282564868</v>
      </c>
      <c r="T39" s="128">
        <f t="shared" si="55"/>
        <v>0.26088576282564868</v>
      </c>
      <c r="U39" s="128">
        <f t="shared" si="55"/>
        <v>0.26088576282564868</v>
      </c>
      <c r="V39" s="128">
        <f t="shared" si="55"/>
        <v>0.26088576282564868</v>
      </c>
      <c r="W39" s="128">
        <f t="shared" si="55"/>
        <v>0.26088576282564868</v>
      </c>
      <c r="X39" s="128">
        <f t="shared" si="54"/>
        <v>0.26088576282564868</v>
      </c>
      <c r="Y39" s="128">
        <f t="shared" si="54"/>
        <v>0.26088576282564868</v>
      </c>
      <c r="Z39" s="128">
        <f t="shared" si="54"/>
        <v>0.26088576282564868</v>
      </c>
      <c r="AA39" s="128">
        <f t="shared" si="54"/>
        <v>0.26088576282564868</v>
      </c>
      <c r="AB39" s="128">
        <f t="shared" si="54"/>
        <v>0.26088576282564868</v>
      </c>
      <c r="AC39" s="128">
        <f>AB39</f>
        <v>0.26088576282564868</v>
      </c>
      <c r="AD39" s="128">
        <f>AC39</f>
        <v>0.26088576282564868</v>
      </c>
      <c r="AE39" s="128">
        <f>AD39</f>
        <v>0.26088576282564868</v>
      </c>
      <c r="AF39" s="128">
        <f>AE39</f>
        <v>0.26088576282564868</v>
      </c>
      <c r="AG39" s="129">
        <f>AF39</f>
        <v>0.26088576282564868</v>
      </c>
      <c r="AH39" s="28"/>
      <c r="AI39" s="28"/>
      <c r="AJ39" s="28"/>
      <c r="AK39" s="28"/>
      <c r="AL39" s="97"/>
      <c r="AM39" s="97"/>
      <c r="AN39" s="28"/>
      <c r="AO39" s="28"/>
      <c r="AP39" s="28"/>
      <c r="AQ39" s="28"/>
      <c r="AR39" s="28"/>
      <c r="AS39" s="28"/>
      <c r="AT39" s="28"/>
      <c r="AU39" s="28"/>
      <c r="AV39" s="28"/>
      <c r="AW39" s="28"/>
      <c r="AX39" s="28"/>
      <c r="AY39" s="28"/>
      <c r="AZ39" s="28"/>
      <c r="BA39" s="28"/>
      <c r="BB39" s="28"/>
      <c r="BC39" s="28"/>
      <c r="BD39" s="28"/>
      <c r="BE39" s="28"/>
    </row>
    <row r="40" spans="2:83" ht="30" x14ac:dyDescent="0.25">
      <c r="B40" s="28"/>
      <c r="C40" s="106" t="s">
        <v>639</v>
      </c>
      <c r="G40" s="107">
        <v>3</v>
      </c>
      <c r="H40" s="108">
        <v>4</v>
      </c>
      <c r="I40" s="107">
        <v>5</v>
      </c>
      <c r="J40" s="108">
        <v>6</v>
      </c>
      <c r="K40" s="107">
        <v>7</v>
      </c>
      <c r="L40" s="108">
        <v>8</v>
      </c>
      <c r="M40" s="107">
        <v>9</v>
      </c>
      <c r="N40" s="108">
        <v>10</v>
      </c>
      <c r="O40" s="107">
        <v>11</v>
      </c>
      <c r="P40" s="108">
        <v>12</v>
      </c>
      <c r="Q40" s="107">
        <v>13</v>
      </c>
      <c r="R40" s="108">
        <v>14</v>
      </c>
      <c r="S40" s="107">
        <v>15</v>
      </c>
      <c r="T40" s="108">
        <v>16</v>
      </c>
      <c r="U40" s="107">
        <v>17</v>
      </c>
      <c r="V40" s="108">
        <v>18</v>
      </c>
      <c r="W40" s="107">
        <v>19</v>
      </c>
      <c r="X40" s="108">
        <v>20</v>
      </c>
      <c r="Y40" s="107">
        <v>21</v>
      </c>
      <c r="Z40" s="108">
        <v>22</v>
      </c>
      <c r="AA40" s="107">
        <v>23</v>
      </c>
      <c r="AB40" s="108">
        <v>24</v>
      </c>
      <c r="AC40" s="107">
        <v>25</v>
      </c>
      <c r="AD40" s="108">
        <v>26</v>
      </c>
      <c r="AE40" s="107">
        <v>27</v>
      </c>
      <c r="AF40" s="108">
        <v>28</v>
      </c>
      <c r="AG40" s="107">
        <v>29</v>
      </c>
      <c r="AH40" s="28"/>
      <c r="AI40" s="28"/>
      <c r="AJ40" s="28"/>
      <c r="AK40" s="28"/>
      <c r="AL40" s="97"/>
      <c r="AM40" s="97"/>
      <c r="AN40" s="28"/>
      <c r="AO40" s="28"/>
      <c r="AP40" s="28"/>
      <c r="AQ40" s="28"/>
      <c r="AR40" s="28"/>
      <c r="AS40" s="28"/>
      <c r="AT40" s="28"/>
      <c r="AU40" s="28"/>
      <c r="AV40" s="28"/>
      <c r="AW40" s="28"/>
      <c r="AX40" s="28"/>
      <c r="AY40" s="28"/>
      <c r="AZ40" s="28"/>
      <c r="BA40" s="28"/>
      <c r="BB40" s="28"/>
      <c r="BC40" s="28"/>
      <c r="BD40" s="28"/>
      <c r="BE40" s="28"/>
    </row>
    <row r="41" spans="2:83" x14ac:dyDescent="0.25">
      <c r="B41" s="28"/>
      <c r="C41" s="28"/>
      <c r="D41" s="28"/>
      <c r="E41" s="28"/>
      <c r="F41" s="28"/>
      <c r="G41" s="28"/>
      <c r="H41" s="28"/>
      <c r="I41" s="72"/>
      <c r="J41" s="64"/>
      <c r="K41" s="65"/>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97"/>
      <c r="AM41" s="97"/>
      <c r="AN41" s="28"/>
      <c r="AO41" s="28"/>
      <c r="AP41" s="28"/>
      <c r="AQ41" s="28"/>
      <c r="AR41" s="28"/>
      <c r="AS41" s="28"/>
      <c r="AT41" s="28"/>
      <c r="AU41" s="28"/>
      <c r="AV41" s="28"/>
      <c r="AW41" s="28"/>
      <c r="AX41" s="28"/>
      <c r="AY41" s="28"/>
      <c r="AZ41" s="28"/>
      <c r="BA41" s="28"/>
      <c r="BB41" s="28"/>
      <c r="BC41" s="28"/>
      <c r="BD41" s="28"/>
      <c r="BE41" s="28"/>
    </row>
    <row r="42" spans="2:83" x14ac:dyDescent="0.25">
      <c r="B42" s="28"/>
      <c r="C42" s="28"/>
      <c r="D42" s="28"/>
      <c r="E42" s="28"/>
      <c r="F42" s="28"/>
      <c r="G42" s="28"/>
      <c r="H42" s="28"/>
      <c r="I42" s="72"/>
      <c r="J42" s="64"/>
      <c r="K42" s="65"/>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97"/>
      <c r="AM42" s="97"/>
      <c r="AN42" s="28"/>
      <c r="AO42" s="28"/>
      <c r="AP42" s="28"/>
      <c r="AQ42" s="28"/>
      <c r="AR42" s="28"/>
      <c r="AS42" s="28"/>
      <c r="AT42" s="28"/>
      <c r="AU42" s="28"/>
      <c r="AV42" s="28"/>
      <c r="AW42" s="28"/>
      <c r="AX42" s="28"/>
      <c r="AY42" s="28"/>
      <c r="AZ42" s="28"/>
      <c r="BA42" s="28"/>
      <c r="BB42" s="28"/>
      <c r="BC42" s="28"/>
      <c r="BD42" s="28"/>
      <c r="BE42" s="28"/>
    </row>
    <row r="43" spans="2:83" ht="15.75" thickBot="1" x14ac:dyDescent="0.3">
      <c r="B43" s="28"/>
      <c r="C43" s="28"/>
      <c r="D43" s="28"/>
      <c r="E43" s="28"/>
      <c r="F43" s="28"/>
      <c r="G43" s="28"/>
      <c r="H43" s="28"/>
      <c r="I43" s="72"/>
      <c r="J43" s="64"/>
      <c r="K43" s="65"/>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97"/>
      <c r="AM43" s="97"/>
      <c r="AN43" s="28"/>
      <c r="AO43" s="28"/>
      <c r="AP43" s="28"/>
      <c r="AQ43" s="28"/>
      <c r="AR43" s="28"/>
      <c r="AS43" s="28"/>
      <c r="AT43" s="28"/>
      <c r="AU43" s="28"/>
      <c r="AV43" s="28"/>
      <c r="AW43" s="28"/>
      <c r="AX43" s="28"/>
      <c r="AY43" s="28"/>
      <c r="AZ43" s="28"/>
      <c r="BA43" s="28"/>
      <c r="BB43" s="28"/>
      <c r="BC43" s="28"/>
      <c r="BD43" s="28"/>
      <c r="BE43" s="28"/>
    </row>
    <row r="44" spans="2:83" ht="23.25" x14ac:dyDescent="0.35">
      <c r="B44" s="308" t="s">
        <v>640</v>
      </c>
      <c r="C44" s="309"/>
      <c r="D44" s="310"/>
      <c r="E44" s="314" t="s">
        <v>641</v>
      </c>
      <c r="F44" s="315"/>
      <c r="G44" s="315"/>
      <c r="H44" s="315"/>
      <c r="I44" s="315"/>
      <c r="J44" s="315"/>
      <c r="K44" s="315"/>
      <c r="L44" s="315"/>
      <c r="M44" s="109" t="s">
        <v>636</v>
      </c>
      <c r="N44" s="110"/>
      <c r="O44" s="110"/>
      <c r="P44" s="28"/>
      <c r="Q44" s="28"/>
      <c r="R44" s="28"/>
      <c r="S44" s="28"/>
      <c r="T44" s="28"/>
      <c r="U44" s="28"/>
      <c r="V44" s="28"/>
      <c r="W44" s="28"/>
      <c r="X44" s="28"/>
      <c r="Y44" s="28"/>
      <c r="Z44" s="28"/>
      <c r="AA44" s="28"/>
      <c r="AB44" s="28"/>
      <c r="AC44" s="28"/>
      <c r="AD44" s="28"/>
      <c r="AE44" s="28"/>
      <c r="AF44" s="28"/>
      <c r="AG44" s="28"/>
      <c r="AH44" s="28"/>
      <c r="AI44" s="28"/>
      <c r="AJ44" s="28"/>
      <c r="AK44" s="28"/>
      <c r="AL44" s="97"/>
      <c r="AM44" s="97"/>
      <c r="AN44" s="28"/>
      <c r="AO44" s="28"/>
      <c r="AP44" s="28"/>
      <c r="AQ44" s="28"/>
      <c r="AR44" s="28"/>
      <c r="AS44" s="28"/>
      <c r="AT44" s="28"/>
      <c r="AU44" s="28"/>
      <c r="AV44" s="28"/>
      <c r="AW44" s="28"/>
      <c r="AX44" s="28"/>
      <c r="AY44" s="28"/>
      <c r="AZ44" s="28"/>
      <c r="BA44" s="28"/>
      <c r="BB44" s="28"/>
      <c r="BC44" s="28"/>
      <c r="BD44" s="28"/>
      <c r="BE44" s="28"/>
    </row>
    <row r="45" spans="2:83" ht="21.75" customHeight="1" thickBot="1" x14ac:dyDescent="0.4">
      <c r="B45" s="311"/>
      <c r="C45" s="312"/>
      <c r="D45" s="313"/>
      <c r="E45" s="304" t="s">
        <v>642</v>
      </c>
      <c r="F45" s="305"/>
      <c r="G45" s="305"/>
      <c r="H45" s="305"/>
      <c r="I45" s="305"/>
      <c r="J45" s="305"/>
      <c r="K45" s="305"/>
      <c r="L45" s="305"/>
      <c r="M45" s="307" t="s">
        <v>638</v>
      </c>
      <c r="N45" s="307"/>
      <c r="O45" s="307"/>
      <c r="P45" s="307"/>
      <c r="Q45" s="307"/>
      <c r="R45" s="307"/>
      <c r="S45" s="307"/>
      <c r="T45" s="307"/>
      <c r="U45" s="70"/>
      <c r="V45" s="70"/>
      <c r="W45" s="70"/>
      <c r="X45" s="70"/>
      <c r="Y45" s="70"/>
      <c r="Z45" s="70"/>
      <c r="AA45" s="70"/>
      <c r="AB45" s="70"/>
      <c r="AC45" s="70"/>
      <c r="AD45" s="70"/>
      <c r="AE45" s="28"/>
      <c r="AF45" s="28"/>
      <c r="AG45" s="28"/>
      <c r="AH45" s="28"/>
      <c r="AI45" s="28"/>
      <c r="AJ45" s="28"/>
      <c r="AK45" s="28"/>
      <c r="AL45" s="97"/>
      <c r="AM45" s="97"/>
      <c r="AN45" s="28"/>
      <c r="AO45" s="28"/>
      <c r="AP45" s="28"/>
      <c r="AQ45" s="28"/>
      <c r="AR45" s="28"/>
      <c r="AS45" s="28"/>
      <c r="AT45" s="28"/>
      <c r="AU45" s="28"/>
      <c r="AV45" s="28"/>
      <c r="AW45" s="28"/>
      <c r="AX45" s="28"/>
      <c r="AY45" s="28"/>
      <c r="AZ45" s="28"/>
      <c r="BA45" s="28"/>
      <c r="BB45" s="28"/>
      <c r="BC45" s="28"/>
      <c r="BD45" s="28"/>
      <c r="BE45" s="28"/>
    </row>
    <row r="46" spans="2:83" ht="15.75" thickBot="1" x14ac:dyDescent="0.3">
      <c r="B46" s="28"/>
      <c r="C46" s="71"/>
      <c r="D46" s="28"/>
      <c r="E46" s="28"/>
      <c r="F46" s="28"/>
      <c r="G46" s="28"/>
      <c r="H46" s="28"/>
      <c r="I46" s="72"/>
      <c r="J46" s="64"/>
      <c r="K46" s="65"/>
      <c r="L46" s="73"/>
      <c r="M46" s="73"/>
      <c r="N46" s="73"/>
      <c r="O46" s="74"/>
      <c r="P46" s="74"/>
      <c r="Q46" s="74"/>
      <c r="R46" s="74"/>
      <c r="S46" s="74"/>
      <c r="T46" s="74"/>
      <c r="U46" s="74"/>
      <c r="V46" s="74"/>
      <c r="W46" s="74"/>
      <c r="X46" s="74"/>
      <c r="Y46" s="74"/>
      <c r="Z46" s="74"/>
      <c r="AA46" s="74"/>
      <c r="AB46" s="74"/>
      <c r="AC46" s="74"/>
      <c r="AD46" s="74"/>
      <c r="AE46" s="28"/>
      <c r="AF46" s="28"/>
      <c r="AG46" s="28"/>
      <c r="AH46" s="28"/>
      <c r="AI46" s="28"/>
      <c r="AJ46" s="28"/>
      <c r="AK46" s="28"/>
      <c r="AL46" s="97"/>
      <c r="AM46" s="97"/>
      <c r="AN46" s="28"/>
      <c r="AO46" s="28"/>
      <c r="AP46" s="28"/>
      <c r="AQ46" s="28"/>
      <c r="AR46" s="28"/>
      <c r="AS46" s="28"/>
      <c r="AT46" s="28"/>
      <c r="AU46" s="28"/>
      <c r="AV46" s="28"/>
      <c r="AW46" s="28"/>
      <c r="AX46" s="28"/>
      <c r="AY46" s="28"/>
      <c r="AZ46" s="28"/>
      <c r="BA46" s="28"/>
      <c r="BB46" s="28"/>
      <c r="BC46" s="28"/>
      <c r="BD46" s="28"/>
      <c r="BE46" s="28"/>
    </row>
    <row r="47" spans="2:83" ht="15.75" thickBot="1" x14ac:dyDescent="0.3">
      <c r="B47" s="75" t="s">
        <v>2</v>
      </c>
      <c r="C47" s="76" t="s">
        <v>60</v>
      </c>
      <c r="D47" s="77">
        <v>2021</v>
      </c>
      <c r="E47" s="78">
        <v>2022</v>
      </c>
      <c r="F47" s="79">
        <v>2023</v>
      </c>
      <c r="G47" s="77">
        <v>2024</v>
      </c>
      <c r="H47" s="78">
        <v>2025</v>
      </c>
      <c r="I47" s="78">
        <v>2026</v>
      </c>
      <c r="J47" s="78">
        <v>2027</v>
      </c>
      <c r="K47" s="78">
        <v>2028</v>
      </c>
      <c r="L47" s="78">
        <v>2029</v>
      </c>
      <c r="M47" s="78">
        <v>2030</v>
      </c>
      <c r="N47" s="78">
        <v>2031</v>
      </c>
      <c r="O47" s="78">
        <v>2032</v>
      </c>
      <c r="P47" s="78">
        <v>2033</v>
      </c>
      <c r="Q47" s="78">
        <v>2034</v>
      </c>
      <c r="R47" s="78">
        <v>2035</v>
      </c>
      <c r="S47" s="78">
        <v>2036</v>
      </c>
      <c r="T47" s="78">
        <v>2037</v>
      </c>
      <c r="U47" s="78">
        <v>2038</v>
      </c>
      <c r="V47" s="78">
        <v>2039</v>
      </c>
      <c r="W47" s="78">
        <v>2040</v>
      </c>
      <c r="X47" s="78">
        <v>2041</v>
      </c>
      <c r="Y47" s="78">
        <v>2042</v>
      </c>
      <c r="Z47" s="78">
        <v>2043</v>
      </c>
      <c r="AA47" s="78">
        <v>2044</v>
      </c>
      <c r="AB47" s="78">
        <v>2045</v>
      </c>
      <c r="AC47" s="78">
        <v>2046</v>
      </c>
      <c r="AD47" s="78">
        <v>2047</v>
      </c>
      <c r="AE47" s="78">
        <v>2048</v>
      </c>
      <c r="AF47" s="78">
        <v>2049</v>
      </c>
      <c r="AG47" s="79">
        <v>2050</v>
      </c>
      <c r="AH47" s="74">
        <v>2051</v>
      </c>
      <c r="AI47" s="74">
        <v>2052</v>
      </c>
      <c r="AJ47" s="74">
        <v>2053</v>
      </c>
      <c r="AK47" s="74">
        <v>2054</v>
      </c>
      <c r="AL47" s="74">
        <v>2055</v>
      </c>
      <c r="AM47" s="74">
        <v>2056</v>
      </c>
      <c r="AN47" s="74">
        <v>2057</v>
      </c>
      <c r="AO47" s="74">
        <v>2058</v>
      </c>
      <c r="AP47" s="74">
        <v>2059</v>
      </c>
      <c r="AQ47" s="74">
        <v>2060</v>
      </c>
      <c r="AR47" s="74">
        <v>2061</v>
      </c>
      <c r="AS47" s="74">
        <v>2062</v>
      </c>
      <c r="AT47" s="74">
        <v>2063</v>
      </c>
      <c r="AU47" s="74">
        <v>2064</v>
      </c>
      <c r="AV47" s="74">
        <v>2065</v>
      </c>
      <c r="AW47" s="74">
        <v>2066</v>
      </c>
      <c r="AX47" s="74">
        <v>2067</v>
      </c>
      <c r="AY47" s="74">
        <v>2068</v>
      </c>
      <c r="AZ47" s="74">
        <v>2069</v>
      </c>
      <c r="BA47" s="74">
        <v>2070</v>
      </c>
      <c r="BB47" s="74">
        <v>2071</v>
      </c>
      <c r="BC47" s="74">
        <v>2072</v>
      </c>
      <c r="BD47" s="74">
        <v>2073</v>
      </c>
      <c r="BE47" s="74">
        <v>2074</v>
      </c>
      <c r="BF47" s="74">
        <v>2075</v>
      </c>
      <c r="BG47" s="74">
        <v>2076</v>
      </c>
      <c r="BH47" s="74">
        <v>2077</v>
      </c>
      <c r="BI47" s="74">
        <v>2078</v>
      </c>
      <c r="BJ47" s="74">
        <v>2079</v>
      </c>
      <c r="BK47" s="74">
        <v>2080</v>
      </c>
      <c r="BL47" s="74">
        <v>2081</v>
      </c>
      <c r="BM47" s="74">
        <v>2082</v>
      </c>
      <c r="BN47" s="74">
        <v>2083</v>
      </c>
      <c r="BO47" s="74">
        <v>2084</v>
      </c>
      <c r="BP47" s="74">
        <v>2085</v>
      </c>
      <c r="BQ47" s="74">
        <v>2086</v>
      </c>
      <c r="BR47" s="74">
        <v>2087</v>
      </c>
      <c r="BS47" s="74">
        <v>2088</v>
      </c>
      <c r="BT47" s="74">
        <v>2089</v>
      </c>
      <c r="BU47" s="74">
        <v>2090</v>
      </c>
      <c r="BV47" s="74">
        <v>2091</v>
      </c>
      <c r="BW47" s="74">
        <v>2092</v>
      </c>
      <c r="BX47" s="74">
        <v>2093</v>
      </c>
      <c r="BY47" s="74">
        <v>2094</v>
      </c>
      <c r="BZ47" s="74">
        <v>2095</v>
      </c>
      <c r="CA47" s="74">
        <v>2096</v>
      </c>
      <c r="CB47" s="74">
        <v>2097</v>
      </c>
      <c r="CC47" s="74">
        <v>2098</v>
      </c>
      <c r="CD47" s="74">
        <v>2099</v>
      </c>
      <c r="CE47" s="74">
        <v>2100</v>
      </c>
    </row>
    <row r="48" spans="2:83" x14ac:dyDescent="0.25">
      <c r="B48" s="82" t="s">
        <v>5</v>
      </c>
      <c r="C48" s="83" t="s">
        <v>22</v>
      </c>
      <c r="D48" s="111"/>
      <c r="E48" s="112">
        <f>VLOOKUP(C48,[1]NWS_Input!$B$36:$E$46,G$59,FALSE)/VLOOKUP(C48,[1]NWS_Input!$B$8:$E$18,G$59,FALSE)</f>
        <v>0.22296673254511293</v>
      </c>
      <c r="F48" s="113">
        <f>VLOOKUP(C48,[1]NWS_Input!$B$36:$E$46,'Water Demand Criteria'!H$59,FALSE)/VLOOKUP(C48,[1]NWS_Input!$B$8:$E$18,H$59,FALSE)</f>
        <v>0.23255320257918854</v>
      </c>
      <c r="G48" s="114">
        <f>(VLOOKUP(C48,[1]NWS_Input!$B$36:$E$46,G$59,FALSE)+VLOOKUP(C48,[1]NWS_Input!$B$36:$E$46,'Water Demand Criteria'!H$59,FALSE))/(VLOOKUP(C48,[1]NWS_Input!$B$8:$E$18,G$59,FALSE)+VLOOKUP(C48,[1]NWS_Input!$B$8:$E$18,H$59,FALSE))</f>
        <v>0.22784329477750301</v>
      </c>
      <c r="H48" s="115">
        <f>G48</f>
        <v>0.22784329477750301</v>
      </c>
      <c r="I48" s="115">
        <f t="shared" ref="I48:X48" si="106">H48</f>
        <v>0.22784329477750301</v>
      </c>
      <c r="J48" s="115">
        <f t="shared" si="106"/>
        <v>0.22784329477750301</v>
      </c>
      <c r="K48" s="115">
        <f t="shared" si="106"/>
        <v>0.22784329477750301</v>
      </c>
      <c r="L48" s="115">
        <f t="shared" si="106"/>
        <v>0.22784329477750301</v>
      </c>
      <c r="M48" s="115">
        <f t="shared" si="106"/>
        <v>0.22784329477750301</v>
      </c>
      <c r="N48" s="115">
        <f t="shared" si="106"/>
        <v>0.22784329477750301</v>
      </c>
      <c r="O48" s="115">
        <f t="shared" si="106"/>
        <v>0.22784329477750301</v>
      </c>
      <c r="P48" s="115">
        <f t="shared" si="106"/>
        <v>0.22784329477750301</v>
      </c>
      <c r="Q48" s="115">
        <f t="shared" si="106"/>
        <v>0.22784329477750301</v>
      </c>
      <c r="R48" s="115">
        <f t="shared" si="106"/>
        <v>0.22784329477750301</v>
      </c>
      <c r="S48" s="115">
        <f t="shared" si="106"/>
        <v>0.22784329477750301</v>
      </c>
      <c r="T48" s="115">
        <f t="shared" si="106"/>
        <v>0.22784329477750301</v>
      </c>
      <c r="U48" s="115">
        <f t="shared" si="106"/>
        <v>0.22784329477750301</v>
      </c>
      <c r="V48" s="115">
        <f t="shared" si="106"/>
        <v>0.22784329477750301</v>
      </c>
      <c r="W48" s="115">
        <f t="shared" si="106"/>
        <v>0.22784329477750301</v>
      </c>
      <c r="X48" s="115">
        <f t="shared" si="106"/>
        <v>0.22784329477750301</v>
      </c>
      <c r="Y48" s="115">
        <f t="shared" ref="X48:AG58" si="107">X48</f>
        <v>0.22784329477750301</v>
      </c>
      <c r="Z48" s="115">
        <f t="shared" si="107"/>
        <v>0.22784329477750301</v>
      </c>
      <c r="AA48" s="115">
        <f t="shared" si="107"/>
        <v>0.22784329477750301</v>
      </c>
      <c r="AB48" s="115">
        <f t="shared" si="107"/>
        <v>0.22784329477750301</v>
      </c>
      <c r="AC48" s="115">
        <f t="shared" si="107"/>
        <v>0.22784329477750301</v>
      </c>
      <c r="AD48" s="115">
        <f t="shared" si="107"/>
        <v>0.22784329477750301</v>
      </c>
      <c r="AE48" s="115">
        <f t="shared" si="107"/>
        <v>0.22784329477750301</v>
      </c>
      <c r="AF48" s="115">
        <f t="shared" si="107"/>
        <v>0.22784329477750301</v>
      </c>
      <c r="AG48" s="116">
        <f t="shared" si="107"/>
        <v>0.22784329477750301</v>
      </c>
      <c r="AH48" s="28"/>
      <c r="AI48" s="28"/>
      <c r="AJ48" s="28"/>
      <c r="AK48" s="28"/>
      <c r="AL48" s="97"/>
      <c r="AM48" s="97"/>
      <c r="AN48" s="28"/>
      <c r="AO48" s="28"/>
      <c r="AP48" s="28"/>
      <c r="AQ48" s="28"/>
      <c r="AR48" s="28"/>
      <c r="AS48" s="28"/>
      <c r="AT48" s="28"/>
      <c r="AU48" s="28"/>
      <c r="AV48" s="28"/>
      <c r="AW48" s="28"/>
      <c r="AX48" s="28"/>
      <c r="AY48" s="28"/>
      <c r="AZ48" s="28"/>
      <c r="BA48" s="28"/>
      <c r="BB48" s="28"/>
      <c r="BC48" s="28"/>
      <c r="BD48" s="28"/>
      <c r="BE48" s="28"/>
    </row>
    <row r="49" spans="2:83" x14ac:dyDescent="0.25">
      <c r="B49" s="82" t="s">
        <v>6</v>
      </c>
      <c r="C49" s="83" t="s">
        <v>23</v>
      </c>
      <c r="D49" s="117"/>
      <c r="E49" s="118">
        <f>VLOOKUP(C49,[1]NWS_Input!$B$36:$E$46,G$59,FALSE)/VLOOKUP(C49,[1]NWS_Input!$B$8:$E$18,G$59,FALSE)</f>
        <v>0.13991413441443082</v>
      </c>
      <c r="F49" s="119">
        <f>VLOOKUP(C49,[1]NWS_Input!$B$36:$E$46,'Water Demand Criteria'!H$59,FALSE)/VLOOKUP(C49,[1]NWS_Input!$B$8:$E$18,H$59,FALSE)</f>
        <v>0.11650315172219737</v>
      </c>
      <c r="G49" s="120">
        <f>(VLOOKUP(C49,[1]NWS_Input!$B$36:$E$46,G$59,FALSE)+VLOOKUP(C49,[1]NWS_Input!$B$36:$E$46,'Water Demand Criteria'!H$59,FALSE))/(VLOOKUP(C49,[1]NWS_Input!$B$8:$E$18,G$59,FALSE)+VLOOKUP(C49,[1]NWS_Input!$B$8:$E$18,H$59,FALSE))</f>
        <v>0.12799659055375864</v>
      </c>
      <c r="H49" s="121">
        <f t="shared" ref="H49:W58" si="108">G49</f>
        <v>0.12799659055375864</v>
      </c>
      <c r="I49" s="121">
        <f t="shared" si="108"/>
        <v>0.12799659055375864</v>
      </c>
      <c r="J49" s="121">
        <f t="shared" si="108"/>
        <v>0.12799659055375864</v>
      </c>
      <c r="K49" s="121">
        <f t="shared" si="108"/>
        <v>0.12799659055375864</v>
      </c>
      <c r="L49" s="121">
        <f t="shared" si="108"/>
        <v>0.12799659055375864</v>
      </c>
      <c r="M49" s="121">
        <f t="shared" si="108"/>
        <v>0.12799659055375864</v>
      </c>
      <c r="N49" s="121">
        <f t="shared" si="108"/>
        <v>0.12799659055375864</v>
      </c>
      <c r="O49" s="121">
        <f t="shared" si="108"/>
        <v>0.12799659055375864</v>
      </c>
      <c r="P49" s="121">
        <f t="shared" si="108"/>
        <v>0.12799659055375864</v>
      </c>
      <c r="Q49" s="121">
        <f t="shared" si="108"/>
        <v>0.12799659055375864</v>
      </c>
      <c r="R49" s="121">
        <f t="shared" si="108"/>
        <v>0.12799659055375864</v>
      </c>
      <c r="S49" s="121">
        <f t="shared" si="108"/>
        <v>0.12799659055375864</v>
      </c>
      <c r="T49" s="121">
        <f t="shared" si="108"/>
        <v>0.12799659055375864</v>
      </c>
      <c r="U49" s="121">
        <f t="shared" si="108"/>
        <v>0.12799659055375864</v>
      </c>
      <c r="V49" s="121">
        <f t="shared" si="108"/>
        <v>0.12799659055375864</v>
      </c>
      <c r="W49" s="121">
        <f t="shared" si="108"/>
        <v>0.12799659055375864</v>
      </c>
      <c r="X49" s="121">
        <f t="shared" si="107"/>
        <v>0.12799659055375864</v>
      </c>
      <c r="Y49" s="121">
        <f t="shared" si="107"/>
        <v>0.12799659055375864</v>
      </c>
      <c r="Z49" s="121">
        <f t="shared" si="107"/>
        <v>0.12799659055375864</v>
      </c>
      <c r="AA49" s="121">
        <f t="shared" si="107"/>
        <v>0.12799659055375864</v>
      </c>
      <c r="AB49" s="121">
        <f t="shared" si="107"/>
        <v>0.12799659055375864</v>
      </c>
      <c r="AC49" s="121">
        <f t="shared" si="107"/>
        <v>0.12799659055375864</v>
      </c>
      <c r="AD49" s="121">
        <f t="shared" si="107"/>
        <v>0.12799659055375864</v>
      </c>
      <c r="AE49" s="121">
        <f t="shared" si="107"/>
        <v>0.12799659055375864</v>
      </c>
      <c r="AF49" s="121">
        <f t="shared" si="107"/>
        <v>0.12799659055375864</v>
      </c>
      <c r="AG49" s="122">
        <f t="shared" si="107"/>
        <v>0.12799659055375864</v>
      </c>
      <c r="AH49" s="28"/>
      <c r="AI49" s="28"/>
      <c r="AJ49" s="28"/>
      <c r="AK49" s="28"/>
      <c r="AL49" s="97"/>
      <c r="AM49" s="97"/>
      <c r="AN49" s="28"/>
      <c r="AO49" s="28"/>
      <c r="AP49" s="28"/>
      <c r="AQ49" s="28"/>
      <c r="AR49" s="28"/>
      <c r="AS49" s="28"/>
      <c r="AT49" s="28"/>
      <c r="AU49" s="28"/>
      <c r="AV49" s="28"/>
      <c r="AW49" s="28"/>
      <c r="AX49" s="28"/>
      <c r="AY49" s="28"/>
      <c r="AZ49" s="28"/>
      <c r="BA49" s="28"/>
      <c r="BB49" s="28"/>
      <c r="BC49" s="28"/>
      <c r="BD49" s="28"/>
      <c r="BE49" s="28"/>
    </row>
    <row r="50" spans="2:83" x14ac:dyDescent="0.25">
      <c r="B50" s="82" t="s">
        <v>7</v>
      </c>
      <c r="C50" s="83" t="s">
        <v>24</v>
      </c>
      <c r="D50" s="117"/>
      <c r="E50" s="118">
        <f>VLOOKUP(C50,[1]NWS_Input!$B$36:$E$46,G$59,FALSE)/VLOOKUP(C50,[1]NWS_Input!$B$8:$E$18,G$59,FALSE)</f>
        <v>0.16276111190851092</v>
      </c>
      <c r="F50" s="119">
        <f>VLOOKUP(C50,[1]NWS_Input!$B$36:$E$46,'Water Demand Criteria'!H$59,FALSE)/VLOOKUP(C50,[1]NWS_Input!$B$8:$E$18,H$59,FALSE)</f>
        <v>0.1447336329439525</v>
      </c>
      <c r="G50" s="120">
        <f>(VLOOKUP(C50,[1]NWS_Input!$B$36:$E$46,G$59,FALSE)+VLOOKUP(C50,[1]NWS_Input!$B$36:$E$46,'Water Demand Criteria'!H$59,FALSE))/(VLOOKUP(C50,[1]NWS_Input!$B$8:$E$18,G$59,FALSE)+VLOOKUP(C50,[1]NWS_Input!$B$8:$E$18,H$59,FALSE))</f>
        <v>0.15385312502430132</v>
      </c>
      <c r="H50" s="121">
        <f t="shared" si="108"/>
        <v>0.15385312502430132</v>
      </c>
      <c r="I50" s="121">
        <f t="shared" si="108"/>
        <v>0.15385312502430132</v>
      </c>
      <c r="J50" s="121">
        <f t="shared" si="108"/>
        <v>0.15385312502430132</v>
      </c>
      <c r="K50" s="121">
        <f t="shared" si="108"/>
        <v>0.15385312502430132</v>
      </c>
      <c r="L50" s="121">
        <f t="shared" si="108"/>
        <v>0.15385312502430132</v>
      </c>
      <c r="M50" s="121">
        <f t="shared" si="108"/>
        <v>0.15385312502430132</v>
      </c>
      <c r="N50" s="121">
        <f t="shared" si="108"/>
        <v>0.15385312502430132</v>
      </c>
      <c r="O50" s="121">
        <f t="shared" si="108"/>
        <v>0.15385312502430132</v>
      </c>
      <c r="P50" s="121">
        <f t="shared" si="108"/>
        <v>0.15385312502430132</v>
      </c>
      <c r="Q50" s="121">
        <f t="shared" si="108"/>
        <v>0.15385312502430132</v>
      </c>
      <c r="R50" s="121">
        <f t="shared" si="108"/>
        <v>0.15385312502430132</v>
      </c>
      <c r="S50" s="121">
        <f t="shared" si="108"/>
        <v>0.15385312502430132</v>
      </c>
      <c r="T50" s="121">
        <f t="shared" si="108"/>
        <v>0.15385312502430132</v>
      </c>
      <c r="U50" s="121">
        <f t="shared" si="108"/>
        <v>0.15385312502430132</v>
      </c>
      <c r="V50" s="121">
        <f t="shared" si="108"/>
        <v>0.15385312502430132</v>
      </c>
      <c r="W50" s="121">
        <f t="shared" si="108"/>
        <v>0.15385312502430132</v>
      </c>
      <c r="X50" s="121">
        <f t="shared" si="107"/>
        <v>0.15385312502430132</v>
      </c>
      <c r="Y50" s="121">
        <f t="shared" si="107"/>
        <v>0.15385312502430132</v>
      </c>
      <c r="Z50" s="121">
        <f t="shared" si="107"/>
        <v>0.15385312502430132</v>
      </c>
      <c r="AA50" s="121">
        <f t="shared" si="107"/>
        <v>0.15385312502430132</v>
      </c>
      <c r="AB50" s="121">
        <f t="shared" si="107"/>
        <v>0.15385312502430132</v>
      </c>
      <c r="AC50" s="121">
        <f t="shared" si="107"/>
        <v>0.15385312502430132</v>
      </c>
      <c r="AD50" s="121">
        <f t="shared" si="107"/>
        <v>0.15385312502430132</v>
      </c>
      <c r="AE50" s="121">
        <f t="shared" si="107"/>
        <v>0.15385312502430132</v>
      </c>
      <c r="AF50" s="121">
        <f t="shared" si="107"/>
        <v>0.15385312502430132</v>
      </c>
      <c r="AG50" s="122">
        <f t="shared" si="107"/>
        <v>0.15385312502430132</v>
      </c>
      <c r="AH50" s="28"/>
      <c r="AI50" s="28"/>
      <c r="AJ50" s="28"/>
      <c r="AK50" s="28"/>
      <c r="AL50" s="97"/>
      <c r="AM50" s="97"/>
      <c r="AN50" s="28"/>
      <c r="AO50" s="28"/>
      <c r="AP50" s="28"/>
      <c r="AQ50" s="28"/>
      <c r="AR50" s="28"/>
      <c r="AS50" s="28"/>
      <c r="AT50" s="28"/>
      <c r="AU50" s="28"/>
      <c r="AV50" s="28"/>
      <c r="AW50" s="28"/>
      <c r="AX50" s="28"/>
      <c r="AY50" s="28"/>
      <c r="AZ50" s="28"/>
      <c r="BA50" s="28"/>
      <c r="BB50" s="28"/>
      <c r="BC50" s="28"/>
      <c r="BD50" s="28"/>
      <c r="BE50" s="28"/>
    </row>
    <row r="51" spans="2:83" x14ac:dyDescent="0.25">
      <c r="B51" s="82" t="s">
        <v>9</v>
      </c>
      <c r="C51" s="83" t="s">
        <v>25</v>
      </c>
      <c r="D51" s="117"/>
      <c r="E51" s="118">
        <f>VLOOKUP(C51,[1]NWS_Input!$B$36:$E$46,G$59,FALSE)/VLOOKUP(C51,[1]NWS_Input!$B$8:$E$18,G$59,FALSE)</f>
        <v>7.4175093000080544E-2</v>
      </c>
      <c r="F51" s="119">
        <f>VLOOKUP(C51,[1]NWS_Input!$B$36:$E$46,'Water Demand Criteria'!H$59,FALSE)/VLOOKUP(C51,[1]NWS_Input!$B$8:$E$18,H$59,FALSE)</f>
        <v>7.2348984354065352E-2</v>
      </c>
      <c r="G51" s="120">
        <f>(VLOOKUP(C51,[1]NWS_Input!$B$36:$E$46,G$59,FALSE)+VLOOKUP(C51,[1]NWS_Input!$B$36:$E$46,'Water Demand Criteria'!H$59,FALSE))/(VLOOKUP(C51,[1]NWS_Input!$B$8:$E$18,G$59,FALSE)+VLOOKUP(C51,[1]NWS_Input!$B$8:$E$18,H$59,FALSE))</f>
        <v>7.3286404915715031E-2</v>
      </c>
      <c r="H51" s="121">
        <f t="shared" si="108"/>
        <v>7.3286404915715031E-2</v>
      </c>
      <c r="I51" s="121">
        <f t="shared" si="108"/>
        <v>7.3286404915715031E-2</v>
      </c>
      <c r="J51" s="121">
        <f t="shared" si="108"/>
        <v>7.3286404915715031E-2</v>
      </c>
      <c r="K51" s="121">
        <f t="shared" si="108"/>
        <v>7.3286404915715031E-2</v>
      </c>
      <c r="L51" s="121">
        <f t="shared" si="108"/>
        <v>7.3286404915715031E-2</v>
      </c>
      <c r="M51" s="121">
        <f t="shared" si="108"/>
        <v>7.3286404915715031E-2</v>
      </c>
      <c r="N51" s="121">
        <f t="shared" si="108"/>
        <v>7.3286404915715031E-2</v>
      </c>
      <c r="O51" s="121">
        <f t="shared" si="108"/>
        <v>7.3286404915715031E-2</v>
      </c>
      <c r="P51" s="121">
        <f t="shared" si="108"/>
        <v>7.3286404915715031E-2</v>
      </c>
      <c r="Q51" s="121">
        <f t="shared" si="108"/>
        <v>7.3286404915715031E-2</v>
      </c>
      <c r="R51" s="121">
        <f t="shared" si="108"/>
        <v>7.3286404915715031E-2</v>
      </c>
      <c r="S51" s="121">
        <f t="shared" si="108"/>
        <v>7.3286404915715031E-2</v>
      </c>
      <c r="T51" s="121">
        <f t="shared" si="108"/>
        <v>7.3286404915715031E-2</v>
      </c>
      <c r="U51" s="121">
        <f t="shared" si="108"/>
        <v>7.3286404915715031E-2</v>
      </c>
      <c r="V51" s="121">
        <f t="shared" si="108"/>
        <v>7.3286404915715031E-2</v>
      </c>
      <c r="W51" s="121">
        <f t="shared" si="108"/>
        <v>7.3286404915715031E-2</v>
      </c>
      <c r="X51" s="121">
        <f t="shared" si="107"/>
        <v>7.3286404915715031E-2</v>
      </c>
      <c r="Y51" s="121">
        <f t="shared" si="107"/>
        <v>7.3286404915715031E-2</v>
      </c>
      <c r="Z51" s="121">
        <f t="shared" si="107"/>
        <v>7.3286404915715031E-2</v>
      </c>
      <c r="AA51" s="121">
        <f t="shared" si="107"/>
        <v>7.3286404915715031E-2</v>
      </c>
      <c r="AB51" s="121">
        <f t="shared" si="107"/>
        <v>7.3286404915715031E-2</v>
      </c>
      <c r="AC51" s="121">
        <f t="shared" si="107"/>
        <v>7.3286404915715031E-2</v>
      </c>
      <c r="AD51" s="121">
        <f t="shared" si="107"/>
        <v>7.3286404915715031E-2</v>
      </c>
      <c r="AE51" s="121">
        <f t="shared" si="107"/>
        <v>7.3286404915715031E-2</v>
      </c>
      <c r="AF51" s="121">
        <f t="shared" si="107"/>
        <v>7.3286404915715031E-2</v>
      </c>
      <c r="AG51" s="122">
        <f t="shared" si="107"/>
        <v>7.3286404915715031E-2</v>
      </c>
      <c r="AH51" s="28"/>
      <c r="AI51" s="28"/>
      <c r="AJ51" s="28"/>
      <c r="AK51" s="28"/>
      <c r="AL51" s="97"/>
      <c r="AM51" s="97"/>
      <c r="AN51" s="28"/>
      <c r="AO51" s="28"/>
      <c r="AP51" s="28"/>
      <c r="AQ51" s="28"/>
      <c r="AR51" s="28"/>
      <c r="AS51" s="28"/>
      <c r="AT51" s="28"/>
      <c r="AU51" s="28"/>
      <c r="AV51" s="28"/>
      <c r="AW51" s="28"/>
      <c r="AX51" s="28"/>
      <c r="AY51" s="28"/>
      <c r="AZ51" s="28"/>
      <c r="BA51" s="28"/>
      <c r="BB51" s="28"/>
      <c r="BC51" s="28"/>
      <c r="BD51" s="28"/>
      <c r="BE51" s="28"/>
    </row>
    <row r="52" spans="2:83" x14ac:dyDescent="0.25">
      <c r="B52" s="82" t="s">
        <v>10</v>
      </c>
      <c r="C52" s="83" t="s">
        <v>26</v>
      </c>
      <c r="D52" s="117"/>
      <c r="E52" s="118">
        <f>VLOOKUP(C52,[1]NWS_Input!$B$36:$E$46,G$59,FALSE)/VLOOKUP(C52,[1]NWS_Input!$B$8:$E$18,G$59,FALSE)</f>
        <v>0.31030895277581289</v>
      </c>
      <c r="F52" s="119">
        <f>VLOOKUP(C52,[1]NWS_Input!$B$36:$E$46,'Water Demand Criteria'!H$59,FALSE)/VLOOKUP(C52,[1]NWS_Input!$B$8:$E$18,H$59,FALSE)</f>
        <v>0.12260225938122064</v>
      </c>
      <c r="G52" s="120">
        <f>(VLOOKUP(C52,[1]NWS_Input!$B$36:$E$46,G$59,FALSE)+VLOOKUP(C52,[1]NWS_Input!$B$36:$E$46,'Water Demand Criteria'!H$59,FALSE))/(VLOOKUP(C52,[1]NWS_Input!$B$8:$E$18,G$59,FALSE)+VLOOKUP(C52,[1]NWS_Input!$B$8:$E$18,H$59,FALSE))</f>
        <v>0.21991800613323317</v>
      </c>
      <c r="H52" s="121">
        <f t="shared" si="108"/>
        <v>0.21991800613323317</v>
      </c>
      <c r="I52" s="121">
        <f t="shared" si="108"/>
        <v>0.21991800613323317</v>
      </c>
      <c r="J52" s="121">
        <f t="shared" si="108"/>
        <v>0.21991800613323317</v>
      </c>
      <c r="K52" s="121">
        <f t="shared" si="108"/>
        <v>0.21991800613323317</v>
      </c>
      <c r="L52" s="121">
        <f t="shared" si="108"/>
        <v>0.21991800613323317</v>
      </c>
      <c r="M52" s="121">
        <f t="shared" si="108"/>
        <v>0.21991800613323317</v>
      </c>
      <c r="N52" s="121">
        <f t="shared" si="108"/>
        <v>0.21991800613323317</v>
      </c>
      <c r="O52" s="121">
        <f t="shared" si="108"/>
        <v>0.21991800613323317</v>
      </c>
      <c r="P52" s="121">
        <f t="shared" si="108"/>
        <v>0.21991800613323317</v>
      </c>
      <c r="Q52" s="121">
        <f t="shared" si="108"/>
        <v>0.21991800613323317</v>
      </c>
      <c r="R52" s="121">
        <f t="shared" si="108"/>
        <v>0.21991800613323317</v>
      </c>
      <c r="S52" s="121">
        <f t="shared" si="108"/>
        <v>0.21991800613323317</v>
      </c>
      <c r="T52" s="121">
        <f t="shared" si="108"/>
        <v>0.21991800613323317</v>
      </c>
      <c r="U52" s="121">
        <f t="shared" si="108"/>
        <v>0.21991800613323317</v>
      </c>
      <c r="V52" s="121">
        <f t="shared" si="108"/>
        <v>0.21991800613323317</v>
      </c>
      <c r="W52" s="121">
        <f t="shared" si="108"/>
        <v>0.21991800613323317</v>
      </c>
      <c r="X52" s="121">
        <f t="shared" si="107"/>
        <v>0.21991800613323317</v>
      </c>
      <c r="Y52" s="121">
        <f t="shared" si="107"/>
        <v>0.21991800613323317</v>
      </c>
      <c r="Z52" s="121">
        <f t="shared" si="107"/>
        <v>0.21991800613323317</v>
      </c>
      <c r="AA52" s="121">
        <f t="shared" si="107"/>
        <v>0.21991800613323317</v>
      </c>
      <c r="AB52" s="121">
        <f t="shared" si="107"/>
        <v>0.21991800613323317</v>
      </c>
      <c r="AC52" s="121">
        <f t="shared" si="107"/>
        <v>0.21991800613323317</v>
      </c>
      <c r="AD52" s="121">
        <f t="shared" si="107"/>
        <v>0.21991800613323317</v>
      </c>
      <c r="AE52" s="121">
        <f t="shared" si="107"/>
        <v>0.21991800613323317</v>
      </c>
      <c r="AF52" s="121">
        <f t="shared" si="107"/>
        <v>0.21991800613323317</v>
      </c>
      <c r="AG52" s="122">
        <f t="shared" si="107"/>
        <v>0.21991800613323317</v>
      </c>
      <c r="AH52" s="28"/>
      <c r="AI52" s="28"/>
      <c r="AJ52" s="28"/>
      <c r="AK52" s="28"/>
      <c r="AL52" s="97"/>
      <c r="AM52" s="97"/>
      <c r="AN52" s="28"/>
      <c r="AO52" s="28"/>
      <c r="AP52" s="28"/>
      <c r="AQ52" s="28"/>
      <c r="AR52" s="28"/>
      <c r="AS52" s="28"/>
      <c r="AT52" s="28"/>
      <c r="AU52" s="28"/>
      <c r="AV52" s="28"/>
      <c r="AW52" s="28"/>
      <c r="AX52" s="28"/>
      <c r="AY52" s="28"/>
      <c r="AZ52" s="28"/>
      <c r="BA52" s="28"/>
      <c r="BB52" s="28"/>
      <c r="BC52" s="28"/>
      <c r="BD52" s="28"/>
      <c r="BE52" s="28"/>
    </row>
    <row r="53" spans="2:83" x14ac:dyDescent="0.25">
      <c r="B53" s="82" t="s">
        <v>12</v>
      </c>
      <c r="C53" s="83" t="s">
        <v>27</v>
      </c>
      <c r="D53" s="117"/>
      <c r="E53" s="118">
        <f>VLOOKUP(C53,[1]NWS_Input!$B$36:$E$46,G$59,FALSE)/VLOOKUP(C53,[1]NWS_Input!$B$8:$E$18,G$59,FALSE)</f>
        <v>6.9226125412846951E-2</v>
      </c>
      <c r="F53" s="119">
        <f>VLOOKUP(C53,[1]NWS_Input!$B$36:$E$46,'Water Demand Criteria'!H$59,FALSE)/VLOOKUP(C53,[1]NWS_Input!$B$8:$E$18,H$59,FALSE)</f>
        <v>0.1099147607929174</v>
      </c>
      <c r="G53" s="120">
        <f>(VLOOKUP(C53,[1]NWS_Input!$B$36:$E$46,G$59,FALSE)+VLOOKUP(C53,[1]NWS_Input!$B$36:$E$46,'Water Demand Criteria'!H$59,FALSE))/(VLOOKUP(C53,[1]NWS_Input!$B$8:$E$18,G$59,FALSE)+VLOOKUP(C53,[1]NWS_Input!$B$8:$E$18,H$59,FALSE))</f>
        <v>8.9622466394476991E-2</v>
      </c>
      <c r="H53" s="121">
        <f t="shared" si="108"/>
        <v>8.9622466394476991E-2</v>
      </c>
      <c r="I53" s="121">
        <f t="shared" si="108"/>
        <v>8.9622466394476991E-2</v>
      </c>
      <c r="J53" s="121">
        <f t="shared" si="108"/>
        <v>8.9622466394476991E-2</v>
      </c>
      <c r="K53" s="121">
        <f t="shared" si="108"/>
        <v>8.9622466394476991E-2</v>
      </c>
      <c r="L53" s="121">
        <f t="shared" si="108"/>
        <v>8.9622466394476991E-2</v>
      </c>
      <c r="M53" s="121">
        <f t="shared" si="108"/>
        <v>8.9622466394476991E-2</v>
      </c>
      <c r="N53" s="121">
        <f t="shared" si="108"/>
        <v>8.9622466394476991E-2</v>
      </c>
      <c r="O53" s="121">
        <f t="shared" si="108"/>
        <v>8.9622466394476991E-2</v>
      </c>
      <c r="P53" s="121">
        <f t="shared" si="108"/>
        <v>8.9622466394476991E-2</v>
      </c>
      <c r="Q53" s="121">
        <f t="shared" si="108"/>
        <v>8.9622466394476991E-2</v>
      </c>
      <c r="R53" s="121">
        <f t="shared" si="108"/>
        <v>8.9622466394476991E-2</v>
      </c>
      <c r="S53" s="121">
        <f t="shared" si="108"/>
        <v>8.9622466394476991E-2</v>
      </c>
      <c r="T53" s="121">
        <f t="shared" si="108"/>
        <v>8.9622466394476991E-2</v>
      </c>
      <c r="U53" s="121">
        <f t="shared" si="108"/>
        <v>8.9622466394476991E-2</v>
      </c>
      <c r="V53" s="121">
        <f t="shared" si="108"/>
        <v>8.9622466394476991E-2</v>
      </c>
      <c r="W53" s="121">
        <f t="shared" si="108"/>
        <v>8.9622466394476991E-2</v>
      </c>
      <c r="X53" s="121">
        <f t="shared" si="107"/>
        <v>8.9622466394476991E-2</v>
      </c>
      <c r="Y53" s="121">
        <f t="shared" si="107"/>
        <v>8.9622466394476991E-2</v>
      </c>
      <c r="Z53" s="121">
        <f t="shared" si="107"/>
        <v>8.9622466394476991E-2</v>
      </c>
      <c r="AA53" s="121">
        <f t="shared" si="107"/>
        <v>8.9622466394476991E-2</v>
      </c>
      <c r="AB53" s="121">
        <f t="shared" si="107"/>
        <v>8.9622466394476991E-2</v>
      </c>
      <c r="AC53" s="121">
        <f t="shared" si="107"/>
        <v>8.9622466394476991E-2</v>
      </c>
      <c r="AD53" s="121">
        <f t="shared" si="107"/>
        <v>8.9622466394476991E-2</v>
      </c>
      <c r="AE53" s="121">
        <f t="shared" si="107"/>
        <v>8.9622466394476991E-2</v>
      </c>
      <c r="AF53" s="121">
        <f t="shared" si="107"/>
        <v>8.9622466394476991E-2</v>
      </c>
      <c r="AG53" s="122">
        <f t="shared" si="107"/>
        <v>8.9622466394476991E-2</v>
      </c>
      <c r="AH53" s="28"/>
      <c r="AI53" s="28"/>
      <c r="AJ53" s="28"/>
      <c r="AK53" s="28"/>
      <c r="AL53" s="97"/>
      <c r="AM53" s="97"/>
      <c r="AN53" s="28"/>
      <c r="AO53" s="28"/>
      <c r="AP53" s="28"/>
      <c r="AQ53" s="28"/>
      <c r="AR53" s="28"/>
      <c r="AS53" s="28"/>
      <c r="AT53" s="28"/>
      <c r="AU53" s="28"/>
      <c r="AV53" s="28"/>
      <c r="AW53" s="28"/>
      <c r="AX53" s="28"/>
      <c r="AY53" s="28"/>
      <c r="AZ53" s="28"/>
      <c r="BA53" s="28"/>
      <c r="BB53" s="28"/>
      <c r="BC53" s="28"/>
      <c r="BD53" s="28"/>
      <c r="BE53" s="28"/>
    </row>
    <row r="54" spans="2:83" x14ac:dyDescent="0.25">
      <c r="B54" s="82" t="s">
        <v>13</v>
      </c>
      <c r="C54" s="83" t="s">
        <v>28</v>
      </c>
      <c r="D54" s="117"/>
      <c r="E54" s="118">
        <f>VLOOKUP(C54,[1]NWS_Input!$B$36:$E$46,G$59,FALSE)/VLOOKUP(C54,[1]NWS_Input!$B$8:$E$18,G$59,FALSE)</f>
        <v>0.11711084061576123</v>
      </c>
      <c r="F54" s="119">
        <f>VLOOKUP(C54,[1]NWS_Input!$B$36:$E$46,'Water Demand Criteria'!H$59,FALSE)/VLOOKUP(C54,[1]NWS_Input!$B$8:$E$18,H$59,FALSE)</f>
        <v>9.7495351936556993E-2</v>
      </c>
      <c r="G54" s="120">
        <f>(VLOOKUP(C54,[1]NWS_Input!$B$36:$E$46,G$59,FALSE)+VLOOKUP(C54,[1]NWS_Input!$B$36:$E$46,'Water Demand Criteria'!H$59,FALSE))/(VLOOKUP(C54,[1]NWS_Input!$B$8:$E$18,G$59,FALSE)+VLOOKUP(C54,[1]NWS_Input!$B$8:$E$18,H$59,FALSE))</f>
        <v>0.1073611432898374</v>
      </c>
      <c r="H54" s="121">
        <f t="shared" si="108"/>
        <v>0.1073611432898374</v>
      </c>
      <c r="I54" s="121">
        <f t="shared" si="108"/>
        <v>0.1073611432898374</v>
      </c>
      <c r="J54" s="121">
        <f t="shared" si="108"/>
        <v>0.1073611432898374</v>
      </c>
      <c r="K54" s="121">
        <f t="shared" si="108"/>
        <v>0.1073611432898374</v>
      </c>
      <c r="L54" s="121">
        <f t="shared" si="108"/>
        <v>0.1073611432898374</v>
      </c>
      <c r="M54" s="121">
        <f t="shared" si="108"/>
        <v>0.1073611432898374</v>
      </c>
      <c r="N54" s="121">
        <f t="shared" si="108"/>
        <v>0.1073611432898374</v>
      </c>
      <c r="O54" s="121">
        <f t="shared" si="108"/>
        <v>0.1073611432898374</v>
      </c>
      <c r="P54" s="121">
        <f t="shared" si="108"/>
        <v>0.1073611432898374</v>
      </c>
      <c r="Q54" s="121">
        <f t="shared" si="108"/>
        <v>0.1073611432898374</v>
      </c>
      <c r="R54" s="121">
        <f t="shared" si="108"/>
        <v>0.1073611432898374</v>
      </c>
      <c r="S54" s="121">
        <f t="shared" si="108"/>
        <v>0.1073611432898374</v>
      </c>
      <c r="T54" s="121">
        <f t="shared" si="108"/>
        <v>0.1073611432898374</v>
      </c>
      <c r="U54" s="121">
        <f t="shared" si="108"/>
        <v>0.1073611432898374</v>
      </c>
      <c r="V54" s="121">
        <f t="shared" si="108"/>
        <v>0.1073611432898374</v>
      </c>
      <c r="W54" s="121">
        <f t="shared" si="108"/>
        <v>0.1073611432898374</v>
      </c>
      <c r="X54" s="121">
        <f t="shared" si="107"/>
        <v>0.1073611432898374</v>
      </c>
      <c r="Y54" s="121">
        <f t="shared" si="107"/>
        <v>0.1073611432898374</v>
      </c>
      <c r="Z54" s="121">
        <f t="shared" si="107"/>
        <v>0.1073611432898374</v>
      </c>
      <c r="AA54" s="121">
        <f t="shared" si="107"/>
        <v>0.1073611432898374</v>
      </c>
      <c r="AB54" s="121">
        <f t="shared" si="107"/>
        <v>0.1073611432898374</v>
      </c>
      <c r="AC54" s="121">
        <f t="shared" si="107"/>
        <v>0.1073611432898374</v>
      </c>
      <c r="AD54" s="121">
        <f t="shared" si="107"/>
        <v>0.1073611432898374</v>
      </c>
      <c r="AE54" s="121">
        <f t="shared" si="107"/>
        <v>0.1073611432898374</v>
      </c>
      <c r="AF54" s="121">
        <f t="shared" si="107"/>
        <v>0.1073611432898374</v>
      </c>
      <c r="AG54" s="122">
        <f t="shared" si="107"/>
        <v>0.1073611432898374</v>
      </c>
      <c r="AH54" s="28"/>
      <c r="AI54" s="28"/>
      <c r="AJ54" s="28"/>
      <c r="AK54" s="28"/>
      <c r="AL54" s="97"/>
      <c r="AM54" s="97"/>
      <c r="AN54" s="28"/>
      <c r="AO54" s="28"/>
      <c r="AP54" s="28"/>
      <c r="AQ54" s="28"/>
      <c r="AR54" s="28"/>
      <c r="AS54" s="28"/>
      <c r="AT54" s="28"/>
      <c r="AU54" s="28"/>
      <c r="AV54" s="28"/>
      <c r="AW54" s="28"/>
      <c r="AX54" s="28"/>
      <c r="AY54" s="28"/>
      <c r="AZ54" s="28"/>
      <c r="BA54" s="28"/>
      <c r="BB54" s="28"/>
      <c r="BC54" s="28"/>
      <c r="BD54" s="28"/>
      <c r="BE54" s="28"/>
    </row>
    <row r="55" spans="2:83" x14ac:dyDescent="0.25">
      <c r="B55" s="82" t="s">
        <v>14</v>
      </c>
      <c r="C55" s="83" t="s">
        <v>29</v>
      </c>
      <c r="D55" s="117"/>
      <c r="E55" s="118">
        <f>VLOOKUP(C55,[1]NWS_Input!$B$36:$E$46,G$59,FALSE)/VLOOKUP(C55,[1]NWS_Input!$B$8:$E$18,G$59,FALSE)</f>
        <v>4.5603309372233614E-2</v>
      </c>
      <c r="F55" s="119">
        <f>VLOOKUP(C55,[1]NWS_Input!$B$36:$E$46,'Water Demand Criteria'!H$59,FALSE)/VLOOKUP(C55,[1]NWS_Input!$B$8:$E$18,H$59,FALSE)</f>
        <v>4.3198016927560361E-2</v>
      </c>
      <c r="G55" s="120">
        <f>(VLOOKUP(C55,[1]NWS_Input!$B$36:$E$46,G$59,FALSE)+VLOOKUP(C55,[1]NWS_Input!$B$36:$E$46,'Water Demand Criteria'!H$59,FALSE))/(VLOOKUP(C55,[1]NWS_Input!$B$8:$E$18,G$59,FALSE)+VLOOKUP(C55,[1]NWS_Input!$B$8:$E$18,H$59,FALSE))</f>
        <v>4.4396767853953002E-2</v>
      </c>
      <c r="H55" s="121">
        <f t="shared" si="108"/>
        <v>4.4396767853953002E-2</v>
      </c>
      <c r="I55" s="121">
        <f t="shared" si="108"/>
        <v>4.4396767853953002E-2</v>
      </c>
      <c r="J55" s="121">
        <f t="shared" si="108"/>
        <v>4.4396767853953002E-2</v>
      </c>
      <c r="K55" s="121">
        <f t="shared" si="108"/>
        <v>4.4396767853953002E-2</v>
      </c>
      <c r="L55" s="121">
        <f t="shared" si="108"/>
        <v>4.4396767853953002E-2</v>
      </c>
      <c r="M55" s="121">
        <f t="shared" si="108"/>
        <v>4.4396767853953002E-2</v>
      </c>
      <c r="N55" s="121">
        <f t="shared" si="108"/>
        <v>4.4396767853953002E-2</v>
      </c>
      <c r="O55" s="121">
        <f t="shared" si="108"/>
        <v>4.4396767853953002E-2</v>
      </c>
      <c r="P55" s="121">
        <f t="shared" si="108"/>
        <v>4.4396767853953002E-2</v>
      </c>
      <c r="Q55" s="121">
        <f t="shared" si="108"/>
        <v>4.4396767853953002E-2</v>
      </c>
      <c r="R55" s="121">
        <f t="shared" si="108"/>
        <v>4.4396767853953002E-2</v>
      </c>
      <c r="S55" s="121">
        <f t="shared" si="108"/>
        <v>4.4396767853953002E-2</v>
      </c>
      <c r="T55" s="121">
        <f t="shared" si="108"/>
        <v>4.4396767853953002E-2</v>
      </c>
      <c r="U55" s="121">
        <f t="shared" si="108"/>
        <v>4.4396767853953002E-2</v>
      </c>
      <c r="V55" s="121">
        <f t="shared" si="108"/>
        <v>4.4396767853953002E-2</v>
      </c>
      <c r="W55" s="121">
        <f t="shared" si="108"/>
        <v>4.4396767853953002E-2</v>
      </c>
      <c r="X55" s="121">
        <f t="shared" si="107"/>
        <v>4.4396767853953002E-2</v>
      </c>
      <c r="Y55" s="121">
        <f t="shared" si="107"/>
        <v>4.4396767853953002E-2</v>
      </c>
      <c r="Z55" s="121">
        <f t="shared" si="107"/>
        <v>4.4396767853953002E-2</v>
      </c>
      <c r="AA55" s="121">
        <f t="shared" si="107"/>
        <v>4.4396767853953002E-2</v>
      </c>
      <c r="AB55" s="121">
        <f t="shared" si="107"/>
        <v>4.4396767853953002E-2</v>
      </c>
      <c r="AC55" s="121">
        <f t="shared" si="107"/>
        <v>4.4396767853953002E-2</v>
      </c>
      <c r="AD55" s="121">
        <f t="shared" si="107"/>
        <v>4.4396767853953002E-2</v>
      </c>
      <c r="AE55" s="121">
        <f t="shared" si="107"/>
        <v>4.4396767853953002E-2</v>
      </c>
      <c r="AF55" s="121">
        <f t="shared" si="107"/>
        <v>4.4396767853953002E-2</v>
      </c>
      <c r="AG55" s="122">
        <f t="shared" si="107"/>
        <v>4.4396767853953002E-2</v>
      </c>
      <c r="AH55" s="28"/>
      <c r="AI55" s="28"/>
      <c r="AJ55" s="28"/>
      <c r="AK55" s="28"/>
      <c r="AL55" s="97"/>
      <c r="AM55" s="97"/>
      <c r="AN55" s="28"/>
      <c r="AO55" s="28"/>
      <c r="AP55" s="28"/>
      <c r="AQ55" s="28"/>
      <c r="AR55" s="28"/>
      <c r="AS55" s="28"/>
      <c r="AT55" s="28"/>
      <c r="AU55" s="28"/>
      <c r="AV55" s="28"/>
      <c r="AW55" s="28"/>
      <c r="AX55" s="28"/>
      <c r="AY55" s="28"/>
      <c r="AZ55" s="28"/>
      <c r="BA55" s="28"/>
      <c r="BB55" s="28"/>
      <c r="BC55" s="28"/>
      <c r="BD55" s="28"/>
      <c r="BE55" s="28"/>
    </row>
    <row r="56" spans="2:83" x14ac:dyDescent="0.2">
      <c r="B56" s="82" t="s">
        <v>16</v>
      </c>
      <c r="C56" s="83" t="s">
        <v>30</v>
      </c>
      <c r="D56" s="117"/>
      <c r="E56" s="118">
        <f>VLOOKUP(C56,[1]NWS_Input!$B$36:$E$46,G$59,FALSE)/VLOOKUP(C56,[1]NWS_Input!$B$8:$E$18,G$59,FALSE)</f>
        <v>0.19884135283296384</v>
      </c>
      <c r="F56" s="119">
        <f>VLOOKUP(C56,[1]NWS_Input!$B$36:$E$46,'Water Demand Criteria'!H$59,FALSE)/VLOOKUP(C56,[1]NWS_Input!$B$8:$E$18,H$59,FALSE)</f>
        <v>0.23732057217495664</v>
      </c>
      <c r="G56" s="120">
        <f>(VLOOKUP(C56,[1]NWS_Input!$B$36:$E$46,G$59,FALSE)+VLOOKUP(C56,[1]NWS_Input!$B$36:$E$46,'Water Demand Criteria'!H$59,FALSE))/(VLOOKUP(C56,[1]NWS_Input!$B$8:$E$18,G$59,FALSE)+VLOOKUP(C56,[1]NWS_Input!$B$8:$E$18,H$59,FALSE))</f>
        <v>0.21809297418547885</v>
      </c>
      <c r="H56" s="121">
        <f t="shared" si="108"/>
        <v>0.21809297418547885</v>
      </c>
      <c r="I56" s="121">
        <f t="shared" si="108"/>
        <v>0.21809297418547885</v>
      </c>
      <c r="J56" s="121">
        <f t="shared" si="108"/>
        <v>0.21809297418547885</v>
      </c>
      <c r="K56" s="121">
        <f t="shared" si="108"/>
        <v>0.21809297418547885</v>
      </c>
      <c r="L56" s="121">
        <f t="shared" si="108"/>
        <v>0.21809297418547885</v>
      </c>
      <c r="M56" s="121">
        <f t="shared" si="108"/>
        <v>0.21809297418547885</v>
      </c>
      <c r="N56" s="121">
        <f t="shared" si="108"/>
        <v>0.21809297418547885</v>
      </c>
      <c r="O56" s="121">
        <f t="shared" si="108"/>
        <v>0.21809297418547885</v>
      </c>
      <c r="P56" s="121">
        <f t="shared" si="108"/>
        <v>0.21809297418547885</v>
      </c>
      <c r="Q56" s="121">
        <f t="shared" si="108"/>
        <v>0.21809297418547885</v>
      </c>
      <c r="R56" s="121">
        <f t="shared" si="108"/>
        <v>0.21809297418547885</v>
      </c>
      <c r="S56" s="121">
        <f t="shared" si="108"/>
        <v>0.21809297418547885</v>
      </c>
      <c r="T56" s="121">
        <f t="shared" si="108"/>
        <v>0.21809297418547885</v>
      </c>
      <c r="U56" s="121">
        <f t="shared" si="108"/>
        <v>0.21809297418547885</v>
      </c>
      <c r="V56" s="121">
        <f t="shared" si="108"/>
        <v>0.21809297418547885</v>
      </c>
      <c r="W56" s="121">
        <f t="shared" si="108"/>
        <v>0.21809297418547885</v>
      </c>
      <c r="X56" s="121">
        <f t="shared" si="107"/>
        <v>0.21809297418547885</v>
      </c>
      <c r="Y56" s="121">
        <f t="shared" si="107"/>
        <v>0.21809297418547885</v>
      </c>
      <c r="Z56" s="121">
        <f t="shared" si="107"/>
        <v>0.21809297418547885</v>
      </c>
      <c r="AA56" s="121">
        <f t="shared" si="107"/>
        <v>0.21809297418547885</v>
      </c>
      <c r="AB56" s="121">
        <f t="shared" si="107"/>
        <v>0.21809297418547885</v>
      </c>
      <c r="AC56" s="121">
        <f t="shared" si="107"/>
        <v>0.21809297418547885</v>
      </c>
      <c r="AD56" s="121">
        <f t="shared" si="107"/>
        <v>0.21809297418547885</v>
      </c>
      <c r="AE56" s="121">
        <f t="shared" si="107"/>
        <v>0.21809297418547885</v>
      </c>
      <c r="AF56" s="121">
        <f t="shared" si="107"/>
        <v>0.21809297418547885</v>
      </c>
      <c r="AG56" s="122">
        <f t="shared" si="107"/>
        <v>0.21809297418547885</v>
      </c>
      <c r="AH56" s="122">
        <f t="shared" ref="AH56" si="109">AG56</f>
        <v>0.21809297418547885</v>
      </c>
      <c r="AI56" s="122">
        <f t="shared" ref="AI56" si="110">AH56</f>
        <v>0.21809297418547885</v>
      </c>
      <c r="AJ56" s="122">
        <f t="shared" ref="AJ56" si="111">AI56</f>
        <v>0.21809297418547885</v>
      </c>
      <c r="AK56" s="122">
        <f t="shared" ref="AK56" si="112">AJ56</f>
        <v>0.21809297418547885</v>
      </c>
      <c r="AL56" s="122">
        <f t="shared" ref="AL56" si="113">AK56</f>
        <v>0.21809297418547885</v>
      </c>
      <c r="AM56" s="122">
        <f t="shared" ref="AM56" si="114">AL56</f>
        <v>0.21809297418547885</v>
      </c>
      <c r="AN56" s="122">
        <f t="shared" ref="AN56" si="115">AM56</f>
        <v>0.21809297418547885</v>
      </c>
      <c r="AO56" s="122">
        <f t="shared" ref="AO56" si="116">AN56</f>
        <v>0.21809297418547885</v>
      </c>
      <c r="AP56" s="122">
        <f t="shared" ref="AP56" si="117">AO56</f>
        <v>0.21809297418547885</v>
      </c>
      <c r="AQ56" s="122">
        <f t="shared" ref="AQ56" si="118">AP56</f>
        <v>0.21809297418547885</v>
      </c>
      <c r="AR56" s="122">
        <f t="shared" ref="AR56" si="119">AQ56</f>
        <v>0.21809297418547885</v>
      </c>
      <c r="AS56" s="122">
        <f t="shared" ref="AS56" si="120">AR56</f>
        <v>0.21809297418547885</v>
      </c>
      <c r="AT56" s="122">
        <f t="shared" ref="AT56" si="121">AS56</f>
        <v>0.21809297418547885</v>
      </c>
      <c r="AU56" s="122">
        <f t="shared" ref="AU56" si="122">AT56</f>
        <v>0.21809297418547885</v>
      </c>
      <c r="AV56" s="122">
        <f t="shared" ref="AV56" si="123">AU56</f>
        <v>0.21809297418547885</v>
      </c>
      <c r="AW56" s="122">
        <f t="shared" ref="AW56" si="124">AV56</f>
        <v>0.21809297418547885</v>
      </c>
      <c r="AX56" s="122">
        <f t="shared" ref="AX56" si="125">AW56</f>
        <v>0.21809297418547885</v>
      </c>
      <c r="AY56" s="122">
        <f t="shared" ref="AY56" si="126">AX56</f>
        <v>0.21809297418547885</v>
      </c>
      <c r="AZ56" s="122">
        <f t="shared" ref="AZ56" si="127">AY56</f>
        <v>0.21809297418547885</v>
      </c>
      <c r="BA56" s="122">
        <f t="shared" ref="BA56" si="128">AZ56</f>
        <v>0.21809297418547885</v>
      </c>
      <c r="BB56" s="122">
        <f t="shared" ref="BB56" si="129">BA56</f>
        <v>0.21809297418547885</v>
      </c>
      <c r="BC56" s="122">
        <f t="shared" ref="BC56" si="130">BB56</f>
        <v>0.21809297418547885</v>
      </c>
      <c r="BD56" s="122">
        <f t="shared" ref="BD56" si="131">BC56</f>
        <v>0.21809297418547885</v>
      </c>
      <c r="BE56" s="122">
        <f t="shared" ref="BE56" si="132">BD56</f>
        <v>0.21809297418547885</v>
      </c>
      <c r="BF56" s="122">
        <f t="shared" ref="BF56" si="133">BE56</f>
        <v>0.21809297418547885</v>
      </c>
      <c r="BG56" s="122">
        <f t="shared" ref="BG56" si="134">BF56</f>
        <v>0.21809297418547885</v>
      </c>
      <c r="BH56" s="122">
        <f t="shared" ref="BH56" si="135">BG56</f>
        <v>0.21809297418547885</v>
      </c>
      <c r="BI56" s="122">
        <f t="shared" ref="BI56" si="136">BH56</f>
        <v>0.21809297418547885</v>
      </c>
      <c r="BJ56" s="122">
        <f t="shared" ref="BJ56" si="137">BI56</f>
        <v>0.21809297418547885</v>
      </c>
      <c r="BK56" s="122">
        <f t="shared" ref="BK56" si="138">BJ56</f>
        <v>0.21809297418547885</v>
      </c>
      <c r="BL56" s="122">
        <f t="shared" ref="BL56" si="139">BK56</f>
        <v>0.21809297418547885</v>
      </c>
      <c r="BM56" s="122">
        <f t="shared" ref="BM56" si="140">BL56</f>
        <v>0.21809297418547885</v>
      </c>
      <c r="BN56" s="122">
        <f t="shared" ref="BN56" si="141">BM56</f>
        <v>0.21809297418547885</v>
      </c>
      <c r="BO56" s="122">
        <f t="shared" ref="BO56" si="142">BN56</f>
        <v>0.21809297418547885</v>
      </c>
      <c r="BP56" s="122">
        <f t="shared" ref="BP56" si="143">BO56</f>
        <v>0.21809297418547885</v>
      </c>
      <c r="BQ56" s="122">
        <f t="shared" ref="BQ56" si="144">BP56</f>
        <v>0.21809297418547885</v>
      </c>
      <c r="BR56" s="122">
        <f t="shared" ref="BR56" si="145">BQ56</f>
        <v>0.21809297418547885</v>
      </c>
      <c r="BS56" s="122">
        <f t="shared" ref="BS56" si="146">BR56</f>
        <v>0.21809297418547885</v>
      </c>
      <c r="BT56" s="122">
        <f t="shared" ref="BT56" si="147">BS56</f>
        <v>0.21809297418547885</v>
      </c>
      <c r="BU56" s="122">
        <f t="shared" ref="BU56" si="148">BT56</f>
        <v>0.21809297418547885</v>
      </c>
      <c r="BV56" s="122">
        <f t="shared" ref="BV56" si="149">BU56</f>
        <v>0.21809297418547885</v>
      </c>
      <c r="BW56" s="122">
        <f t="shared" ref="BW56" si="150">BV56</f>
        <v>0.21809297418547885</v>
      </c>
      <c r="BX56" s="122">
        <f t="shared" ref="BX56" si="151">BW56</f>
        <v>0.21809297418547885</v>
      </c>
      <c r="BY56" s="122">
        <f t="shared" ref="BY56" si="152">BX56</f>
        <v>0.21809297418547885</v>
      </c>
      <c r="BZ56" s="122">
        <f t="shared" ref="BZ56" si="153">BY56</f>
        <v>0.21809297418547885</v>
      </c>
      <c r="CA56" s="122">
        <f t="shared" ref="CA56" si="154">BZ56</f>
        <v>0.21809297418547885</v>
      </c>
      <c r="CB56" s="122">
        <f t="shared" ref="CB56" si="155">CA56</f>
        <v>0.21809297418547885</v>
      </c>
      <c r="CC56" s="122">
        <f t="shared" ref="CC56" si="156">CB56</f>
        <v>0.21809297418547885</v>
      </c>
      <c r="CD56" s="122">
        <f t="shared" ref="CD56" si="157">CC56</f>
        <v>0.21809297418547885</v>
      </c>
      <c r="CE56" s="122">
        <f t="shared" ref="CE56" si="158">CD56</f>
        <v>0.21809297418547885</v>
      </c>
    </row>
    <row r="57" spans="2:83" ht="15.75" thickBot="1" x14ac:dyDescent="0.3">
      <c r="B57" s="98" t="s">
        <v>19</v>
      </c>
      <c r="C57" s="99" t="s">
        <v>31</v>
      </c>
      <c r="D57" s="117"/>
      <c r="E57" s="118">
        <f>VLOOKUP(C57,[1]NWS_Input!$B$36:$E$46,G$59,FALSE)/VLOOKUP(C57,[1]NWS_Input!$B$8:$E$18,G$59,FALSE)</f>
        <v>-0.26240049360129086</v>
      </c>
      <c r="F57" s="119">
        <f>VLOOKUP(C57,[1]NWS_Input!$B$36:$E$46,'Water Demand Criteria'!H$59,FALSE)/VLOOKUP(C57,[1]NWS_Input!$B$8:$E$18,H$59,FALSE)</f>
        <v>0.10892246000896193</v>
      </c>
      <c r="G57" s="123">
        <f>VLOOKUP(C57,[1]NWS_Input!$B$36:$E$46,H$59,FALSE)/VLOOKUP(C57,[1]NWS_Input!$B$8:$E$18,H$59,FALSE)</f>
        <v>0.10892246000896193</v>
      </c>
      <c r="H57" s="121">
        <f t="shared" si="108"/>
        <v>0.10892246000896193</v>
      </c>
      <c r="I57" s="121">
        <f t="shared" si="108"/>
        <v>0.10892246000896193</v>
      </c>
      <c r="J57" s="121">
        <f t="shared" si="108"/>
        <v>0.10892246000896193</v>
      </c>
      <c r="K57" s="121">
        <f t="shared" si="108"/>
        <v>0.10892246000896193</v>
      </c>
      <c r="L57" s="121">
        <f t="shared" si="108"/>
        <v>0.10892246000896193</v>
      </c>
      <c r="M57" s="121">
        <f t="shared" si="108"/>
        <v>0.10892246000896193</v>
      </c>
      <c r="N57" s="121">
        <f t="shared" si="108"/>
        <v>0.10892246000896193</v>
      </c>
      <c r="O57" s="121">
        <f t="shared" si="108"/>
        <v>0.10892246000896193</v>
      </c>
      <c r="P57" s="121">
        <f t="shared" si="108"/>
        <v>0.10892246000896193</v>
      </c>
      <c r="Q57" s="121">
        <f t="shared" si="108"/>
        <v>0.10892246000896193</v>
      </c>
      <c r="R57" s="121">
        <f t="shared" si="108"/>
        <v>0.10892246000896193</v>
      </c>
      <c r="S57" s="121">
        <f t="shared" si="108"/>
        <v>0.10892246000896193</v>
      </c>
      <c r="T57" s="121">
        <f t="shared" si="108"/>
        <v>0.10892246000896193</v>
      </c>
      <c r="U57" s="121">
        <f t="shared" si="108"/>
        <v>0.10892246000896193</v>
      </c>
      <c r="V57" s="121">
        <f t="shared" si="108"/>
        <v>0.10892246000896193</v>
      </c>
      <c r="W57" s="121">
        <f t="shared" si="108"/>
        <v>0.10892246000896193</v>
      </c>
      <c r="X57" s="121">
        <f t="shared" si="107"/>
        <v>0.10892246000896193</v>
      </c>
      <c r="Y57" s="121">
        <f t="shared" si="107"/>
        <v>0.10892246000896193</v>
      </c>
      <c r="Z57" s="121">
        <f t="shared" si="107"/>
        <v>0.10892246000896193</v>
      </c>
      <c r="AA57" s="121">
        <f t="shared" si="107"/>
        <v>0.10892246000896193</v>
      </c>
      <c r="AB57" s="121">
        <f t="shared" si="107"/>
        <v>0.10892246000896193</v>
      </c>
      <c r="AC57" s="121">
        <f t="shared" si="107"/>
        <v>0.10892246000896193</v>
      </c>
      <c r="AD57" s="121">
        <f t="shared" si="107"/>
        <v>0.10892246000896193</v>
      </c>
      <c r="AE57" s="121">
        <f t="shared" si="107"/>
        <v>0.10892246000896193</v>
      </c>
      <c r="AF57" s="121">
        <f t="shared" si="107"/>
        <v>0.10892246000896193</v>
      </c>
      <c r="AG57" s="122">
        <f t="shared" si="107"/>
        <v>0.10892246000896193</v>
      </c>
      <c r="AH57" s="28"/>
      <c r="AI57" s="28"/>
      <c r="AJ57" s="28"/>
      <c r="AK57" s="28"/>
      <c r="AL57" s="97"/>
      <c r="AM57" s="97"/>
      <c r="AN57" s="28"/>
      <c r="AO57" s="28"/>
      <c r="AP57" s="28"/>
      <c r="AQ57" s="28"/>
      <c r="AR57" s="28"/>
      <c r="AS57" s="28"/>
      <c r="AT57" s="28"/>
      <c r="AU57" s="28"/>
      <c r="AV57" s="28"/>
      <c r="AW57" s="28"/>
      <c r="AX57" s="28"/>
      <c r="AY57" s="28"/>
      <c r="AZ57" s="28"/>
      <c r="BA57" s="28"/>
      <c r="BB57" s="28"/>
      <c r="BC57" s="28"/>
      <c r="BD57" s="28"/>
      <c r="BE57" s="28"/>
    </row>
    <row r="58" spans="2:83" ht="15.75" thickBot="1" x14ac:dyDescent="0.3">
      <c r="B58" s="28"/>
      <c r="C58" s="23" t="s">
        <v>32</v>
      </c>
      <c r="D58" s="124"/>
      <c r="E58" s="125">
        <f>VLOOKUP(C58,[1]NWS_Input!$B$36:$E$46,G$59,FALSE)/VLOOKUP(C58,[1]NWS_Input!$B$8:$E$18,G$59,FALSE)</f>
        <v>0.18595209176104302</v>
      </c>
      <c r="F58" s="126">
        <f>VLOOKUP(C58,[1]NWS_Input!$B$36:$E$46,'Water Demand Criteria'!H$59,FALSE)/VLOOKUP(C58,[1]NWS_Input!$B$8:$E$18,H$59,FALSE)</f>
        <v>0.16757155072293906</v>
      </c>
      <c r="G58" s="127">
        <f>(VLOOKUP(C58,[1]NWS_Input!$B$22:$E$32,G$59,FALSE)+VLOOKUP(C58,[1]NWS_Input!$B$22:$E$32,H$59,FALSE))/(VLOOKUP(C58,[1]NWS_Input!$B$8:$E$18,G$59,FALSE)+VLOOKUP(C58,[1]NWS_Input!$B$8:$E$18,H$59,FALSE))</f>
        <v>0.26088576282564868</v>
      </c>
      <c r="H58" s="128">
        <f t="shared" si="108"/>
        <v>0.26088576282564868</v>
      </c>
      <c r="I58" s="128">
        <f t="shared" si="108"/>
        <v>0.26088576282564868</v>
      </c>
      <c r="J58" s="128">
        <f t="shared" si="108"/>
        <v>0.26088576282564868</v>
      </c>
      <c r="K58" s="128">
        <f t="shared" si="108"/>
        <v>0.26088576282564868</v>
      </c>
      <c r="L58" s="128">
        <f t="shared" si="108"/>
        <v>0.26088576282564868</v>
      </c>
      <c r="M58" s="128">
        <f t="shared" si="108"/>
        <v>0.26088576282564868</v>
      </c>
      <c r="N58" s="128">
        <f t="shared" si="108"/>
        <v>0.26088576282564868</v>
      </c>
      <c r="O58" s="128">
        <f t="shared" si="108"/>
        <v>0.26088576282564868</v>
      </c>
      <c r="P58" s="128">
        <f t="shared" si="108"/>
        <v>0.26088576282564868</v>
      </c>
      <c r="Q58" s="128">
        <f t="shared" si="108"/>
        <v>0.26088576282564868</v>
      </c>
      <c r="R58" s="128">
        <f t="shared" si="108"/>
        <v>0.26088576282564868</v>
      </c>
      <c r="S58" s="128">
        <f t="shared" si="108"/>
        <v>0.26088576282564868</v>
      </c>
      <c r="T58" s="128">
        <f t="shared" si="108"/>
        <v>0.26088576282564868</v>
      </c>
      <c r="U58" s="128">
        <f t="shared" si="108"/>
        <v>0.26088576282564868</v>
      </c>
      <c r="V58" s="128">
        <f t="shared" si="108"/>
        <v>0.26088576282564868</v>
      </c>
      <c r="W58" s="128">
        <f t="shared" si="108"/>
        <v>0.26088576282564868</v>
      </c>
      <c r="X58" s="128">
        <f t="shared" si="107"/>
        <v>0.26088576282564868</v>
      </c>
      <c r="Y58" s="128">
        <f t="shared" si="107"/>
        <v>0.26088576282564868</v>
      </c>
      <c r="Z58" s="128">
        <f t="shared" si="107"/>
        <v>0.26088576282564868</v>
      </c>
      <c r="AA58" s="128">
        <f t="shared" si="107"/>
        <v>0.26088576282564868</v>
      </c>
      <c r="AB58" s="128">
        <f t="shared" si="107"/>
        <v>0.26088576282564868</v>
      </c>
      <c r="AC58" s="128">
        <f>AB58</f>
        <v>0.26088576282564868</v>
      </c>
      <c r="AD58" s="128">
        <f>AC58</f>
        <v>0.26088576282564868</v>
      </c>
      <c r="AE58" s="128">
        <f>AD58</f>
        <v>0.26088576282564868</v>
      </c>
      <c r="AF58" s="128">
        <f>AE58</f>
        <v>0.26088576282564868</v>
      </c>
      <c r="AG58" s="129">
        <f>AF58</f>
        <v>0.26088576282564868</v>
      </c>
      <c r="AH58" s="28"/>
      <c r="AI58" s="28"/>
      <c r="AJ58" s="28"/>
      <c r="AK58" s="28"/>
      <c r="AL58" s="97"/>
      <c r="AM58" s="97"/>
      <c r="AN58" s="28"/>
      <c r="AO58" s="28"/>
      <c r="AP58" s="28"/>
      <c r="AQ58" s="28"/>
      <c r="AR58" s="28"/>
      <c r="AS58" s="28"/>
      <c r="AT58" s="28"/>
      <c r="AU58" s="28"/>
      <c r="AV58" s="28"/>
      <c r="AW58" s="28"/>
      <c r="AX58" s="28"/>
      <c r="AY58" s="28"/>
      <c r="AZ58" s="28"/>
      <c r="BA58" s="28"/>
      <c r="BB58" s="28"/>
      <c r="BC58" s="28"/>
      <c r="BD58" s="28"/>
      <c r="BE58" s="28"/>
    </row>
    <row r="59" spans="2:83" ht="30" x14ac:dyDescent="0.25">
      <c r="B59" s="28"/>
      <c r="C59" s="106" t="s">
        <v>639</v>
      </c>
      <c r="G59" s="107">
        <v>3</v>
      </c>
      <c r="H59" s="108">
        <v>4</v>
      </c>
      <c r="I59" s="107">
        <v>5</v>
      </c>
      <c r="J59" s="108">
        <v>6</v>
      </c>
      <c r="K59" s="107">
        <v>7</v>
      </c>
      <c r="L59" s="108">
        <v>8</v>
      </c>
      <c r="M59" s="107">
        <v>9</v>
      </c>
      <c r="N59" s="108">
        <v>10</v>
      </c>
      <c r="O59" s="107">
        <v>11</v>
      </c>
      <c r="P59" s="108">
        <v>12</v>
      </c>
      <c r="Q59" s="107">
        <v>13</v>
      </c>
      <c r="R59" s="108">
        <v>14</v>
      </c>
      <c r="S59" s="107">
        <v>15</v>
      </c>
      <c r="T59" s="108">
        <v>16</v>
      </c>
      <c r="U59" s="107">
        <v>17</v>
      </c>
      <c r="V59" s="108">
        <v>18</v>
      </c>
      <c r="W59" s="107">
        <v>19</v>
      </c>
      <c r="X59" s="108">
        <v>20</v>
      </c>
      <c r="Y59" s="107">
        <v>21</v>
      </c>
      <c r="Z59" s="108">
        <v>22</v>
      </c>
      <c r="AA59" s="107">
        <v>23</v>
      </c>
      <c r="AB59" s="108">
        <v>24</v>
      </c>
      <c r="AC59" s="107">
        <v>25</v>
      </c>
      <c r="AD59" s="108">
        <v>26</v>
      </c>
      <c r="AE59" s="107">
        <v>27</v>
      </c>
      <c r="AF59" s="108">
        <v>28</v>
      </c>
      <c r="AG59" s="107">
        <v>29</v>
      </c>
      <c r="AH59" s="28"/>
      <c r="AI59" s="28"/>
      <c r="AJ59" s="28"/>
      <c r="AK59" s="28"/>
      <c r="AL59" s="97"/>
      <c r="AM59" s="97"/>
      <c r="AN59" s="28"/>
      <c r="AO59" s="28"/>
      <c r="AP59" s="28"/>
      <c r="AQ59" s="28"/>
      <c r="AR59" s="28"/>
      <c r="AS59" s="28"/>
      <c r="AT59" s="28"/>
      <c r="AU59" s="28"/>
      <c r="AV59" s="28"/>
      <c r="AW59" s="28"/>
      <c r="AX59" s="28"/>
      <c r="AY59" s="28"/>
      <c r="AZ59" s="28"/>
      <c r="BA59" s="28"/>
      <c r="BB59" s="28"/>
      <c r="BC59" s="28"/>
      <c r="BD59" s="28"/>
      <c r="BE59" s="28"/>
    </row>
    <row r="60" spans="2:83" x14ac:dyDescent="0.25">
      <c r="B60" s="28"/>
      <c r="C60" s="28"/>
      <c r="D60" s="28"/>
      <c r="E60" s="28"/>
      <c r="F60" s="28"/>
      <c r="G60" s="28"/>
      <c r="H60" s="28"/>
      <c r="I60" s="72"/>
      <c r="J60" s="64"/>
      <c r="K60" s="65"/>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97"/>
      <c r="AM60" s="97"/>
      <c r="AN60" s="28"/>
      <c r="AO60" s="28"/>
      <c r="AP60" s="28"/>
      <c r="AQ60" s="28"/>
      <c r="AR60" s="28"/>
      <c r="AS60" s="28"/>
      <c r="AT60" s="28"/>
      <c r="AU60" s="28"/>
      <c r="AV60" s="28"/>
      <c r="AW60" s="28"/>
      <c r="AX60" s="28"/>
      <c r="AY60" s="28"/>
      <c r="AZ60" s="28"/>
      <c r="BA60" s="28"/>
      <c r="BB60" s="28"/>
      <c r="BC60" s="28"/>
      <c r="BD60" s="28"/>
      <c r="BE60" s="28"/>
    </row>
    <row r="61" spans="2:83" x14ac:dyDescent="0.25">
      <c r="B61" s="28"/>
      <c r="C61" s="28"/>
      <c r="D61" s="28"/>
      <c r="E61" s="28"/>
      <c r="F61" s="28"/>
      <c r="G61" s="28"/>
      <c r="H61" s="28"/>
      <c r="I61" s="72"/>
      <c r="J61" s="64"/>
      <c r="K61" s="65"/>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97"/>
      <c r="AM61" s="97"/>
      <c r="AN61" s="28"/>
      <c r="AO61" s="28"/>
      <c r="AP61" s="28"/>
      <c r="AQ61" s="28"/>
      <c r="AR61" s="28"/>
      <c r="AS61" s="28"/>
      <c r="AT61" s="28"/>
      <c r="AU61" s="28"/>
      <c r="AV61" s="28"/>
      <c r="AW61" s="28"/>
      <c r="AX61" s="28"/>
      <c r="AY61" s="28"/>
      <c r="AZ61" s="28"/>
      <c r="BA61" s="28"/>
      <c r="BB61" s="28"/>
      <c r="BC61" s="28"/>
      <c r="BD61" s="28"/>
      <c r="BE61" s="28"/>
    </row>
    <row r="62" spans="2:83" ht="15.75" thickBot="1" x14ac:dyDescent="0.3">
      <c r="B62" s="28"/>
      <c r="C62" s="28"/>
      <c r="D62" s="28"/>
      <c r="E62" s="28"/>
      <c r="F62" s="28"/>
      <c r="G62" s="28"/>
      <c r="H62" s="28"/>
      <c r="I62" s="72"/>
      <c r="J62" s="64"/>
      <c r="K62" s="65"/>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97"/>
      <c r="AM62" s="97"/>
      <c r="AN62" s="28"/>
      <c r="AO62" s="28"/>
      <c r="AP62" s="28"/>
      <c r="AQ62" s="28"/>
      <c r="AR62" s="28"/>
      <c r="AS62" s="28"/>
      <c r="AT62" s="28"/>
      <c r="AU62" s="28"/>
      <c r="AV62" s="28"/>
      <c r="AW62" s="28"/>
      <c r="AX62" s="28"/>
      <c r="AY62" s="28"/>
      <c r="AZ62" s="28"/>
      <c r="BA62" s="28"/>
      <c r="BB62" s="28"/>
      <c r="BC62" s="28"/>
      <c r="BD62" s="28"/>
      <c r="BE62" s="28"/>
    </row>
    <row r="63" spans="2:83" ht="23.25" x14ac:dyDescent="0.35">
      <c r="B63" s="308" t="s">
        <v>643</v>
      </c>
      <c r="C63" s="309"/>
      <c r="D63" s="310"/>
      <c r="E63" s="322" t="s">
        <v>644</v>
      </c>
      <c r="F63" s="305"/>
      <c r="G63" s="305"/>
      <c r="H63" s="305"/>
      <c r="I63" s="305"/>
      <c r="J63" s="305"/>
      <c r="K63" s="305"/>
      <c r="L63" s="305"/>
      <c r="M63" s="323" t="s">
        <v>645</v>
      </c>
      <c r="N63" s="323"/>
      <c r="O63" s="323"/>
      <c r="P63" s="323"/>
      <c r="Q63" s="323"/>
      <c r="R63" s="323"/>
      <c r="S63" s="323"/>
      <c r="T63" s="323"/>
      <c r="U63" s="316" t="s">
        <v>646</v>
      </c>
      <c r="V63" s="316"/>
      <c r="W63" s="316"/>
      <c r="X63" s="316"/>
      <c r="Y63" s="316"/>
      <c r="Z63" s="316"/>
      <c r="AA63" s="316"/>
      <c r="AB63" s="316"/>
      <c r="AC63" s="28"/>
      <c r="AD63" s="28"/>
      <c r="AE63" s="28"/>
      <c r="AF63" s="28"/>
      <c r="AG63" s="28"/>
      <c r="AH63" s="28"/>
      <c r="AI63" s="28"/>
      <c r="AJ63" s="28"/>
      <c r="AK63" s="28"/>
      <c r="AL63" s="97"/>
      <c r="AM63" s="97"/>
      <c r="AN63" s="28"/>
      <c r="AO63" s="28"/>
      <c r="AP63" s="28"/>
      <c r="AQ63" s="28"/>
      <c r="AR63" s="28"/>
      <c r="AS63" s="28"/>
      <c r="AT63" s="28"/>
      <c r="AU63" s="28"/>
      <c r="AV63" s="28"/>
      <c r="AW63" s="28"/>
      <c r="AX63" s="28"/>
      <c r="AY63" s="28"/>
      <c r="AZ63" s="28"/>
      <c r="BA63" s="28"/>
      <c r="BB63" s="28"/>
      <c r="BC63" s="28"/>
      <c r="BD63" s="28"/>
      <c r="BE63" s="28"/>
    </row>
    <row r="64" spans="2:83" ht="24" thickBot="1" x14ac:dyDescent="0.4">
      <c r="B64" s="311"/>
      <c r="C64" s="312"/>
      <c r="D64" s="313"/>
      <c r="E64" s="317" t="s">
        <v>647</v>
      </c>
      <c r="F64" s="318"/>
      <c r="G64" s="318"/>
      <c r="H64" s="318"/>
      <c r="I64" s="318"/>
      <c r="J64" s="318"/>
      <c r="K64" s="318"/>
      <c r="L64" s="318"/>
      <c r="M64" s="319" t="s">
        <v>648</v>
      </c>
      <c r="N64" s="320"/>
      <c r="O64" s="320"/>
      <c r="P64" s="320"/>
      <c r="Q64" s="320"/>
      <c r="R64" s="320"/>
      <c r="S64" s="320"/>
      <c r="T64" s="320"/>
      <c r="U64" s="307" t="s">
        <v>649</v>
      </c>
      <c r="V64" s="307"/>
      <c r="W64" s="307"/>
      <c r="X64" s="307"/>
      <c r="Y64" s="307"/>
      <c r="Z64" s="307"/>
      <c r="AA64" s="307"/>
      <c r="AB64" s="307"/>
      <c r="AC64" s="70"/>
      <c r="AD64" s="70"/>
      <c r="AE64" s="28"/>
      <c r="AF64" s="28"/>
      <c r="AG64" s="28"/>
      <c r="AH64" s="28"/>
      <c r="AI64" s="28"/>
      <c r="AJ64" s="28"/>
      <c r="AK64" s="28"/>
      <c r="AL64" s="97"/>
      <c r="AM64" s="97"/>
      <c r="AN64" s="28"/>
      <c r="AO64" s="28"/>
      <c r="AP64" s="28"/>
      <c r="AQ64" s="28"/>
      <c r="AR64" s="28"/>
      <c r="AS64" s="28"/>
      <c r="AT64" s="28"/>
      <c r="AU64" s="28"/>
      <c r="AV64" s="28"/>
      <c r="AW64" s="28"/>
      <c r="AX64" s="28"/>
      <c r="AY64" s="28"/>
      <c r="AZ64" s="28"/>
      <c r="BA64" s="28"/>
      <c r="BB64" s="28"/>
      <c r="BC64" s="28"/>
      <c r="BD64" s="28"/>
      <c r="BE64" s="28"/>
    </row>
    <row r="65" spans="2:57" ht="15.75" thickBot="1" x14ac:dyDescent="0.3">
      <c r="B65" s="28"/>
      <c r="C65" s="71"/>
      <c r="D65" s="28"/>
      <c r="E65" s="28"/>
      <c r="F65" s="28"/>
      <c r="G65" s="28"/>
      <c r="H65" s="28"/>
      <c r="I65" s="72"/>
      <c r="J65" s="64"/>
      <c r="K65" s="65"/>
      <c r="L65" s="73"/>
      <c r="M65" s="73"/>
      <c r="N65" s="73"/>
      <c r="O65" s="74"/>
      <c r="P65" s="74"/>
      <c r="Q65" s="74"/>
      <c r="R65" s="74"/>
      <c r="S65" s="74"/>
      <c r="T65" s="74"/>
      <c r="U65" s="74"/>
      <c r="V65" s="74"/>
      <c r="W65" s="74"/>
      <c r="X65" s="74"/>
      <c r="Y65" s="74"/>
      <c r="Z65" s="74"/>
      <c r="AA65" s="74"/>
      <c r="AB65" s="74"/>
      <c r="AC65" s="74"/>
      <c r="AD65" s="74"/>
      <c r="AE65" s="28"/>
      <c r="AF65" s="28"/>
      <c r="AG65" s="28"/>
      <c r="AH65" s="28"/>
      <c r="AI65" s="28"/>
      <c r="AJ65" s="28"/>
      <c r="AK65" s="28"/>
      <c r="AL65" s="97"/>
      <c r="AM65" s="97"/>
      <c r="AN65" s="28"/>
      <c r="AO65" s="28"/>
      <c r="AP65" s="28"/>
      <c r="AQ65" s="28"/>
      <c r="AR65" s="28"/>
      <c r="AS65" s="28"/>
      <c r="AT65" s="28"/>
      <c r="AU65" s="28"/>
      <c r="AV65" s="28"/>
      <c r="AW65" s="28"/>
      <c r="AX65" s="28"/>
      <c r="AY65" s="28"/>
      <c r="AZ65" s="28"/>
      <c r="BA65" s="28"/>
      <c r="BB65" s="28"/>
      <c r="BC65" s="28"/>
      <c r="BD65" s="28"/>
      <c r="BE65" s="28"/>
    </row>
    <row r="66" spans="2:57" ht="15.75" thickBot="1" x14ac:dyDescent="0.3">
      <c r="B66" s="75" t="s">
        <v>2</v>
      </c>
      <c r="C66" s="76" t="s">
        <v>60</v>
      </c>
      <c r="D66" s="77">
        <v>2021</v>
      </c>
      <c r="E66" s="78">
        <v>2022</v>
      </c>
      <c r="F66" s="79">
        <v>2023</v>
      </c>
      <c r="G66" s="130">
        <v>2024</v>
      </c>
      <c r="H66" s="131">
        <v>2025</v>
      </c>
      <c r="I66" s="131">
        <v>2026</v>
      </c>
      <c r="J66" s="131">
        <v>2027</v>
      </c>
      <c r="K66" s="131">
        <v>2028</v>
      </c>
      <c r="L66" s="131">
        <v>2029</v>
      </c>
      <c r="M66" s="131">
        <v>2030</v>
      </c>
      <c r="N66" s="131">
        <v>2031</v>
      </c>
      <c r="O66" s="131">
        <v>2032</v>
      </c>
      <c r="P66" s="131">
        <v>2033</v>
      </c>
      <c r="Q66" s="131">
        <v>2034</v>
      </c>
      <c r="R66" s="131">
        <v>2035</v>
      </c>
      <c r="S66" s="131">
        <v>2036</v>
      </c>
      <c r="T66" s="131">
        <v>2037</v>
      </c>
      <c r="U66" s="131">
        <v>2038</v>
      </c>
      <c r="V66" s="131">
        <v>2039</v>
      </c>
      <c r="W66" s="131">
        <v>2040</v>
      </c>
      <c r="X66" s="131">
        <v>2041</v>
      </c>
      <c r="Y66" s="131">
        <v>2042</v>
      </c>
      <c r="Z66" s="131">
        <v>2043</v>
      </c>
      <c r="AA66" s="131">
        <v>2044</v>
      </c>
      <c r="AB66" s="131">
        <v>2045</v>
      </c>
      <c r="AC66" s="131">
        <v>2046</v>
      </c>
      <c r="AD66" s="131">
        <v>2047</v>
      </c>
      <c r="AE66" s="131">
        <v>2048</v>
      </c>
      <c r="AF66" s="131">
        <v>2049</v>
      </c>
      <c r="AG66" s="132">
        <v>2050</v>
      </c>
      <c r="AH66" s="28"/>
      <c r="AI66" s="133" t="s">
        <v>650</v>
      </c>
      <c r="AJ66" s="28"/>
      <c r="AK66" s="28"/>
      <c r="AL66" s="97"/>
      <c r="AM66" s="97"/>
      <c r="AN66" s="28"/>
      <c r="AO66" s="28"/>
      <c r="AP66" s="28"/>
      <c r="AQ66" s="28"/>
      <c r="AR66" s="28"/>
      <c r="AS66" s="28"/>
      <c r="AT66" s="28"/>
      <c r="AU66" s="28"/>
      <c r="AV66" s="28"/>
      <c r="AW66" s="28"/>
      <c r="AX66" s="28"/>
      <c r="AY66" s="28"/>
      <c r="AZ66" s="28"/>
      <c r="BA66" s="28"/>
      <c r="BB66" s="28"/>
      <c r="BC66" s="28"/>
      <c r="BD66" s="28"/>
      <c r="BE66" s="28"/>
    </row>
    <row r="67" spans="2:57" x14ac:dyDescent="0.25">
      <c r="B67" s="82" t="s">
        <v>5</v>
      </c>
      <c r="C67" s="83" t="s">
        <v>22</v>
      </c>
      <c r="D67" s="134">
        <f>VLOOKUP($C67,[1]NWS_Input!$B$51:$E$61,D$77,FALSE)*VLOOKUP($C67,[1]Pop_Wilayat!$B$78:$F$88,D$78,FALSE)/VLOOKUP($C67,[1]Pop_Wilayat!$C$60:$F$70,D$77,FALSE)</f>
        <v>0.85422151528463763</v>
      </c>
      <c r="E67" s="135">
        <f>VLOOKUP($C67,[1]NWS_Input!$B$51:$E$61,E$77,FALSE)*VLOOKUP($C67,[1]Pop_Wilayat!$B$78:$F$88,E$78,FALSE)/VLOOKUP($C67,[1]Pop_Wilayat!$C$60:$F$70,E$77,FALSE)</f>
        <v>0.87833220533110357</v>
      </c>
      <c r="F67" s="136">
        <f>VLOOKUP($C67,[1]NWS_Input!$B$51:$E$61,F$77,FALSE)*VLOOKUP($C67,[1]Pop_Wilayat!$B$78:$F$88,F$78,FALSE)/VLOOKUP($C67,[1]Pop_Wilayat!$C$60:$F$70,F$77,FALSE)</f>
        <v>0.88694361035755143</v>
      </c>
      <c r="G67" s="137">
        <f>F67+(((F67-E67)+(E67-D67))/2)</f>
        <v>0.90330465789400827</v>
      </c>
      <c r="H67" s="118">
        <f>G67+$AI67</f>
        <v>0.90482241626728022</v>
      </c>
      <c r="I67" s="118">
        <f t="shared" ref="I67:Q67" si="159">H67+$AI67</f>
        <v>0.90634017464055217</v>
      </c>
      <c r="J67" s="118">
        <f t="shared" si="159"/>
        <v>0.90785793301382411</v>
      </c>
      <c r="K67" s="118">
        <f t="shared" si="159"/>
        <v>0.90937569138709606</v>
      </c>
      <c r="L67" s="118">
        <f t="shared" si="159"/>
        <v>0.91089344976036801</v>
      </c>
      <c r="M67" s="118">
        <f t="shared" si="159"/>
        <v>0.91241120813363996</v>
      </c>
      <c r="N67" s="118">
        <f t="shared" si="159"/>
        <v>0.91392896650691191</v>
      </c>
      <c r="O67" s="118">
        <f t="shared" si="159"/>
        <v>0.91544672488018386</v>
      </c>
      <c r="P67" s="118">
        <f t="shared" si="159"/>
        <v>0.91696448325345581</v>
      </c>
      <c r="Q67" s="118">
        <f t="shared" si="159"/>
        <v>0.91848224162672776</v>
      </c>
      <c r="R67" s="138">
        <v>0.92</v>
      </c>
      <c r="S67" s="121">
        <f>R67</f>
        <v>0.92</v>
      </c>
      <c r="T67" s="121">
        <f t="shared" ref="T67:AG67" si="160">S67</f>
        <v>0.92</v>
      </c>
      <c r="U67" s="121">
        <f t="shared" si="160"/>
        <v>0.92</v>
      </c>
      <c r="V67" s="121">
        <f t="shared" si="160"/>
        <v>0.92</v>
      </c>
      <c r="W67" s="121">
        <f t="shared" si="160"/>
        <v>0.92</v>
      </c>
      <c r="X67" s="121">
        <f t="shared" si="160"/>
        <v>0.92</v>
      </c>
      <c r="Y67" s="121">
        <f t="shared" si="160"/>
        <v>0.92</v>
      </c>
      <c r="Z67" s="121">
        <f t="shared" si="160"/>
        <v>0.92</v>
      </c>
      <c r="AA67" s="121">
        <f t="shared" si="160"/>
        <v>0.92</v>
      </c>
      <c r="AB67" s="121">
        <f t="shared" si="160"/>
        <v>0.92</v>
      </c>
      <c r="AC67" s="121">
        <f t="shared" si="160"/>
        <v>0.92</v>
      </c>
      <c r="AD67" s="121">
        <f t="shared" si="160"/>
        <v>0.92</v>
      </c>
      <c r="AE67" s="121">
        <f t="shared" si="160"/>
        <v>0.92</v>
      </c>
      <c r="AF67" s="121">
        <f t="shared" si="160"/>
        <v>0.92</v>
      </c>
      <c r="AG67" s="122">
        <f t="shared" si="160"/>
        <v>0.92</v>
      </c>
      <c r="AH67" s="28"/>
      <c r="AI67" s="139">
        <f>($R67-G67)/(R$66-G$66)</f>
        <v>1.5177583732719794E-3</v>
      </c>
      <c r="AJ67" s="28"/>
      <c r="AK67" s="28"/>
      <c r="AL67" s="97"/>
      <c r="AM67" s="97"/>
      <c r="AN67" s="28"/>
      <c r="AO67" s="28"/>
      <c r="AP67" s="28"/>
      <c r="AQ67" s="28"/>
      <c r="AR67" s="28"/>
      <c r="AS67" s="28"/>
      <c r="AT67" s="28"/>
      <c r="AU67" s="28"/>
      <c r="AV67" s="28"/>
      <c r="AW67" s="28"/>
      <c r="AX67" s="28"/>
      <c r="AY67" s="28"/>
      <c r="AZ67" s="28"/>
      <c r="BA67" s="28"/>
      <c r="BB67" s="28"/>
      <c r="BC67" s="28"/>
      <c r="BD67" s="28"/>
      <c r="BE67" s="28"/>
    </row>
    <row r="68" spans="2:57" x14ac:dyDescent="0.25">
      <c r="B68" s="82" t="s">
        <v>6</v>
      </c>
      <c r="C68" s="83" t="s">
        <v>23</v>
      </c>
      <c r="D68" s="140">
        <f>VLOOKUP($C68,[1]NWS_Input!$B$51:$E$61,D$77,FALSE)*VLOOKUP($C68,[1]Pop_Wilayat!$B$78:$F$88,D$78,FALSE)/VLOOKUP($C68,[1]Pop_Wilayat!$C$60:$F$70,D$77,FALSE)</f>
        <v>0.75451605694672841</v>
      </c>
      <c r="E68" s="141">
        <f>VLOOKUP($C68,[1]NWS_Input!$B$51:$E$61,E$77,FALSE)*VLOOKUP($C68,[1]Pop_Wilayat!$B$78:$F$88,E$78,FALSE)/VLOOKUP($C68,[1]Pop_Wilayat!$C$60:$F$70,E$77,FALSE)</f>
        <v>0.7891128669968287</v>
      </c>
      <c r="F68" s="142">
        <f>VLOOKUP($C68,[1]NWS_Input!$B$51:$E$61,F$77,FALSE)*VLOOKUP($C68,[1]Pop_Wilayat!$B$78:$F$88,F$78,FALSE)/VLOOKUP($C68,[1]Pop_Wilayat!$C$60:$F$70,F$77,FALSE)</f>
        <v>0.81858841050598152</v>
      </c>
      <c r="G68" s="137">
        <f t="shared" ref="G68:G75" si="161">F68+(((F68-E68)+(E68-D68))/2)</f>
        <v>0.85062458728560808</v>
      </c>
      <c r="H68" s="118">
        <f t="shared" ref="H68:Q76" si="162">G68+$AI68</f>
        <v>0.85511326116873465</v>
      </c>
      <c r="I68" s="118">
        <f t="shared" si="162"/>
        <v>0.85960193505186122</v>
      </c>
      <c r="J68" s="118">
        <f t="shared" si="162"/>
        <v>0.86409060893498779</v>
      </c>
      <c r="K68" s="118">
        <f t="shared" si="162"/>
        <v>0.86857928281811436</v>
      </c>
      <c r="L68" s="118">
        <f t="shared" si="162"/>
        <v>0.87306795670124093</v>
      </c>
      <c r="M68" s="118">
        <f t="shared" si="162"/>
        <v>0.8775566305843675</v>
      </c>
      <c r="N68" s="118">
        <f t="shared" si="162"/>
        <v>0.88204530446749407</v>
      </c>
      <c r="O68" s="118">
        <f t="shared" si="162"/>
        <v>0.88653397835062064</v>
      </c>
      <c r="P68" s="118">
        <f t="shared" si="162"/>
        <v>0.89102265223374721</v>
      </c>
      <c r="Q68" s="118">
        <f t="shared" si="162"/>
        <v>0.89551132611687378</v>
      </c>
      <c r="R68" s="138">
        <v>0.9</v>
      </c>
      <c r="S68" s="121">
        <f t="shared" ref="S68:AG76" si="163">R68</f>
        <v>0.9</v>
      </c>
      <c r="T68" s="121">
        <f t="shared" si="163"/>
        <v>0.9</v>
      </c>
      <c r="U68" s="121">
        <f t="shared" si="163"/>
        <v>0.9</v>
      </c>
      <c r="V68" s="121">
        <f t="shared" si="163"/>
        <v>0.9</v>
      </c>
      <c r="W68" s="121">
        <f t="shared" si="163"/>
        <v>0.9</v>
      </c>
      <c r="X68" s="121">
        <f t="shared" si="163"/>
        <v>0.9</v>
      </c>
      <c r="Y68" s="121">
        <f t="shared" si="163"/>
        <v>0.9</v>
      </c>
      <c r="Z68" s="121">
        <f t="shared" si="163"/>
        <v>0.9</v>
      </c>
      <c r="AA68" s="121">
        <f t="shared" si="163"/>
        <v>0.9</v>
      </c>
      <c r="AB68" s="121">
        <f t="shared" si="163"/>
        <v>0.9</v>
      </c>
      <c r="AC68" s="121">
        <f t="shared" si="163"/>
        <v>0.9</v>
      </c>
      <c r="AD68" s="121">
        <f t="shared" si="163"/>
        <v>0.9</v>
      </c>
      <c r="AE68" s="121">
        <f t="shared" si="163"/>
        <v>0.9</v>
      </c>
      <c r="AF68" s="121">
        <f t="shared" si="163"/>
        <v>0.9</v>
      </c>
      <c r="AG68" s="122">
        <f t="shared" si="163"/>
        <v>0.9</v>
      </c>
      <c r="AH68" s="28"/>
      <c r="AI68" s="139">
        <f t="shared" ref="AI68:AI76" si="164">($R68-G68)/(R$66-G$66)</f>
        <v>4.4886738831265401E-3</v>
      </c>
      <c r="AJ68" s="28"/>
      <c r="AK68" s="28"/>
      <c r="AL68" s="97"/>
      <c r="AM68" s="97"/>
      <c r="AN68" s="28"/>
      <c r="AO68" s="28"/>
      <c r="AP68" s="28"/>
      <c r="AQ68" s="28"/>
      <c r="AR68" s="28"/>
      <c r="AS68" s="28"/>
      <c r="AT68" s="28"/>
      <c r="AU68" s="28"/>
      <c r="AV68" s="28"/>
      <c r="AW68" s="28"/>
      <c r="AX68" s="28"/>
      <c r="AY68" s="28"/>
      <c r="AZ68" s="28"/>
      <c r="BA68" s="28"/>
      <c r="BB68" s="28"/>
      <c r="BC68" s="28"/>
      <c r="BD68" s="28"/>
      <c r="BE68" s="28"/>
    </row>
    <row r="69" spans="2:57" x14ac:dyDescent="0.25">
      <c r="B69" s="82" t="s">
        <v>7</v>
      </c>
      <c r="C69" s="83" t="s">
        <v>24</v>
      </c>
      <c r="D69" s="140">
        <f>VLOOKUP($C69,[1]NWS_Input!$B$51:$E$61,D$77,FALSE)*VLOOKUP($C69,[1]Pop_Wilayat!$B$78:$F$88,D$78,FALSE)/VLOOKUP($C69,[1]Pop_Wilayat!$C$60:$F$70,D$77,FALSE)</f>
        <v>0.67095343225644311</v>
      </c>
      <c r="E69" s="141">
        <f>VLOOKUP($C69,[1]NWS_Input!$B$51:$E$61,E$77,FALSE)*VLOOKUP($C69,[1]Pop_Wilayat!$B$78:$F$88,E$78,FALSE)/VLOOKUP($C69,[1]Pop_Wilayat!$C$60:$F$70,E$77,FALSE)</f>
        <v>0.67755807392126777</v>
      </c>
      <c r="F69" s="142">
        <f>VLOOKUP($C69,[1]NWS_Input!$B$51:$E$61,F$77,FALSE)*VLOOKUP($C69,[1]Pop_Wilayat!$B$78:$F$88,F$78,FALSE)/VLOOKUP($C69,[1]Pop_Wilayat!$C$60:$F$70,F$77,FALSE)</f>
        <v>0.69062853110968236</v>
      </c>
      <c r="G69" s="137">
        <f t="shared" si="161"/>
        <v>0.70046608053630199</v>
      </c>
      <c r="H69" s="118">
        <f t="shared" si="162"/>
        <v>0.71406007321482001</v>
      </c>
      <c r="I69" s="118">
        <f t="shared" si="162"/>
        <v>0.72765406589333803</v>
      </c>
      <c r="J69" s="118">
        <f t="shared" si="162"/>
        <v>0.74124805857185605</v>
      </c>
      <c r="K69" s="118">
        <f t="shared" si="162"/>
        <v>0.75484205125037407</v>
      </c>
      <c r="L69" s="118">
        <f t="shared" si="162"/>
        <v>0.76843604392889209</v>
      </c>
      <c r="M69" s="118">
        <f t="shared" si="162"/>
        <v>0.78203003660741011</v>
      </c>
      <c r="N69" s="118">
        <f t="shared" si="162"/>
        <v>0.79562402928592812</v>
      </c>
      <c r="O69" s="118">
        <f t="shared" si="162"/>
        <v>0.80921802196444614</v>
      </c>
      <c r="P69" s="118">
        <f t="shared" si="162"/>
        <v>0.82281201464296416</v>
      </c>
      <c r="Q69" s="118">
        <f t="shared" si="162"/>
        <v>0.83640600732148218</v>
      </c>
      <c r="R69" s="138">
        <v>0.85</v>
      </c>
      <c r="S69" s="121">
        <f t="shared" si="163"/>
        <v>0.85</v>
      </c>
      <c r="T69" s="121">
        <f t="shared" si="163"/>
        <v>0.85</v>
      </c>
      <c r="U69" s="121">
        <f t="shared" si="163"/>
        <v>0.85</v>
      </c>
      <c r="V69" s="121">
        <f t="shared" si="163"/>
        <v>0.85</v>
      </c>
      <c r="W69" s="121">
        <f t="shared" si="163"/>
        <v>0.85</v>
      </c>
      <c r="X69" s="121">
        <f t="shared" si="163"/>
        <v>0.85</v>
      </c>
      <c r="Y69" s="121">
        <f t="shared" si="163"/>
        <v>0.85</v>
      </c>
      <c r="Z69" s="121">
        <f t="shared" si="163"/>
        <v>0.85</v>
      </c>
      <c r="AA69" s="121">
        <f t="shared" si="163"/>
        <v>0.85</v>
      </c>
      <c r="AB69" s="121">
        <f t="shared" si="163"/>
        <v>0.85</v>
      </c>
      <c r="AC69" s="121">
        <f t="shared" si="163"/>
        <v>0.85</v>
      </c>
      <c r="AD69" s="121">
        <f t="shared" si="163"/>
        <v>0.85</v>
      </c>
      <c r="AE69" s="121">
        <f t="shared" si="163"/>
        <v>0.85</v>
      </c>
      <c r="AF69" s="121">
        <f t="shared" si="163"/>
        <v>0.85</v>
      </c>
      <c r="AG69" s="122">
        <f t="shared" si="163"/>
        <v>0.85</v>
      </c>
      <c r="AH69" s="28"/>
      <c r="AI69" s="139">
        <f t="shared" si="164"/>
        <v>1.3593992678517998E-2</v>
      </c>
      <c r="AJ69" s="28"/>
      <c r="AK69" s="28"/>
      <c r="AL69" s="97"/>
      <c r="AM69" s="97"/>
      <c r="AN69" s="28"/>
      <c r="AO69" s="28"/>
      <c r="AP69" s="28"/>
      <c r="AQ69" s="28"/>
      <c r="AR69" s="28"/>
      <c r="AS69" s="28"/>
      <c r="AT69" s="28"/>
      <c r="AU69" s="28"/>
      <c r="AV69" s="28"/>
      <c r="AW69" s="28"/>
      <c r="AX69" s="28"/>
      <c r="AY69" s="28"/>
      <c r="AZ69" s="28"/>
      <c r="BA69" s="28"/>
      <c r="BB69" s="28"/>
      <c r="BC69" s="28"/>
      <c r="BD69" s="28"/>
      <c r="BE69" s="28"/>
    </row>
    <row r="70" spans="2:57" x14ac:dyDescent="0.25">
      <c r="B70" s="82" t="s">
        <v>9</v>
      </c>
      <c r="C70" s="83" t="s">
        <v>25</v>
      </c>
      <c r="D70" s="140">
        <f>VLOOKUP($C70,[1]NWS_Input!$B$51:$E$61,D$77,FALSE)*VLOOKUP($C70,[1]Pop_Wilayat!$B$78:$F$88,D$78,FALSE)/VLOOKUP($C70,[1]Pop_Wilayat!$C$60:$F$70,D$77,FALSE)</f>
        <v>0.56051755054916641</v>
      </c>
      <c r="E70" s="141">
        <f>VLOOKUP($C70,[1]NWS_Input!$B$51:$E$61,E$77,FALSE)*VLOOKUP($C70,[1]Pop_Wilayat!$B$78:$F$88,E$78,FALSE)/VLOOKUP($C70,[1]Pop_Wilayat!$C$60:$F$70,E$77,FALSE)</f>
        <v>0.60756052100883595</v>
      </c>
      <c r="F70" s="142">
        <f>VLOOKUP($C70,[1]NWS_Input!$B$51:$E$61,F$77,FALSE)*VLOOKUP($C70,[1]Pop_Wilayat!$B$78:$F$88,F$78,FALSE)/VLOOKUP($C70,[1]Pop_Wilayat!$C$60:$F$70,F$77,FALSE)</f>
        <v>0.62138200315343106</v>
      </c>
      <c r="G70" s="137">
        <f t="shared" si="161"/>
        <v>0.65181422945556333</v>
      </c>
      <c r="H70" s="118">
        <f t="shared" si="162"/>
        <v>0.66983111768687575</v>
      </c>
      <c r="I70" s="118">
        <f t="shared" si="162"/>
        <v>0.68784800591818818</v>
      </c>
      <c r="J70" s="118">
        <f t="shared" si="162"/>
        <v>0.7058648941495006</v>
      </c>
      <c r="K70" s="118">
        <f t="shared" si="162"/>
        <v>0.72388178238081302</v>
      </c>
      <c r="L70" s="118">
        <f t="shared" si="162"/>
        <v>0.74189867061212544</v>
      </c>
      <c r="M70" s="118">
        <f t="shared" si="162"/>
        <v>0.75991555884343787</v>
      </c>
      <c r="N70" s="118">
        <f t="shared" si="162"/>
        <v>0.77793244707475029</v>
      </c>
      <c r="O70" s="118">
        <f t="shared" si="162"/>
        <v>0.79594933530606271</v>
      </c>
      <c r="P70" s="118">
        <f t="shared" si="162"/>
        <v>0.81396622353737513</v>
      </c>
      <c r="Q70" s="118">
        <f t="shared" si="162"/>
        <v>0.83198311176868756</v>
      </c>
      <c r="R70" s="138">
        <v>0.85</v>
      </c>
      <c r="S70" s="121">
        <f t="shared" si="163"/>
        <v>0.85</v>
      </c>
      <c r="T70" s="121">
        <f t="shared" si="163"/>
        <v>0.85</v>
      </c>
      <c r="U70" s="121">
        <f t="shared" si="163"/>
        <v>0.85</v>
      </c>
      <c r="V70" s="121">
        <f t="shared" si="163"/>
        <v>0.85</v>
      </c>
      <c r="W70" s="121">
        <f t="shared" si="163"/>
        <v>0.85</v>
      </c>
      <c r="X70" s="121">
        <f t="shared" si="163"/>
        <v>0.85</v>
      </c>
      <c r="Y70" s="121">
        <f t="shared" si="163"/>
        <v>0.85</v>
      </c>
      <c r="Z70" s="121">
        <f t="shared" si="163"/>
        <v>0.85</v>
      </c>
      <c r="AA70" s="121">
        <f t="shared" si="163"/>
        <v>0.85</v>
      </c>
      <c r="AB70" s="121">
        <f t="shared" si="163"/>
        <v>0.85</v>
      </c>
      <c r="AC70" s="121">
        <f t="shared" si="163"/>
        <v>0.85</v>
      </c>
      <c r="AD70" s="121">
        <f t="shared" si="163"/>
        <v>0.85</v>
      </c>
      <c r="AE70" s="121">
        <f t="shared" si="163"/>
        <v>0.85</v>
      </c>
      <c r="AF70" s="121">
        <f t="shared" si="163"/>
        <v>0.85</v>
      </c>
      <c r="AG70" s="122">
        <f t="shared" si="163"/>
        <v>0.85</v>
      </c>
      <c r="AH70" s="28"/>
      <c r="AI70" s="139">
        <f t="shared" si="164"/>
        <v>1.8016888231312422E-2</v>
      </c>
      <c r="AJ70" s="28"/>
      <c r="AK70" s="28"/>
      <c r="AL70" s="97"/>
      <c r="AM70" s="97"/>
      <c r="AN70" s="28"/>
      <c r="AO70" s="28"/>
      <c r="AP70" s="28"/>
      <c r="AQ70" s="28"/>
      <c r="AR70" s="28"/>
      <c r="AS70" s="28"/>
      <c r="AT70" s="28"/>
      <c r="AU70" s="28"/>
      <c r="AV70" s="28"/>
      <c r="AW70" s="28"/>
      <c r="AX70" s="28"/>
      <c r="AY70" s="28"/>
      <c r="AZ70" s="28"/>
      <c r="BA70" s="28"/>
      <c r="BB70" s="28"/>
      <c r="BC70" s="28"/>
      <c r="BD70" s="28"/>
      <c r="BE70" s="28"/>
    </row>
    <row r="71" spans="2:57" x14ac:dyDescent="0.25">
      <c r="B71" s="82" t="s">
        <v>10</v>
      </c>
      <c r="C71" s="83" t="s">
        <v>26</v>
      </c>
      <c r="D71" s="140">
        <f>VLOOKUP($C71,[1]NWS_Input!$B$51:$E$61,D$77,FALSE)*VLOOKUP($C71,[1]Pop_Wilayat!$B$78:$F$88,D$78,FALSE)/VLOOKUP($C71,[1]Pop_Wilayat!$C$60:$F$70,D$77,FALSE)</f>
        <v>0.58967335983183411</v>
      </c>
      <c r="E71" s="141">
        <f>VLOOKUP($C71,[1]NWS_Input!$B$51:$E$61,E$77,FALSE)*VLOOKUP($C71,[1]Pop_Wilayat!$B$78:$F$88,E$78,FALSE)/VLOOKUP($C71,[1]Pop_Wilayat!$C$60:$F$70,E$77,FALSE)</f>
        <v>0.61422849458984574</v>
      </c>
      <c r="F71" s="142">
        <f>VLOOKUP($C71,[1]NWS_Input!$B$51:$E$61,F$77,FALSE)*VLOOKUP($C71,[1]Pop_Wilayat!$B$78:$F$88,F$78,FALSE)/VLOOKUP($C71,[1]Pop_Wilayat!$C$60:$F$70,F$77,FALSE)</f>
        <v>0.61770569554741017</v>
      </c>
      <c r="G71" s="137">
        <f t="shared" si="161"/>
        <v>0.6317218634051982</v>
      </c>
      <c r="H71" s="118">
        <f t="shared" si="162"/>
        <v>0.65792896673199841</v>
      </c>
      <c r="I71" s="118">
        <f t="shared" si="162"/>
        <v>0.68413607005879862</v>
      </c>
      <c r="J71" s="118">
        <f t="shared" si="162"/>
        <v>0.71034317338559883</v>
      </c>
      <c r="K71" s="118">
        <f t="shared" si="162"/>
        <v>0.73655027671239903</v>
      </c>
      <c r="L71" s="118">
        <f t="shared" si="162"/>
        <v>0.76275738003919924</v>
      </c>
      <c r="M71" s="118">
        <f t="shared" si="162"/>
        <v>0.78896448336599945</v>
      </c>
      <c r="N71" s="118">
        <f t="shared" si="162"/>
        <v>0.81517158669279965</v>
      </c>
      <c r="O71" s="118">
        <f t="shared" si="162"/>
        <v>0.84137869001959986</v>
      </c>
      <c r="P71" s="118">
        <f t="shared" si="162"/>
        <v>0.86758579334640007</v>
      </c>
      <c r="Q71" s="118">
        <f t="shared" si="162"/>
        <v>0.89379289667320028</v>
      </c>
      <c r="R71" s="138">
        <v>0.92</v>
      </c>
      <c r="S71" s="121">
        <f t="shared" si="163"/>
        <v>0.92</v>
      </c>
      <c r="T71" s="121">
        <f t="shared" si="163"/>
        <v>0.92</v>
      </c>
      <c r="U71" s="121">
        <f t="shared" si="163"/>
        <v>0.92</v>
      </c>
      <c r="V71" s="121">
        <f t="shared" si="163"/>
        <v>0.92</v>
      </c>
      <c r="W71" s="121">
        <f t="shared" si="163"/>
        <v>0.92</v>
      </c>
      <c r="X71" s="121">
        <f t="shared" si="163"/>
        <v>0.92</v>
      </c>
      <c r="Y71" s="121">
        <f t="shared" si="163"/>
        <v>0.92</v>
      </c>
      <c r="Z71" s="121">
        <f t="shared" si="163"/>
        <v>0.92</v>
      </c>
      <c r="AA71" s="121">
        <f t="shared" si="163"/>
        <v>0.92</v>
      </c>
      <c r="AB71" s="121">
        <f t="shared" si="163"/>
        <v>0.92</v>
      </c>
      <c r="AC71" s="121">
        <f t="shared" si="163"/>
        <v>0.92</v>
      </c>
      <c r="AD71" s="121">
        <f t="shared" si="163"/>
        <v>0.92</v>
      </c>
      <c r="AE71" s="121">
        <f t="shared" si="163"/>
        <v>0.92</v>
      </c>
      <c r="AF71" s="121">
        <f t="shared" si="163"/>
        <v>0.92</v>
      </c>
      <c r="AG71" s="122">
        <f t="shared" si="163"/>
        <v>0.92</v>
      </c>
      <c r="AH71" s="28"/>
      <c r="AI71" s="139">
        <f t="shared" si="164"/>
        <v>2.6207103326800166E-2</v>
      </c>
      <c r="AJ71" s="28"/>
      <c r="AK71" s="28"/>
      <c r="AL71" s="97"/>
      <c r="AM71" s="97"/>
      <c r="AN71" s="28"/>
      <c r="AO71" s="28"/>
      <c r="AP71" s="28"/>
      <c r="AQ71" s="28"/>
      <c r="AR71" s="28"/>
      <c r="AS71" s="28"/>
      <c r="AT71" s="28"/>
      <c r="AU71" s="28"/>
      <c r="AV71" s="28"/>
      <c r="AW71" s="28"/>
      <c r="AX71" s="28"/>
      <c r="AY71" s="28"/>
      <c r="AZ71" s="28"/>
      <c r="BA71" s="28"/>
      <c r="BB71" s="28"/>
      <c r="BC71" s="28"/>
      <c r="BD71" s="28"/>
      <c r="BE71" s="28"/>
    </row>
    <row r="72" spans="2:57" x14ac:dyDescent="0.25">
      <c r="B72" s="82" t="s">
        <v>12</v>
      </c>
      <c r="C72" s="83" t="s">
        <v>27</v>
      </c>
      <c r="D72" s="140">
        <f>VLOOKUP($C72,[1]NWS_Input!$B$51:$E$61,D$77,FALSE)*VLOOKUP($C72,[1]Pop_Wilayat!$B$78:$F$88,D$78,FALSE)/VLOOKUP($C72,[1]Pop_Wilayat!$C$60:$F$70,D$77,FALSE)</f>
        <v>0.55092580103716138</v>
      </c>
      <c r="E72" s="141">
        <f>VLOOKUP($C72,[1]NWS_Input!$B$51:$E$61,E$77,FALSE)*VLOOKUP($C72,[1]Pop_Wilayat!$B$78:$F$88,E$78,FALSE)/VLOOKUP($C72,[1]Pop_Wilayat!$C$60:$F$70,E$77,FALSE)</f>
        <v>0.59392945818110243</v>
      </c>
      <c r="F72" s="142">
        <f>VLOOKUP($C72,[1]NWS_Input!$B$51:$E$61,F$77,FALSE)*VLOOKUP($C72,[1]Pop_Wilayat!$B$78:$F$88,F$78,FALSE)/VLOOKUP($C72,[1]Pop_Wilayat!$C$60:$F$70,F$77,FALSE)</f>
        <v>0.61969858596641625</v>
      </c>
      <c r="G72" s="137">
        <f t="shared" si="161"/>
        <v>0.65408497843104363</v>
      </c>
      <c r="H72" s="118">
        <f t="shared" si="162"/>
        <v>0.67825907130094876</v>
      </c>
      <c r="I72" s="118">
        <f t="shared" si="162"/>
        <v>0.70243316417085389</v>
      </c>
      <c r="J72" s="118">
        <f t="shared" si="162"/>
        <v>0.72660725704075901</v>
      </c>
      <c r="K72" s="118">
        <f t="shared" si="162"/>
        <v>0.75078134991066414</v>
      </c>
      <c r="L72" s="118">
        <f t="shared" si="162"/>
        <v>0.77495544278056927</v>
      </c>
      <c r="M72" s="118">
        <f t="shared" si="162"/>
        <v>0.7991295356504744</v>
      </c>
      <c r="N72" s="118">
        <f t="shared" si="162"/>
        <v>0.82330362852037953</v>
      </c>
      <c r="O72" s="118">
        <f t="shared" si="162"/>
        <v>0.84747772139028466</v>
      </c>
      <c r="P72" s="118">
        <f t="shared" si="162"/>
        <v>0.87165181426018978</v>
      </c>
      <c r="Q72" s="118">
        <f t="shared" si="162"/>
        <v>0.89582590713009491</v>
      </c>
      <c r="R72" s="138">
        <v>0.92</v>
      </c>
      <c r="S72" s="121">
        <f t="shared" si="163"/>
        <v>0.92</v>
      </c>
      <c r="T72" s="121">
        <f t="shared" si="163"/>
        <v>0.92</v>
      </c>
      <c r="U72" s="121">
        <f t="shared" si="163"/>
        <v>0.92</v>
      </c>
      <c r="V72" s="121">
        <f t="shared" si="163"/>
        <v>0.92</v>
      </c>
      <c r="W72" s="121">
        <f t="shared" si="163"/>
        <v>0.92</v>
      </c>
      <c r="X72" s="121">
        <f t="shared" si="163"/>
        <v>0.92</v>
      </c>
      <c r="Y72" s="121">
        <f t="shared" si="163"/>
        <v>0.92</v>
      </c>
      <c r="Z72" s="121">
        <f t="shared" si="163"/>
        <v>0.92</v>
      </c>
      <c r="AA72" s="121">
        <f t="shared" si="163"/>
        <v>0.92</v>
      </c>
      <c r="AB72" s="121">
        <f t="shared" si="163"/>
        <v>0.92</v>
      </c>
      <c r="AC72" s="121">
        <f t="shared" si="163"/>
        <v>0.92</v>
      </c>
      <c r="AD72" s="121">
        <f t="shared" si="163"/>
        <v>0.92</v>
      </c>
      <c r="AE72" s="121">
        <f t="shared" si="163"/>
        <v>0.92</v>
      </c>
      <c r="AF72" s="121">
        <f t="shared" si="163"/>
        <v>0.92</v>
      </c>
      <c r="AG72" s="122">
        <f t="shared" si="163"/>
        <v>0.92</v>
      </c>
      <c r="AH72" s="28"/>
      <c r="AI72" s="139">
        <f t="shared" si="164"/>
        <v>2.4174092869905128E-2</v>
      </c>
      <c r="AJ72" s="28"/>
      <c r="AK72" s="28"/>
      <c r="AL72" s="97"/>
      <c r="AM72" s="97"/>
      <c r="AN72" s="28"/>
      <c r="AO72" s="28"/>
      <c r="AP72" s="28"/>
      <c r="AQ72" s="28"/>
      <c r="AR72" s="28"/>
      <c r="AS72" s="28"/>
      <c r="AT72" s="28"/>
      <c r="AU72" s="28"/>
      <c r="AV72" s="28"/>
      <c r="AW72" s="28"/>
      <c r="AX72" s="28"/>
      <c r="AY72" s="28"/>
      <c r="AZ72" s="28"/>
      <c r="BA72" s="28"/>
      <c r="BB72" s="28"/>
      <c r="BC72" s="28"/>
      <c r="BD72" s="28"/>
      <c r="BE72" s="28"/>
    </row>
    <row r="73" spans="2:57" x14ac:dyDescent="0.25">
      <c r="B73" s="82" t="s">
        <v>13</v>
      </c>
      <c r="C73" s="83" t="s">
        <v>28</v>
      </c>
      <c r="D73" s="140">
        <f>VLOOKUP($C73,[1]NWS_Input!$B$51:$E$61,D$77,FALSE)*VLOOKUP($C73,[1]Pop_Wilayat!$B$78:$F$88,D$78,FALSE)/VLOOKUP($C73,[1]Pop_Wilayat!$C$60:$F$70,D$77,FALSE)</f>
        <v>0.72998504637041428</v>
      </c>
      <c r="E73" s="141">
        <f>VLOOKUP($C73,[1]NWS_Input!$B$51:$E$61,E$77,FALSE)*VLOOKUP($C73,[1]Pop_Wilayat!$B$78:$F$88,E$78,FALSE)/VLOOKUP($C73,[1]Pop_Wilayat!$C$60:$F$70,E$77,FALSE)</f>
        <v>0.77214161084873001</v>
      </c>
      <c r="F73" s="142">
        <f>VLOOKUP($C73,[1]NWS_Input!$B$51:$E$61,F$77,FALSE)*VLOOKUP($C73,[1]Pop_Wilayat!$B$78:$F$88,F$78,FALSE)/VLOOKUP($C73,[1]Pop_Wilayat!$C$60:$F$70,F$77,FALSE)</f>
        <v>0.80201058898181365</v>
      </c>
      <c r="G73" s="137">
        <f t="shared" si="161"/>
        <v>0.83802336028751334</v>
      </c>
      <c r="H73" s="118">
        <f t="shared" si="162"/>
        <v>0.84547578207955754</v>
      </c>
      <c r="I73" s="118">
        <f t="shared" si="162"/>
        <v>0.85292820387160173</v>
      </c>
      <c r="J73" s="118">
        <f t="shared" si="162"/>
        <v>0.86038062566364593</v>
      </c>
      <c r="K73" s="118">
        <f t="shared" si="162"/>
        <v>0.86783304745569012</v>
      </c>
      <c r="L73" s="118">
        <f t="shared" si="162"/>
        <v>0.87528546924773432</v>
      </c>
      <c r="M73" s="118">
        <f t="shared" si="162"/>
        <v>0.88273789103977851</v>
      </c>
      <c r="N73" s="118">
        <f t="shared" si="162"/>
        <v>0.89019031283182271</v>
      </c>
      <c r="O73" s="118">
        <f t="shared" si="162"/>
        <v>0.8976427346238669</v>
      </c>
      <c r="P73" s="118">
        <f t="shared" si="162"/>
        <v>0.9050951564159111</v>
      </c>
      <c r="Q73" s="118">
        <f t="shared" si="162"/>
        <v>0.91254757820795529</v>
      </c>
      <c r="R73" s="138">
        <v>0.92</v>
      </c>
      <c r="S73" s="121">
        <f t="shared" si="163"/>
        <v>0.92</v>
      </c>
      <c r="T73" s="121">
        <f t="shared" si="163"/>
        <v>0.92</v>
      </c>
      <c r="U73" s="121">
        <f t="shared" si="163"/>
        <v>0.92</v>
      </c>
      <c r="V73" s="121">
        <f t="shared" si="163"/>
        <v>0.92</v>
      </c>
      <c r="W73" s="121">
        <f t="shared" si="163"/>
        <v>0.92</v>
      </c>
      <c r="X73" s="121">
        <f t="shared" si="163"/>
        <v>0.92</v>
      </c>
      <c r="Y73" s="121">
        <f t="shared" si="163"/>
        <v>0.92</v>
      </c>
      <c r="Z73" s="121">
        <f t="shared" si="163"/>
        <v>0.92</v>
      </c>
      <c r="AA73" s="121">
        <f t="shared" si="163"/>
        <v>0.92</v>
      </c>
      <c r="AB73" s="121">
        <f t="shared" si="163"/>
        <v>0.92</v>
      </c>
      <c r="AC73" s="121">
        <f t="shared" si="163"/>
        <v>0.92</v>
      </c>
      <c r="AD73" s="121">
        <f t="shared" si="163"/>
        <v>0.92</v>
      </c>
      <c r="AE73" s="121">
        <f t="shared" si="163"/>
        <v>0.92</v>
      </c>
      <c r="AF73" s="121">
        <f t="shared" si="163"/>
        <v>0.92</v>
      </c>
      <c r="AG73" s="122">
        <f t="shared" si="163"/>
        <v>0.92</v>
      </c>
      <c r="AH73" s="28"/>
      <c r="AI73" s="139">
        <f t="shared" si="164"/>
        <v>7.4524217920442452E-3</v>
      </c>
      <c r="AJ73" s="28"/>
      <c r="AK73" s="28"/>
      <c r="AL73" s="97"/>
      <c r="AM73" s="97"/>
      <c r="AN73" s="28"/>
      <c r="AO73" s="28"/>
      <c r="AP73" s="28"/>
      <c r="AQ73" s="28"/>
      <c r="AR73" s="28"/>
      <c r="AS73" s="28"/>
      <c r="AT73" s="28"/>
      <c r="AU73" s="28"/>
      <c r="AV73" s="28"/>
      <c r="AW73" s="28"/>
      <c r="AX73" s="28"/>
      <c r="AY73" s="28"/>
      <c r="AZ73" s="28"/>
      <c r="BA73" s="28"/>
      <c r="BB73" s="28"/>
      <c r="BC73" s="28"/>
      <c r="BD73" s="28"/>
      <c r="BE73" s="28"/>
    </row>
    <row r="74" spans="2:57" x14ac:dyDescent="0.25">
      <c r="B74" s="82" t="s">
        <v>14</v>
      </c>
      <c r="C74" s="83" t="s">
        <v>29</v>
      </c>
      <c r="D74" s="140">
        <f>VLOOKUP($C74,[1]NWS_Input!$B$51:$E$61,D$77,FALSE)*VLOOKUP($C74,[1]Pop_Wilayat!$B$78:$F$88,D$78,FALSE)/VLOOKUP($C74,[1]Pop_Wilayat!$C$60:$F$70,D$77,FALSE)</f>
        <v>0.32546272711149787</v>
      </c>
      <c r="E74" s="141">
        <f>VLOOKUP($C74,[1]NWS_Input!$B$51:$E$61,E$77,FALSE)*VLOOKUP($C74,[1]Pop_Wilayat!$B$78:$F$88,E$78,FALSE)/VLOOKUP($C74,[1]Pop_Wilayat!$C$60:$F$70,E$77,FALSE)</f>
        <v>0.40546172513524992</v>
      </c>
      <c r="F74" s="142">
        <f>VLOOKUP($C74,[1]NWS_Input!$B$51:$E$61,F$77,FALSE)*VLOOKUP($C74,[1]Pop_Wilayat!$B$78:$F$88,F$78,FALSE)/VLOOKUP($C74,[1]Pop_Wilayat!$C$60:$F$70,F$77,FALSE)</f>
        <v>0.42456277458760938</v>
      </c>
      <c r="G74" s="137">
        <f t="shared" si="161"/>
        <v>0.47411279832566511</v>
      </c>
      <c r="H74" s="118">
        <f t="shared" si="162"/>
        <v>0.50373890756878648</v>
      </c>
      <c r="I74" s="118">
        <f t="shared" si="162"/>
        <v>0.53336501681190784</v>
      </c>
      <c r="J74" s="118">
        <f t="shared" si="162"/>
        <v>0.56299112605502921</v>
      </c>
      <c r="K74" s="118">
        <f t="shared" si="162"/>
        <v>0.59261723529815058</v>
      </c>
      <c r="L74" s="118">
        <f t="shared" si="162"/>
        <v>0.62224334454127195</v>
      </c>
      <c r="M74" s="118">
        <f t="shared" si="162"/>
        <v>0.65186945378439332</v>
      </c>
      <c r="N74" s="118">
        <f t="shared" si="162"/>
        <v>0.68149556302751468</v>
      </c>
      <c r="O74" s="118">
        <f t="shared" si="162"/>
        <v>0.71112167227063605</v>
      </c>
      <c r="P74" s="118">
        <f t="shared" si="162"/>
        <v>0.74074778151375742</v>
      </c>
      <c r="Q74" s="118">
        <f t="shared" si="162"/>
        <v>0.77037389075687879</v>
      </c>
      <c r="R74" s="138">
        <v>0.8</v>
      </c>
      <c r="S74" s="121">
        <f t="shared" si="163"/>
        <v>0.8</v>
      </c>
      <c r="T74" s="121">
        <f t="shared" si="163"/>
        <v>0.8</v>
      </c>
      <c r="U74" s="121">
        <f t="shared" si="163"/>
        <v>0.8</v>
      </c>
      <c r="V74" s="121">
        <f t="shared" si="163"/>
        <v>0.8</v>
      </c>
      <c r="W74" s="121">
        <f t="shared" si="163"/>
        <v>0.8</v>
      </c>
      <c r="X74" s="121">
        <f t="shared" si="163"/>
        <v>0.8</v>
      </c>
      <c r="Y74" s="121">
        <f t="shared" si="163"/>
        <v>0.8</v>
      </c>
      <c r="Z74" s="121">
        <f t="shared" si="163"/>
        <v>0.8</v>
      </c>
      <c r="AA74" s="121">
        <f t="shared" si="163"/>
        <v>0.8</v>
      </c>
      <c r="AB74" s="121">
        <f t="shared" si="163"/>
        <v>0.8</v>
      </c>
      <c r="AC74" s="121">
        <f t="shared" si="163"/>
        <v>0.8</v>
      </c>
      <c r="AD74" s="121">
        <f t="shared" si="163"/>
        <v>0.8</v>
      </c>
      <c r="AE74" s="121">
        <f t="shared" si="163"/>
        <v>0.8</v>
      </c>
      <c r="AF74" s="121">
        <f t="shared" si="163"/>
        <v>0.8</v>
      </c>
      <c r="AG74" s="122">
        <f t="shared" si="163"/>
        <v>0.8</v>
      </c>
      <c r="AH74" s="28"/>
      <c r="AI74" s="139">
        <f t="shared" si="164"/>
        <v>2.9626109243121358E-2</v>
      </c>
      <c r="AJ74" s="28"/>
      <c r="AK74" s="28"/>
      <c r="AL74" s="97"/>
      <c r="AM74" s="97"/>
      <c r="AN74" s="28"/>
      <c r="AO74" s="28"/>
      <c r="AP74" s="28"/>
      <c r="AQ74" s="28"/>
      <c r="AR74" s="28"/>
      <c r="AS74" s="28"/>
      <c r="AT74" s="28"/>
      <c r="AU74" s="28"/>
      <c r="AV74" s="28"/>
      <c r="AW74" s="28"/>
      <c r="AX74" s="28"/>
      <c r="AY74" s="28"/>
      <c r="AZ74" s="28"/>
      <c r="BA74" s="28"/>
      <c r="BB74" s="28"/>
      <c r="BC74" s="28"/>
      <c r="BD74" s="28"/>
      <c r="BE74" s="28"/>
    </row>
    <row r="75" spans="2:57" x14ac:dyDescent="0.25">
      <c r="B75" s="82" t="s">
        <v>16</v>
      </c>
      <c r="C75" s="83" t="s">
        <v>30</v>
      </c>
      <c r="D75" s="140">
        <f>VLOOKUP($C75,[1]NWS_Input!$B$51:$E$61,D$77,FALSE)*VLOOKUP($C75,[1]Pop_Wilayat!$B$78:$F$88,D$78,FALSE)/VLOOKUP($C75,[1]Pop_Wilayat!$C$60:$F$70,D$77,FALSE)</f>
        <v>0.46677995796372984</v>
      </c>
      <c r="E75" s="141">
        <f>VLOOKUP($C75,[1]NWS_Input!$B$51:$E$61,E$77,FALSE)*VLOOKUP($C75,[1]Pop_Wilayat!$B$78:$F$88,E$78,FALSE)/VLOOKUP($C75,[1]Pop_Wilayat!$C$60:$F$70,E$77,FALSE)</f>
        <v>0.48807003491958728</v>
      </c>
      <c r="F75" s="142">
        <f>VLOOKUP($C75,[1]NWS_Input!$B$51:$E$61,F$77,FALSE)*VLOOKUP($C75,[1]Pop_Wilayat!$B$78:$F$88,F$78,FALSE)/VLOOKUP($C75,[1]Pop_Wilayat!$C$60:$F$70,F$77,FALSE)</f>
        <v>0.49257275129848754</v>
      </c>
      <c r="G75" s="137">
        <f t="shared" si="161"/>
        <v>0.50546914796586639</v>
      </c>
      <c r="H75" s="118">
        <f t="shared" si="162"/>
        <v>0.5322446799689694</v>
      </c>
      <c r="I75" s="118">
        <f t="shared" si="162"/>
        <v>0.55902021197207241</v>
      </c>
      <c r="J75" s="118">
        <f t="shared" si="162"/>
        <v>0.58579574397517542</v>
      </c>
      <c r="K75" s="118">
        <f t="shared" si="162"/>
        <v>0.61257127597827843</v>
      </c>
      <c r="L75" s="118">
        <f t="shared" si="162"/>
        <v>0.63934680798138144</v>
      </c>
      <c r="M75" s="118">
        <f t="shared" si="162"/>
        <v>0.66612233998448445</v>
      </c>
      <c r="N75" s="118">
        <f t="shared" si="162"/>
        <v>0.69289787198758745</v>
      </c>
      <c r="O75" s="118">
        <f t="shared" si="162"/>
        <v>0.71967340399069046</v>
      </c>
      <c r="P75" s="118">
        <f t="shared" si="162"/>
        <v>0.74644893599379347</v>
      </c>
      <c r="Q75" s="118">
        <f t="shared" si="162"/>
        <v>0.77322446799689648</v>
      </c>
      <c r="R75" s="138">
        <v>0.8</v>
      </c>
      <c r="S75" s="121">
        <f t="shared" si="163"/>
        <v>0.8</v>
      </c>
      <c r="T75" s="121">
        <f t="shared" si="163"/>
        <v>0.8</v>
      </c>
      <c r="U75" s="121">
        <f t="shared" si="163"/>
        <v>0.8</v>
      </c>
      <c r="V75" s="121">
        <f t="shared" si="163"/>
        <v>0.8</v>
      </c>
      <c r="W75" s="121">
        <f t="shared" si="163"/>
        <v>0.8</v>
      </c>
      <c r="X75" s="121">
        <f t="shared" si="163"/>
        <v>0.8</v>
      </c>
      <c r="Y75" s="121">
        <f t="shared" si="163"/>
        <v>0.8</v>
      </c>
      <c r="Z75" s="121">
        <f t="shared" si="163"/>
        <v>0.8</v>
      </c>
      <c r="AA75" s="121">
        <f t="shared" si="163"/>
        <v>0.8</v>
      </c>
      <c r="AB75" s="121">
        <f t="shared" si="163"/>
        <v>0.8</v>
      </c>
      <c r="AC75" s="121">
        <f t="shared" si="163"/>
        <v>0.8</v>
      </c>
      <c r="AD75" s="121">
        <f t="shared" si="163"/>
        <v>0.8</v>
      </c>
      <c r="AE75" s="121">
        <f t="shared" si="163"/>
        <v>0.8</v>
      </c>
      <c r="AF75" s="121">
        <f t="shared" si="163"/>
        <v>0.8</v>
      </c>
      <c r="AG75" s="122">
        <f t="shared" si="163"/>
        <v>0.8</v>
      </c>
      <c r="AH75" s="28"/>
      <c r="AI75" s="139">
        <f t="shared" si="164"/>
        <v>2.6775532003103061E-2</v>
      </c>
      <c r="AJ75" s="28"/>
      <c r="AK75" s="28"/>
      <c r="AL75" s="97"/>
      <c r="AM75" s="97"/>
      <c r="AN75" s="28"/>
      <c r="AO75" s="28"/>
      <c r="AP75" s="28"/>
      <c r="AQ75" s="28"/>
      <c r="AR75" s="28"/>
      <c r="AS75" s="28"/>
      <c r="AT75" s="28"/>
      <c r="AU75" s="28"/>
      <c r="AV75" s="28"/>
      <c r="AW75" s="28"/>
      <c r="AX75" s="28"/>
      <c r="AY75" s="28"/>
      <c r="AZ75" s="28"/>
      <c r="BA75" s="28"/>
      <c r="BB75" s="28"/>
      <c r="BC75" s="28"/>
      <c r="BD75" s="28"/>
      <c r="BE75" s="28"/>
    </row>
    <row r="76" spans="2:57" ht="15.75" thickBot="1" x14ac:dyDescent="0.3">
      <c r="B76" s="98" t="s">
        <v>19</v>
      </c>
      <c r="C76" s="99" t="s">
        <v>31</v>
      </c>
      <c r="D76" s="143">
        <f>VLOOKUP($C76,[1]NWS_Input!$B$51:$E$61,D$77,FALSE)*VLOOKUP($C76,[1]Pop_Wilayat!$B$78:$F$88,D$78,FALSE)/VLOOKUP($C76,[1]Pop_Wilayat!$C$60:$F$70,D$77,FALSE)</f>
        <v>0.16317610394839993</v>
      </c>
      <c r="E76" s="144">
        <f>VLOOKUP($C76,[1]NWS_Input!$B$51:$E$61,E$77,FALSE)*VLOOKUP($C76,[1]Pop_Wilayat!$B$78:$F$88,E$78,FALSE)/VLOOKUP($C76,[1]Pop_Wilayat!$C$60:$F$70,E$77,FALSE)</f>
        <v>0.17263916489430389</v>
      </c>
      <c r="F76" s="145">
        <f>VLOOKUP($C76,[1]NWS_Input!$B$51:$E$61,F$77,FALSE)*VLOOKUP($C76,[1]Pop_Wilayat!$B$78:$F$88,F$78,FALSE)/VLOOKUP($C76,[1]Pop_Wilayat!$C$60:$F$70,F$77,FALSE)</f>
        <v>0.16463948345540155</v>
      </c>
      <c r="G76" s="146">
        <v>0.37</v>
      </c>
      <c r="H76" s="147">
        <f t="shared" si="162"/>
        <v>0.40454545454545454</v>
      </c>
      <c r="I76" s="147">
        <f t="shared" si="162"/>
        <v>0.43909090909090909</v>
      </c>
      <c r="J76" s="147">
        <f t="shared" si="162"/>
        <v>0.47363636363636363</v>
      </c>
      <c r="K76" s="147">
        <f t="shared" si="162"/>
        <v>0.50818181818181818</v>
      </c>
      <c r="L76" s="147">
        <f t="shared" si="162"/>
        <v>0.54272727272727272</v>
      </c>
      <c r="M76" s="147">
        <f t="shared" si="162"/>
        <v>0.57727272727272727</v>
      </c>
      <c r="N76" s="147">
        <f t="shared" si="162"/>
        <v>0.61181818181818182</v>
      </c>
      <c r="O76" s="147">
        <f t="shared" si="162"/>
        <v>0.64636363636363636</v>
      </c>
      <c r="P76" s="147">
        <f t="shared" si="162"/>
        <v>0.68090909090909091</v>
      </c>
      <c r="Q76" s="147">
        <f t="shared" si="162"/>
        <v>0.71545454545454545</v>
      </c>
      <c r="R76" s="148">
        <v>0.75</v>
      </c>
      <c r="S76" s="149">
        <f t="shared" si="163"/>
        <v>0.75</v>
      </c>
      <c r="T76" s="149">
        <f t="shared" si="163"/>
        <v>0.75</v>
      </c>
      <c r="U76" s="149">
        <f t="shared" si="163"/>
        <v>0.75</v>
      </c>
      <c r="V76" s="149">
        <f t="shared" si="163"/>
        <v>0.75</v>
      </c>
      <c r="W76" s="149">
        <f t="shared" si="163"/>
        <v>0.75</v>
      </c>
      <c r="X76" s="149">
        <f t="shared" si="163"/>
        <v>0.75</v>
      </c>
      <c r="Y76" s="149">
        <f t="shared" si="163"/>
        <v>0.75</v>
      </c>
      <c r="Z76" s="149">
        <f t="shared" si="163"/>
        <v>0.75</v>
      </c>
      <c r="AA76" s="149">
        <f t="shared" si="163"/>
        <v>0.75</v>
      </c>
      <c r="AB76" s="149">
        <f t="shared" si="163"/>
        <v>0.75</v>
      </c>
      <c r="AC76" s="149">
        <f t="shared" si="163"/>
        <v>0.75</v>
      </c>
      <c r="AD76" s="149">
        <f t="shared" si="163"/>
        <v>0.75</v>
      </c>
      <c r="AE76" s="149">
        <f t="shared" si="163"/>
        <v>0.75</v>
      </c>
      <c r="AF76" s="149">
        <f t="shared" si="163"/>
        <v>0.75</v>
      </c>
      <c r="AG76" s="150">
        <f t="shared" si="163"/>
        <v>0.75</v>
      </c>
      <c r="AH76" s="28"/>
      <c r="AI76" s="139">
        <f t="shared" si="164"/>
        <v>3.4545454545454546E-2</v>
      </c>
      <c r="AJ76" s="28"/>
      <c r="AK76" s="28"/>
      <c r="AL76" s="97"/>
      <c r="AM76" s="97"/>
      <c r="AN76" s="28"/>
      <c r="AO76" s="28"/>
      <c r="AP76" s="28"/>
      <c r="AQ76" s="28"/>
      <c r="AR76" s="28"/>
      <c r="AS76" s="28"/>
      <c r="AT76" s="28"/>
      <c r="AU76" s="28"/>
      <c r="AV76" s="28"/>
      <c r="AW76" s="28"/>
      <c r="AX76" s="28"/>
      <c r="AY76" s="28"/>
      <c r="AZ76" s="28"/>
      <c r="BA76" s="28"/>
      <c r="BB76" s="28"/>
      <c r="BC76" s="28"/>
      <c r="BD76" s="28"/>
      <c r="BE76" s="28"/>
    </row>
    <row r="77" spans="2:57" ht="30" x14ac:dyDescent="0.25">
      <c r="B77" s="28"/>
      <c r="C77" s="106" t="s">
        <v>651</v>
      </c>
      <c r="D77" s="151">
        <v>2</v>
      </c>
      <c r="E77" s="151">
        <v>3</v>
      </c>
      <c r="F77" s="151">
        <v>4</v>
      </c>
      <c r="G77" s="151">
        <v>5</v>
      </c>
      <c r="H77" s="151">
        <v>6</v>
      </c>
      <c r="I77" s="151">
        <v>7</v>
      </c>
      <c r="J77" s="151">
        <v>8</v>
      </c>
      <c r="K77" s="151">
        <v>9</v>
      </c>
      <c r="L77" s="151">
        <v>10</v>
      </c>
      <c r="M77" s="151">
        <v>11</v>
      </c>
      <c r="N77" s="151">
        <v>12</v>
      </c>
      <c r="O77" s="151">
        <v>13</v>
      </c>
      <c r="P77" s="151">
        <v>14</v>
      </c>
      <c r="Q77" s="151">
        <v>15</v>
      </c>
      <c r="R77" s="151">
        <v>16</v>
      </c>
      <c r="S77" s="151">
        <v>17</v>
      </c>
      <c r="T77" s="151">
        <v>18</v>
      </c>
      <c r="U77" s="151">
        <v>19</v>
      </c>
      <c r="V77" s="151">
        <v>20</v>
      </c>
      <c r="W77" s="151">
        <v>21</v>
      </c>
      <c r="X77" s="151">
        <v>22</v>
      </c>
      <c r="Y77" s="151">
        <v>23</v>
      </c>
      <c r="Z77" s="151">
        <v>24</v>
      </c>
      <c r="AA77" s="151">
        <v>25</v>
      </c>
      <c r="AB77" s="151">
        <v>26</v>
      </c>
      <c r="AC77" s="151">
        <v>27</v>
      </c>
      <c r="AD77" s="151">
        <v>28</v>
      </c>
      <c r="AE77" s="151">
        <v>29</v>
      </c>
      <c r="AF77" s="151">
        <v>30</v>
      </c>
      <c r="AG77" s="151">
        <v>31</v>
      </c>
      <c r="AH77" s="28"/>
      <c r="AI77" s="28"/>
      <c r="AJ77" s="28"/>
      <c r="AK77" s="28"/>
      <c r="AL77" s="97"/>
      <c r="AM77" s="97"/>
      <c r="AN77" s="28"/>
      <c r="AO77" s="28"/>
      <c r="AP77" s="28"/>
      <c r="AQ77" s="28"/>
      <c r="AR77" s="28"/>
      <c r="AS77" s="28"/>
      <c r="AT77" s="28"/>
      <c r="AU77" s="28"/>
      <c r="AV77" s="28"/>
      <c r="AW77" s="28"/>
      <c r="AX77" s="28"/>
      <c r="AY77" s="28"/>
      <c r="AZ77" s="28"/>
      <c r="BA77" s="28"/>
      <c r="BB77" s="28"/>
      <c r="BC77" s="28"/>
      <c r="BD77" s="28"/>
      <c r="BE77" s="28"/>
    </row>
    <row r="78" spans="2:57" x14ac:dyDescent="0.25">
      <c r="B78" s="28"/>
      <c r="C78" s="28" t="s">
        <v>652</v>
      </c>
      <c r="D78" s="152">
        <v>3</v>
      </c>
      <c r="E78" s="152">
        <v>4</v>
      </c>
      <c r="F78" s="152">
        <v>5</v>
      </c>
      <c r="G78" s="152">
        <v>6</v>
      </c>
      <c r="H78" s="152">
        <v>7</v>
      </c>
      <c r="I78" s="152">
        <v>8</v>
      </c>
      <c r="J78" s="152">
        <v>9</v>
      </c>
      <c r="K78" s="152">
        <v>10</v>
      </c>
      <c r="L78" s="152">
        <v>11</v>
      </c>
      <c r="M78" s="152">
        <v>12</v>
      </c>
      <c r="N78" s="152">
        <v>13</v>
      </c>
      <c r="O78" s="152">
        <v>14</v>
      </c>
      <c r="P78" s="152">
        <v>15</v>
      </c>
      <c r="Q78" s="152">
        <v>16</v>
      </c>
      <c r="R78" s="152">
        <v>17</v>
      </c>
      <c r="S78" s="152">
        <v>18</v>
      </c>
      <c r="T78" s="152">
        <v>19</v>
      </c>
      <c r="U78" s="152">
        <v>20</v>
      </c>
      <c r="V78" s="152">
        <v>21</v>
      </c>
      <c r="W78" s="152">
        <v>22</v>
      </c>
      <c r="X78" s="152">
        <v>23</v>
      </c>
      <c r="Y78" s="152">
        <v>24</v>
      </c>
      <c r="Z78" s="152">
        <v>25</v>
      </c>
      <c r="AA78" s="152">
        <v>26</v>
      </c>
      <c r="AB78" s="152">
        <v>27</v>
      </c>
      <c r="AC78" s="152">
        <v>28</v>
      </c>
      <c r="AD78" s="152">
        <v>29</v>
      </c>
      <c r="AE78" s="152">
        <v>30</v>
      </c>
      <c r="AF78" s="152">
        <v>31</v>
      </c>
      <c r="AG78" s="152">
        <v>32</v>
      </c>
      <c r="AH78" s="28"/>
      <c r="AI78" s="28"/>
      <c r="AJ78" s="28"/>
      <c r="AK78" s="28"/>
      <c r="AL78" s="97"/>
      <c r="AM78" s="97"/>
      <c r="AN78" s="28"/>
      <c r="AO78" s="28"/>
      <c r="AP78" s="28"/>
      <c r="AQ78" s="28"/>
      <c r="AR78" s="28"/>
      <c r="AS78" s="28"/>
      <c r="AT78" s="28"/>
      <c r="AU78" s="28"/>
      <c r="AV78" s="28"/>
      <c r="AW78" s="28"/>
      <c r="AX78" s="28"/>
      <c r="AY78" s="28"/>
      <c r="AZ78" s="28"/>
      <c r="BA78" s="28"/>
      <c r="BB78" s="28"/>
      <c r="BC78" s="28"/>
      <c r="BD78" s="28"/>
      <c r="BE78" s="28"/>
    </row>
    <row r="79" spans="2:57" x14ac:dyDescent="0.25">
      <c r="B79" s="28"/>
      <c r="C79" s="28"/>
      <c r="D79" s="28"/>
      <c r="E79" s="28"/>
      <c r="F79" s="28"/>
      <c r="G79" s="28"/>
      <c r="H79" s="28"/>
      <c r="I79" s="72"/>
      <c r="J79" s="64"/>
      <c r="K79" s="65"/>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97"/>
      <c r="AM79" s="97"/>
      <c r="AN79" s="28"/>
      <c r="AO79" s="28"/>
      <c r="AP79" s="28"/>
      <c r="AQ79" s="28"/>
      <c r="AR79" s="28"/>
      <c r="AS79" s="28"/>
      <c r="AT79" s="28"/>
      <c r="AU79" s="28"/>
      <c r="AV79" s="28"/>
      <c r="AW79" s="28"/>
      <c r="AX79" s="28"/>
      <c r="AY79" s="28"/>
      <c r="AZ79" s="28"/>
      <c r="BA79" s="28"/>
      <c r="BB79" s="28"/>
      <c r="BC79" s="28"/>
      <c r="BD79" s="28"/>
      <c r="BE79" s="28"/>
    </row>
    <row r="80" spans="2:57" x14ac:dyDescent="0.25">
      <c r="B80" s="28"/>
      <c r="C80" s="28"/>
      <c r="D80" s="28"/>
      <c r="E80" s="28"/>
      <c r="F80" s="28"/>
      <c r="G80" s="28"/>
      <c r="H80" s="28"/>
      <c r="I80" s="72"/>
      <c r="J80" s="64"/>
      <c r="K80" s="65"/>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97"/>
      <c r="AM80" s="97"/>
      <c r="AN80" s="28"/>
      <c r="AO80" s="28"/>
      <c r="AP80" s="28"/>
      <c r="AQ80" s="28"/>
      <c r="AR80" s="28"/>
      <c r="AS80" s="28"/>
      <c r="AT80" s="28"/>
      <c r="AU80" s="28"/>
      <c r="AV80" s="28"/>
      <c r="AW80" s="28"/>
      <c r="AX80" s="28"/>
      <c r="AY80" s="28"/>
      <c r="AZ80" s="28"/>
      <c r="BA80" s="28"/>
      <c r="BB80" s="28"/>
      <c r="BC80" s="28"/>
      <c r="BD80" s="28"/>
      <c r="BE80" s="28"/>
    </row>
    <row r="81" spans="2:57" x14ac:dyDescent="0.25">
      <c r="B81" s="28"/>
      <c r="C81" s="28"/>
      <c r="D81" s="28"/>
      <c r="E81" s="28"/>
      <c r="F81" s="28"/>
      <c r="G81" s="28"/>
      <c r="H81" s="28"/>
      <c r="I81" s="72"/>
      <c r="J81" s="64"/>
      <c r="K81" s="65"/>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97"/>
      <c r="AM81" s="97"/>
      <c r="AN81" s="28"/>
      <c r="AO81" s="28"/>
      <c r="AP81" s="28"/>
      <c r="AQ81" s="28"/>
      <c r="AR81" s="28"/>
      <c r="AS81" s="28"/>
      <c r="AT81" s="28"/>
      <c r="AU81" s="28"/>
      <c r="AV81" s="28"/>
      <c r="AW81" s="28"/>
      <c r="AX81" s="28"/>
      <c r="AY81" s="28"/>
      <c r="AZ81" s="28"/>
      <c r="BA81" s="28"/>
      <c r="BB81" s="28"/>
      <c r="BC81" s="28"/>
      <c r="BD81" s="28"/>
      <c r="BE81" s="28"/>
    </row>
    <row r="82" spans="2:57" x14ac:dyDescent="0.25">
      <c r="B82" s="28"/>
      <c r="C82" s="28"/>
      <c r="D82" s="28"/>
      <c r="E82" s="28"/>
      <c r="F82" s="28"/>
      <c r="G82" s="28"/>
      <c r="H82" s="28"/>
      <c r="I82" s="72"/>
      <c r="J82" s="64"/>
      <c r="K82" s="65"/>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97"/>
      <c r="AM82" s="97"/>
      <c r="AN82" s="28"/>
      <c r="AO82" s="28"/>
      <c r="AP82" s="28"/>
      <c r="AQ82" s="28"/>
      <c r="AR82" s="28"/>
      <c r="AS82" s="28"/>
      <c r="AT82" s="28"/>
      <c r="AU82" s="28"/>
      <c r="AV82" s="28"/>
      <c r="AW82" s="28"/>
      <c r="AX82" s="28"/>
      <c r="AY82" s="28"/>
      <c r="AZ82" s="28"/>
      <c r="BA82" s="28"/>
      <c r="BB82" s="28"/>
      <c r="BC82" s="28"/>
      <c r="BD82" s="28"/>
      <c r="BE82" s="28"/>
    </row>
    <row r="83" spans="2:57" x14ac:dyDescent="0.25">
      <c r="B83" s="28"/>
      <c r="C83" s="28"/>
      <c r="D83" s="28"/>
      <c r="E83" s="28"/>
      <c r="F83" s="28"/>
      <c r="G83" s="28"/>
      <c r="H83" s="28"/>
      <c r="I83" s="72"/>
      <c r="J83" s="64"/>
      <c r="K83" s="65"/>
      <c r="L83" s="28"/>
      <c r="M83" s="28"/>
      <c r="N83" s="28"/>
      <c r="O83" s="28"/>
      <c r="P83" s="28"/>
      <c r="Q83" s="28"/>
      <c r="R83" s="28"/>
      <c r="S83" s="28"/>
      <c r="T83" s="28"/>
      <c r="U83" s="28"/>
      <c r="V83" s="28"/>
      <c r="W83" s="28"/>
      <c r="X83" s="152"/>
      <c r="Y83" s="28"/>
      <c r="Z83" s="28"/>
      <c r="AA83" s="28"/>
      <c r="AB83" s="152"/>
      <c r="AC83" s="28"/>
      <c r="AD83" s="28"/>
      <c r="AE83" s="28"/>
      <c r="AF83" s="28"/>
      <c r="AG83" s="28"/>
      <c r="AH83" s="28"/>
      <c r="AI83" s="28"/>
      <c r="AJ83" s="28"/>
      <c r="AK83" s="28"/>
      <c r="AL83" s="97"/>
      <c r="AM83" s="97"/>
      <c r="AN83" s="28"/>
      <c r="AO83" s="28"/>
      <c r="AP83" s="28"/>
      <c r="AQ83" s="28"/>
      <c r="AR83" s="28"/>
      <c r="AS83" s="28"/>
      <c r="AT83" s="28"/>
      <c r="AU83" s="28"/>
      <c r="AV83" s="28"/>
      <c r="AW83" s="28"/>
      <c r="AX83" s="28"/>
      <c r="AY83" s="28"/>
      <c r="AZ83" s="28"/>
      <c r="BA83" s="28"/>
      <c r="BB83" s="28"/>
      <c r="BC83" s="28"/>
      <c r="BD83" s="28"/>
      <c r="BE83" s="28"/>
    </row>
    <row r="84" spans="2:57" ht="21" x14ac:dyDescent="0.35">
      <c r="B84" s="28"/>
      <c r="C84" s="153" t="s">
        <v>653</v>
      </c>
      <c r="D84" s="28"/>
      <c r="E84" s="28"/>
      <c r="F84" s="28"/>
      <c r="G84" s="28"/>
      <c r="H84" s="28"/>
      <c r="I84" s="72"/>
      <c r="J84" s="64"/>
      <c r="K84" s="65"/>
      <c r="L84" s="28"/>
      <c r="M84" s="28"/>
      <c r="N84" s="28"/>
      <c r="O84" s="28"/>
      <c r="P84" s="28"/>
      <c r="Q84" s="28"/>
      <c r="R84" s="28"/>
      <c r="S84" s="28"/>
      <c r="T84" s="28"/>
      <c r="U84" s="28"/>
      <c r="V84" s="28"/>
      <c r="W84" s="28"/>
      <c r="X84" s="152"/>
      <c r="Y84" s="28"/>
      <c r="Z84" s="28"/>
      <c r="AA84" s="28"/>
      <c r="AB84" s="69"/>
      <c r="AC84" s="28"/>
      <c r="AD84" s="28"/>
      <c r="AE84" s="28"/>
      <c r="AF84" s="28"/>
      <c r="AG84" s="28"/>
      <c r="AH84" s="28"/>
      <c r="AI84" s="28"/>
      <c r="AJ84" s="28"/>
      <c r="AK84" s="28"/>
      <c r="AL84" s="97"/>
      <c r="AM84" s="97"/>
      <c r="AN84" s="28"/>
      <c r="AO84" s="28"/>
      <c r="AP84" s="28"/>
      <c r="AQ84" s="28"/>
      <c r="AR84" s="28"/>
      <c r="AS84" s="28"/>
      <c r="AT84" s="28"/>
      <c r="AU84" s="28"/>
      <c r="AV84" s="28"/>
      <c r="AW84" s="28"/>
      <c r="AX84" s="28"/>
      <c r="AY84" s="28"/>
      <c r="AZ84" s="28"/>
      <c r="BA84" s="28"/>
      <c r="BB84" s="28"/>
      <c r="BC84" s="28"/>
      <c r="BD84" s="28"/>
      <c r="BE84" s="28"/>
    </row>
    <row r="85" spans="2:57" ht="21" x14ac:dyDescent="0.35">
      <c r="B85" s="28"/>
      <c r="C85" s="153" t="s">
        <v>654</v>
      </c>
      <c r="D85" s="28"/>
      <c r="E85" s="28"/>
      <c r="F85" s="28"/>
      <c r="G85" s="28"/>
      <c r="H85" s="28"/>
      <c r="I85" s="72"/>
      <c r="J85" s="64"/>
      <c r="K85" s="65"/>
      <c r="L85" s="28"/>
      <c r="M85" s="28"/>
      <c r="N85" s="28"/>
      <c r="O85" s="28"/>
      <c r="P85" s="28"/>
      <c r="Q85" s="28"/>
      <c r="R85" s="28"/>
      <c r="S85" s="28"/>
      <c r="T85" s="28"/>
      <c r="U85" s="28"/>
      <c r="V85" s="28"/>
      <c r="W85" s="28"/>
      <c r="X85" s="152"/>
      <c r="Y85" s="28"/>
      <c r="Z85" s="28"/>
      <c r="AA85" s="28"/>
      <c r="AB85" s="152"/>
      <c r="AC85" s="28"/>
      <c r="AD85" s="28"/>
      <c r="AE85" s="28"/>
      <c r="AF85" s="28"/>
      <c r="AG85" s="28"/>
      <c r="AH85" s="28"/>
      <c r="AI85" s="28"/>
      <c r="AJ85" s="28"/>
      <c r="AK85" s="28"/>
      <c r="AL85" s="97"/>
      <c r="AM85" s="97"/>
      <c r="AN85" s="28"/>
      <c r="AO85" s="28"/>
      <c r="AP85" s="28"/>
      <c r="AQ85" s="28"/>
      <c r="AR85" s="28"/>
      <c r="AS85" s="28"/>
      <c r="AT85" s="28"/>
      <c r="AU85" s="28"/>
      <c r="AV85" s="28"/>
      <c r="AW85" s="28"/>
      <c r="AX85" s="28"/>
      <c r="AY85" s="28"/>
      <c r="AZ85" s="28"/>
      <c r="BA85" s="28"/>
      <c r="BB85" s="28"/>
      <c r="BC85" s="28"/>
      <c r="BD85" s="28"/>
      <c r="BE85" s="28"/>
    </row>
    <row r="86" spans="2:57" x14ac:dyDescent="0.25">
      <c r="B86" s="28"/>
      <c r="C86" s="28"/>
      <c r="D86" s="28"/>
      <c r="E86" s="28"/>
      <c r="F86" s="28"/>
      <c r="G86" s="28"/>
      <c r="H86" s="28"/>
      <c r="I86" s="72"/>
      <c r="J86" s="64"/>
      <c r="K86" s="65"/>
      <c r="L86" s="28"/>
      <c r="M86" s="28"/>
      <c r="N86" s="28"/>
      <c r="O86" s="28"/>
      <c r="P86" s="28"/>
      <c r="Q86" s="28"/>
      <c r="R86" s="28"/>
      <c r="S86" s="28"/>
      <c r="T86" s="28"/>
      <c r="U86" s="28"/>
      <c r="V86" s="28"/>
      <c r="W86" s="28"/>
      <c r="X86" s="152"/>
      <c r="Y86" s="28"/>
      <c r="Z86" s="28"/>
      <c r="AA86" s="28"/>
      <c r="AB86" s="152"/>
      <c r="AC86" s="28"/>
      <c r="AD86" s="28"/>
      <c r="AE86" s="28"/>
      <c r="AF86" s="28"/>
      <c r="AG86" s="28"/>
      <c r="AH86" s="28"/>
      <c r="AI86" s="28"/>
      <c r="AJ86" s="28"/>
      <c r="AK86" s="28"/>
      <c r="AL86" s="97"/>
      <c r="AM86" s="97"/>
      <c r="AN86" s="28"/>
      <c r="AO86" s="28"/>
      <c r="AP86" s="28"/>
      <c r="AQ86" s="28"/>
      <c r="AR86" s="28"/>
      <c r="AS86" s="28"/>
      <c r="AT86" s="28"/>
      <c r="AU86" s="28"/>
      <c r="AV86" s="28"/>
      <c r="AW86" s="28"/>
      <c r="AX86" s="28"/>
      <c r="AY86" s="28"/>
      <c r="AZ86" s="28"/>
      <c r="BA86" s="28"/>
      <c r="BB86" s="28"/>
      <c r="BC86" s="28"/>
      <c r="BD86" s="28"/>
      <c r="BE86" s="28"/>
    </row>
    <row r="87" spans="2:57" x14ac:dyDescent="0.25">
      <c r="B87" s="28"/>
      <c r="C87" s="28"/>
      <c r="D87" s="28"/>
      <c r="E87" s="28"/>
      <c r="F87" s="28"/>
      <c r="G87" s="28"/>
      <c r="H87" s="28"/>
      <c r="I87" s="72"/>
      <c r="J87" s="64"/>
      <c r="K87" s="65"/>
      <c r="L87" s="28"/>
      <c r="M87" s="28"/>
      <c r="N87" s="28"/>
      <c r="O87" s="28"/>
      <c r="P87" s="28"/>
      <c r="Q87" s="28"/>
      <c r="R87" s="28"/>
      <c r="S87" s="28"/>
      <c r="T87" s="28"/>
      <c r="U87" s="28"/>
      <c r="V87" s="28"/>
      <c r="W87" s="28"/>
      <c r="X87" s="152"/>
      <c r="Y87" s="28"/>
      <c r="Z87" s="28"/>
      <c r="AA87" s="28"/>
      <c r="AB87" s="152"/>
      <c r="AC87" s="28"/>
      <c r="AD87" s="28"/>
      <c r="AE87" s="28"/>
      <c r="AF87" s="28"/>
      <c r="AG87" s="28"/>
      <c r="AH87" s="28"/>
      <c r="AI87" s="28"/>
      <c r="AJ87" s="28"/>
      <c r="AK87" s="28"/>
      <c r="AL87" s="97"/>
      <c r="AM87" s="97"/>
      <c r="AN87" s="28"/>
      <c r="AO87" s="28"/>
      <c r="AP87" s="28"/>
      <c r="AQ87" s="28"/>
      <c r="AR87" s="28"/>
      <c r="AS87" s="28"/>
      <c r="AT87" s="28"/>
      <c r="AU87" s="28"/>
      <c r="AV87" s="28"/>
      <c r="AW87" s="28"/>
      <c r="AX87" s="28"/>
      <c r="AY87" s="28"/>
      <c r="AZ87" s="28"/>
      <c r="BA87" s="28"/>
      <c r="BB87" s="28"/>
      <c r="BC87" s="28"/>
      <c r="BD87" s="28"/>
      <c r="BE87" s="28"/>
    </row>
    <row r="88" spans="2:57" ht="15.75" thickBot="1" x14ac:dyDescent="0.3">
      <c r="B88" s="28"/>
      <c r="C88" s="28"/>
      <c r="D88" s="28"/>
      <c r="E88" s="28"/>
      <c r="F88" s="28"/>
      <c r="G88" s="28"/>
      <c r="H88" s="28"/>
      <c r="I88" s="28"/>
      <c r="J88" s="64"/>
      <c r="K88" s="65"/>
      <c r="L88" s="28"/>
      <c r="M88" s="28"/>
      <c r="N88" s="28"/>
      <c r="O88" s="28"/>
      <c r="P88" s="28"/>
      <c r="Q88" s="28"/>
      <c r="R88" s="28"/>
      <c r="S88" s="28"/>
      <c r="T88" s="28"/>
      <c r="U88" s="28"/>
      <c r="V88" s="28"/>
      <c r="W88" s="28"/>
      <c r="X88" s="152"/>
      <c r="Y88" s="28"/>
      <c r="Z88" s="28"/>
      <c r="AA88" s="28"/>
      <c r="AB88" s="152"/>
      <c r="AC88" s="28"/>
      <c r="AD88" s="28"/>
      <c r="AE88" s="28"/>
      <c r="AF88" s="28"/>
      <c r="AG88" s="28"/>
      <c r="AH88" s="28"/>
      <c r="AI88" s="28"/>
      <c r="AJ88" s="28"/>
      <c r="AK88" s="29"/>
      <c r="AL88" s="154"/>
      <c r="AM88" s="154"/>
      <c r="AN88" s="28"/>
      <c r="AO88" s="28"/>
      <c r="AP88" s="28"/>
      <c r="AQ88" s="28"/>
      <c r="AR88" s="28"/>
      <c r="AS88" s="28"/>
      <c r="AT88" s="28"/>
      <c r="AU88" s="28"/>
      <c r="AV88" s="28"/>
      <c r="AW88" s="28"/>
      <c r="AX88" s="28"/>
      <c r="AY88" s="28"/>
      <c r="AZ88" s="28"/>
      <c r="BA88" s="28"/>
      <c r="BB88" s="28"/>
      <c r="BC88" s="28"/>
      <c r="BD88" s="28"/>
      <c r="BE88" s="28"/>
    </row>
    <row r="89" spans="2:57" ht="15" customHeight="1" x14ac:dyDescent="0.25">
      <c r="B89" s="308" t="s">
        <v>655</v>
      </c>
      <c r="C89" s="309"/>
      <c r="D89" s="310"/>
      <c r="E89" s="28"/>
      <c r="F89" s="28"/>
      <c r="G89" s="28"/>
      <c r="H89" s="28"/>
      <c r="I89" s="28"/>
      <c r="J89" s="64"/>
      <c r="K89" s="65"/>
      <c r="L89" s="28"/>
      <c r="M89" s="28"/>
      <c r="N89" s="28"/>
      <c r="O89" s="28"/>
      <c r="P89" s="28"/>
      <c r="Q89" s="28"/>
      <c r="R89" s="28"/>
      <c r="S89" s="28"/>
      <c r="T89" s="28"/>
      <c r="U89" s="28"/>
      <c r="V89" s="28"/>
      <c r="W89" s="28"/>
      <c r="X89" s="69"/>
      <c r="Y89" s="28"/>
      <c r="Z89" s="28"/>
      <c r="AA89" s="28"/>
      <c r="AB89" s="152"/>
      <c r="AC89" s="28"/>
      <c r="AD89" s="28"/>
      <c r="AE89" s="28"/>
      <c r="AF89" s="28"/>
      <c r="AG89" s="28"/>
      <c r="AH89" s="28"/>
      <c r="AI89" s="28"/>
      <c r="AJ89" s="28"/>
      <c r="AK89" s="29"/>
      <c r="AL89" s="154"/>
      <c r="AM89" s="154"/>
      <c r="AN89" s="28"/>
      <c r="AO89" s="28"/>
      <c r="AP89" s="28"/>
      <c r="AQ89" s="28"/>
      <c r="AR89" s="28"/>
      <c r="AS89" s="28"/>
      <c r="AT89" s="28"/>
      <c r="AU89" s="28"/>
      <c r="AV89" s="28"/>
      <c r="AW89" s="28"/>
      <c r="AX89" s="28"/>
      <c r="AY89" s="28"/>
      <c r="AZ89" s="28"/>
      <c r="BA89" s="28"/>
      <c r="BB89" s="28"/>
      <c r="BC89" s="28"/>
      <c r="BD89" s="28"/>
      <c r="BE89" s="28"/>
    </row>
    <row r="90" spans="2:57" ht="28.5" customHeight="1" thickBot="1" x14ac:dyDescent="0.4">
      <c r="B90" s="311"/>
      <c r="C90" s="312"/>
      <c r="D90" s="313"/>
      <c r="E90" s="321" t="s">
        <v>656</v>
      </c>
      <c r="F90" s="315"/>
      <c r="G90" s="315"/>
      <c r="H90" s="315"/>
      <c r="I90" s="315"/>
      <c r="J90" s="315"/>
      <c r="K90" s="315"/>
      <c r="L90" s="315"/>
      <c r="M90" s="155" t="s">
        <v>657</v>
      </c>
      <c r="N90" s="28"/>
      <c r="O90" s="28"/>
      <c r="P90" s="28"/>
      <c r="Q90" s="28"/>
      <c r="R90" s="28"/>
      <c r="S90" s="28"/>
      <c r="T90" s="28"/>
      <c r="U90" s="28"/>
      <c r="V90" s="28"/>
      <c r="W90" s="28"/>
      <c r="X90" s="69"/>
      <c r="Y90" s="28"/>
      <c r="Z90" s="28"/>
      <c r="AA90" s="28"/>
      <c r="AB90" s="152"/>
      <c r="AC90" s="28"/>
      <c r="AD90" s="28"/>
      <c r="AE90" s="28"/>
      <c r="AF90" s="28"/>
      <c r="AG90" s="28"/>
      <c r="AH90" s="28"/>
      <c r="AI90" s="28"/>
      <c r="AJ90" s="28"/>
      <c r="AK90" s="28"/>
      <c r="AL90" s="97"/>
      <c r="AM90" s="97"/>
      <c r="AN90" s="28"/>
      <c r="AO90" s="28"/>
      <c r="AP90" s="28"/>
      <c r="AQ90" s="28"/>
      <c r="AR90" s="28"/>
      <c r="AS90" s="28"/>
      <c r="AT90" s="28"/>
      <c r="AU90" s="28"/>
      <c r="AV90" s="28"/>
      <c r="AW90" s="28"/>
      <c r="AX90" s="28"/>
      <c r="AY90" s="28"/>
      <c r="AZ90" s="28"/>
      <c r="BA90" s="28"/>
      <c r="BB90" s="28"/>
      <c r="BC90" s="28"/>
      <c r="BD90" s="28"/>
      <c r="BE90" s="28"/>
    </row>
    <row r="91" spans="2:57" ht="15" customHeight="1" thickBot="1" x14ac:dyDescent="0.3">
      <c r="B91" s="28"/>
      <c r="C91" s="72"/>
      <c r="D91" s="72"/>
      <c r="E91" s="72"/>
      <c r="F91" s="72"/>
      <c r="G91" s="72"/>
      <c r="H91" s="72"/>
      <c r="I91" s="72"/>
      <c r="J91" s="64"/>
      <c r="K91" s="65"/>
      <c r="L91" s="28"/>
      <c r="M91" s="28"/>
      <c r="N91" s="28"/>
      <c r="O91" s="28"/>
      <c r="P91" s="28"/>
      <c r="Q91" s="28"/>
      <c r="R91" s="28"/>
      <c r="S91" s="28"/>
      <c r="T91" s="28"/>
      <c r="U91" s="28"/>
      <c r="V91" s="28"/>
      <c r="W91" s="28"/>
      <c r="X91" s="152"/>
      <c r="Y91" s="28"/>
      <c r="Z91" s="28"/>
      <c r="AA91" s="28"/>
      <c r="AB91" s="28"/>
      <c r="AC91" s="28"/>
      <c r="AD91" s="28"/>
      <c r="AE91" s="28"/>
      <c r="AF91" s="28"/>
      <c r="AG91" s="28"/>
      <c r="AH91" s="28"/>
      <c r="AI91" s="28"/>
      <c r="AJ91" s="28"/>
      <c r="AK91" s="28"/>
      <c r="AL91" s="152"/>
      <c r="AM91" s="152"/>
      <c r="AN91" s="28"/>
      <c r="AO91" s="28"/>
      <c r="AP91" s="28"/>
      <c r="AQ91" s="28"/>
      <c r="AR91" s="28"/>
      <c r="AS91" s="28"/>
      <c r="AT91" s="28"/>
      <c r="AU91" s="28"/>
      <c r="AV91" s="28"/>
      <c r="AW91" s="28"/>
      <c r="AX91" s="28"/>
      <c r="AY91" s="28"/>
      <c r="AZ91" s="28"/>
      <c r="BA91" s="28"/>
      <c r="BB91" s="28"/>
      <c r="BC91" s="28"/>
      <c r="BD91" s="28"/>
      <c r="BE91" s="28"/>
    </row>
    <row r="92" spans="2:57" ht="15.75" customHeight="1" thickBot="1" x14ac:dyDescent="0.3">
      <c r="B92" s="75" t="s">
        <v>658</v>
      </c>
      <c r="C92" s="76" t="s">
        <v>62</v>
      </c>
      <c r="D92" s="77">
        <v>2021</v>
      </c>
      <c r="E92" s="78">
        <v>2022</v>
      </c>
      <c r="F92" s="79">
        <v>2023</v>
      </c>
      <c r="G92" s="77">
        <v>2024</v>
      </c>
      <c r="H92" s="78">
        <v>2025</v>
      </c>
      <c r="I92" s="78">
        <v>2026</v>
      </c>
      <c r="J92" s="78">
        <v>2027</v>
      </c>
      <c r="K92" s="78">
        <v>2028</v>
      </c>
      <c r="L92" s="78">
        <v>2029</v>
      </c>
      <c r="M92" s="78">
        <v>2030</v>
      </c>
      <c r="N92" s="78">
        <v>2031</v>
      </c>
      <c r="O92" s="78">
        <v>2032</v>
      </c>
      <c r="P92" s="78">
        <v>2033</v>
      </c>
      <c r="Q92" s="78">
        <v>2034</v>
      </c>
      <c r="R92" s="78">
        <v>2035</v>
      </c>
      <c r="S92" s="78">
        <v>2036</v>
      </c>
      <c r="T92" s="78">
        <v>2037</v>
      </c>
      <c r="U92" s="78">
        <v>2038</v>
      </c>
      <c r="V92" s="78">
        <v>2039</v>
      </c>
      <c r="W92" s="78">
        <v>2040</v>
      </c>
      <c r="X92" s="78">
        <v>2041</v>
      </c>
      <c r="Y92" s="78">
        <v>2042</v>
      </c>
      <c r="Z92" s="78">
        <v>2043</v>
      </c>
      <c r="AA92" s="78">
        <v>2044</v>
      </c>
      <c r="AB92" s="78">
        <v>2045</v>
      </c>
      <c r="AC92" s="78">
        <v>2046</v>
      </c>
      <c r="AD92" s="78">
        <v>2047</v>
      </c>
      <c r="AE92" s="78">
        <v>2048</v>
      </c>
      <c r="AF92" s="78">
        <v>2049</v>
      </c>
      <c r="AG92" s="79">
        <v>2050</v>
      </c>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row>
    <row r="93" spans="2:57" ht="15.75" customHeight="1" x14ac:dyDescent="0.25">
      <c r="B93" s="82" t="s">
        <v>91</v>
      </c>
      <c r="C93" s="156" t="s">
        <v>534</v>
      </c>
      <c r="D93" s="111"/>
      <c r="E93" s="157"/>
      <c r="F93" s="158"/>
      <c r="G93" s="159">
        <v>1.2</v>
      </c>
      <c r="H93" s="159">
        <v>1.2</v>
      </c>
      <c r="I93" s="159">
        <v>1.2</v>
      </c>
      <c r="J93" s="159">
        <v>1.2</v>
      </c>
      <c r="K93" s="159">
        <v>1.2</v>
      </c>
      <c r="L93" s="159">
        <v>1.2</v>
      </c>
      <c r="M93" s="159">
        <v>1.2</v>
      </c>
      <c r="N93" s="159">
        <v>1.2</v>
      </c>
      <c r="O93" s="159">
        <v>1.2</v>
      </c>
      <c r="P93" s="159">
        <v>1.2</v>
      </c>
      <c r="Q93" s="159">
        <v>1.2</v>
      </c>
      <c r="R93" s="159">
        <v>1.2</v>
      </c>
      <c r="S93" s="159">
        <v>1.2</v>
      </c>
      <c r="T93" s="159">
        <v>1.2</v>
      </c>
      <c r="U93" s="159">
        <v>1.2</v>
      </c>
      <c r="V93" s="159">
        <v>1.2</v>
      </c>
      <c r="W93" s="159">
        <v>1.2</v>
      </c>
      <c r="X93" s="159">
        <v>1.2</v>
      </c>
      <c r="Y93" s="159">
        <v>1.2</v>
      </c>
      <c r="Z93" s="159">
        <v>1.2</v>
      </c>
      <c r="AA93" s="159">
        <v>1.2</v>
      </c>
      <c r="AB93" s="159">
        <v>1.2</v>
      </c>
      <c r="AC93" s="159">
        <v>1.2</v>
      </c>
      <c r="AD93" s="159">
        <v>1.2</v>
      </c>
      <c r="AE93" s="159">
        <v>1.2</v>
      </c>
      <c r="AF93" s="159">
        <v>1.2</v>
      </c>
      <c r="AG93" s="160">
        <v>1.2</v>
      </c>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row>
    <row r="94" spans="2:57" ht="15.75" customHeight="1" x14ac:dyDescent="0.25">
      <c r="B94" s="82" t="s">
        <v>74</v>
      </c>
      <c r="C94" s="156" t="s">
        <v>24</v>
      </c>
      <c r="D94" s="117"/>
      <c r="E94" s="161"/>
      <c r="F94" s="162"/>
      <c r="G94" s="163">
        <v>1.2</v>
      </c>
      <c r="H94" s="163">
        <v>1.2</v>
      </c>
      <c r="I94" s="163">
        <v>1.2</v>
      </c>
      <c r="J94" s="163">
        <v>1.2</v>
      </c>
      <c r="K94" s="163">
        <v>1.2</v>
      </c>
      <c r="L94" s="163">
        <v>1.2</v>
      </c>
      <c r="M94" s="163">
        <v>1.2</v>
      </c>
      <c r="N94" s="163">
        <v>1.2</v>
      </c>
      <c r="O94" s="163">
        <v>1.2</v>
      </c>
      <c r="P94" s="163">
        <v>1.2</v>
      </c>
      <c r="Q94" s="163">
        <v>1.2</v>
      </c>
      <c r="R94" s="163">
        <v>1.2</v>
      </c>
      <c r="S94" s="163">
        <v>1.2</v>
      </c>
      <c r="T94" s="163">
        <v>1.2</v>
      </c>
      <c r="U94" s="163">
        <v>1.2</v>
      </c>
      <c r="V94" s="163">
        <v>1.2</v>
      </c>
      <c r="W94" s="163">
        <v>1.2</v>
      </c>
      <c r="X94" s="163">
        <v>1.2</v>
      </c>
      <c r="Y94" s="163">
        <v>1.2</v>
      </c>
      <c r="Z94" s="163">
        <v>1.2</v>
      </c>
      <c r="AA94" s="163">
        <v>1.2</v>
      </c>
      <c r="AB94" s="163">
        <v>1.2</v>
      </c>
      <c r="AC94" s="163">
        <v>1.2</v>
      </c>
      <c r="AD94" s="163">
        <v>1.2</v>
      </c>
      <c r="AE94" s="163">
        <v>1.2</v>
      </c>
      <c r="AF94" s="163">
        <v>1.2</v>
      </c>
      <c r="AG94" s="164">
        <v>1.2</v>
      </c>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row>
    <row r="95" spans="2:57" ht="15.75" customHeight="1" x14ac:dyDescent="0.25">
      <c r="B95" s="82" t="s">
        <v>89</v>
      </c>
      <c r="C95" s="156" t="s">
        <v>535</v>
      </c>
      <c r="D95" s="117"/>
      <c r="E95" s="161"/>
      <c r="F95" s="162"/>
      <c r="G95" s="163">
        <v>1.2</v>
      </c>
      <c r="H95" s="163">
        <v>1.2</v>
      </c>
      <c r="I95" s="163">
        <v>1.2</v>
      </c>
      <c r="J95" s="163">
        <v>1.2</v>
      </c>
      <c r="K95" s="163">
        <v>1.2</v>
      </c>
      <c r="L95" s="163">
        <v>1.2</v>
      </c>
      <c r="M95" s="163">
        <v>1.2</v>
      </c>
      <c r="N95" s="163">
        <v>1.2</v>
      </c>
      <c r="O95" s="163">
        <v>1.2</v>
      </c>
      <c r="P95" s="163">
        <v>1.2</v>
      </c>
      <c r="Q95" s="163">
        <v>1.2</v>
      </c>
      <c r="R95" s="163">
        <v>1.2</v>
      </c>
      <c r="S95" s="163">
        <v>1.2</v>
      </c>
      <c r="T95" s="163">
        <v>1.2</v>
      </c>
      <c r="U95" s="163">
        <v>1.2</v>
      </c>
      <c r="V95" s="163">
        <v>1.2</v>
      </c>
      <c r="W95" s="163">
        <v>1.2</v>
      </c>
      <c r="X95" s="163">
        <v>1.2</v>
      </c>
      <c r="Y95" s="163">
        <v>1.2</v>
      </c>
      <c r="Z95" s="163">
        <v>1.2</v>
      </c>
      <c r="AA95" s="163">
        <v>1.2</v>
      </c>
      <c r="AB95" s="163">
        <v>1.2</v>
      </c>
      <c r="AC95" s="163">
        <v>1.2</v>
      </c>
      <c r="AD95" s="163">
        <v>1.2</v>
      </c>
      <c r="AE95" s="163">
        <v>1.2</v>
      </c>
      <c r="AF95" s="163">
        <v>1.2</v>
      </c>
      <c r="AG95" s="164">
        <v>1.2</v>
      </c>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row>
    <row r="96" spans="2:57" ht="15.75" customHeight="1" x14ac:dyDescent="0.25">
      <c r="B96" s="82" t="s">
        <v>93</v>
      </c>
      <c r="C96" s="156" t="s">
        <v>26</v>
      </c>
      <c r="D96" s="117"/>
      <c r="E96" s="161"/>
      <c r="F96" s="162"/>
      <c r="G96" s="163">
        <v>1.2</v>
      </c>
      <c r="H96" s="163">
        <v>1.2</v>
      </c>
      <c r="I96" s="163">
        <v>1.2</v>
      </c>
      <c r="J96" s="163">
        <v>1.2</v>
      </c>
      <c r="K96" s="163">
        <v>1.2</v>
      </c>
      <c r="L96" s="163">
        <v>1.2</v>
      </c>
      <c r="M96" s="163">
        <v>1.2</v>
      </c>
      <c r="N96" s="163">
        <v>1.2</v>
      </c>
      <c r="O96" s="163">
        <v>1.2</v>
      </c>
      <c r="P96" s="163">
        <v>1.2</v>
      </c>
      <c r="Q96" s="163">
        <v>1.2</v>
      </c>
      <c r="R96" s="163">
        <v>1.2</v>
      </c>
      <c r="S96" s="163">
        <v>1.2</v>
      </c>
      <c r="T96" s="163">
        <v>1.2</v>
      </c>
      <c r="U96" s="163">
        <v>1.2</v>
      </c>
      <c r="V96" s="163">
        <v>1.2</v>
      </c>
      <c r="W96" s="163">
        <v>1.2</v>
      </c>
      <c r="X96" s="163">
        <v>1.2</v>
      </c>
      <c r="Y96" s="163">
        <v>1.2</v>
      </c>
      <c r="Z96" s="163">
        <v>1.2</v>
      </c>
      <c r="AA96" s="163">
        <v>1.2</v>
      </c>
      <c r="AB96" s="163">
        <v>1.2</v>
      </c>
      <c r="AC96" s="163">
        <v>1.2</v>
      </c>
      <c r="AD96" s="163">
        <v>1.2</v>
      </c>
      <c r="AE96" s="163">
        <v>1.2</v>
      </c>
      <c r="AF96" s="163">
        <v>1.2</v>
      </c>
      <c r="AG96" s="164">
        <v>1.2</v>
      </c>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row>
    <row r="97" spans="2:57" ht="15.75" customHeight="1" x14ac:dyDescent="0.25">
      <c r="B97" s="82" t="s">
        <v>99</v>
      </c>
      <c r="C97" s="156" t="s">
        <v>27</v>
      </c>
      <c r="D97" s="117"/>
      <c r="E97" s="161"/>
      <c r="F97" s="162"/>
      <c r="G97" s="163">
        <v>1.2</v>
      </c>
      <c r="H97" s="163">
        <v>1.2</v>
      </c>
      <c r="I97" s="163">
        <v>1.2</v>
      </c>
      <c r="J97" s="163">
        <v>1.2</v>
      </c>
      <c r="K97" s="163">
        <v>1.2</v>
      </c>
      <c r="L97" s="163">
        <v>1.2</v>
      </c>
      <c r="M97" s="163">
        <v>1.2</v>
      </c>
      <c r="N97" s="163">
        <v>1.2</v>
      </c>
      <c r="O97" s="163">
        <v>1.2</v>
      </c>
      <c r="P97" s="163">
        <v>1.2</v>
      </c>
      <c r="Q97" s="163">
        <v>1.2</v>
      </c>
      <c r="R97" s="163">
        <v>1.2</v>
      </c>
      <c r="S97" s="163">
        <v>1.2</v>
      </c>
      <c r="T97" s="163">
        <v>1.2</v>
      </c>
      <c r="U97" s="163">
        <v>1.2</v>
      </c>
      <c r="V97" s="163">
        <v>1.2</v>
      </c>
      <c r="W97" s="163">
        <v>1.2</v>
      </c>
      <c r="X97" s="163">
        <v>1.2</v>
      </c>
      <c r="Y97" s="163">
        <v>1.2</v>
      </c>
      <c r="Z97" s="163">
        <v>1.2</v>
      </c>
      <c r="AA97" s="163">
        <v>1.2</v>
      </c>
      <c r="AB97" s="163">
        <v>1.2</v>
      </c>
      <c r="AC97" s="163">
        <v>1.2</v>
      </c>
      <c r="AD97" s="163">
        <v>1.2</v>
      </c>
      <c r="AE97" s="163">
        <v>1.2</v>
      </c>
      <c r="AF97" s="163">
        <v>1.2</v>
      </c>
      <c r="AG97" s="164">
        <v>1.2</v>
      </c>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row>
    <row r="98" spans="2:57" ht="15.75" customHeight="1" x14ac:dyDescent="0.25">
      <c r="B98" s="82" t="s">
        <v>77</v>
      </c>
      <c r="C98" s="156" t="s">
        <v>25</v>
      </c>
      <c r="D98" s="117"/>
      <c r="E98" s="161"/>
      <c r="F98" s="162"/>
      <c r="G98" s="163">
        <v>1.2</v>
      </c>
      <c r="H98" s="163">
        <v>1.2</v>
      </c>
      <c r="I98" s="163">
        <v>1.2</v>
      </c>
      <c r="J98" s="163">
        <v>1.2</v>
      </c>
      <c r="K98" s="163">
        <v>1.2</v>
      </c>
      <c r="L98" s="163">
        <v>1.2</v>
      </c>
      <c r="M98" s="163">
        <v>1.2</v>
      </c>
      <c r="N98" s="163">
        <v>1.2</v>
      </c>
      <c r="O98" s="163">
        <v>1.2</v>
      </c>
      <c r="P98" s="163">
        <v>1.2</v>
      </c>
      <c r="Q98" s="163">
        <v>1.2</v>
      </c>
      <c r="R98" s="163">
        <v>1.2</v>
      </c>
      <c r="S98" s="163">
        <v>1.2</v>
      </c>
      <c r="T98" s="163">
        <v>1.2</v>
      </c>
      <c r="U98" s="163">
        <v>1.2</v>
      </c>
      <c r="V98" s="163">
        <v>1.2</v>
      </c>
      <c r="W98" s="163">
        <v>1.2</v>
      </c>
      <c r="X98" s="163">
        <v>1.2</v>
      </c>
      <c r="Y98" s="163">
        <v>1.2</v>
      </c>
      <c r="Z98" s="163">
        <v>1.2</v>
      </c>
      <c r="AA98" s="163">
        <v>1.2</v>
      </c>
      <c r="AB98" s="163">
        <v>1.2</v>
      </c>
      <c r="AC98" s="163">
        <v>1.2</v>
      </c>
      <c r="AD98" s="163">
        <v>1.2</v>
      </c>
      <c r="AE98" s="163">
        <v>1.2</v>
      </c>
      <c r="AF98" s="163">
        <v>1.2</v>
      </c>
      <c r="AG98" s="164">
        <v>1.2</v>
      </c>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row>
    <row r="99" spans="2:57" ht="15.75" customHeight="1" x14ac:dyDescent="0.25">
      <c r="B99" s="82" t="s">
        <v>66</v>
      </c>
      <c r="C99" s="156" t="s">
        <v>536</v>
      </c>
      <c r="D99" s="117"/>
      <c r="E99" s="161"/>
      <c r="F99" s="162"/>
      <c r="G99" s="163">
        <v>1.2</v>
      </c>
      <c r="H99" s="163">
        <v>1.2</v>
      </c>
      <c r="I99" s="163">
        <v>1.2</v>
      </c>
      <c r="J99" s="163">
        <v>1.2</v>
      </c>
      <c r="K99" s="163">
        <v>1.2</v>
      </c>
      <c r="L99" s="163">
        <v>1.2</v>
      </c>
      <c r="M99" s="163">
        <v>1.2</v>
      </c>
      <c r="N99" s="163">
        <v>1.2</v>
      </c>
      <c r="O99" s="163">
        <v>1.2</v>
      </c>
      <c r="P99" s="163">
        <v>1.2</v>
      </c>
      <c r="Q99" s="163">
        <v>1.2</v>
      </c>
      <c r="R99" s="163">
        <v>1.2</v>
      </c>
      <c r="S99" s="163">
        <v>1.2</v>
      </c>
      <c r="T99" s="163">
        <v>1.2</v>
      </c>
      <c r="U99" s="163">
        <v>1.2</v>
      </c>
      <c r="V99" s="163">
        <v>1.2</v>
      </c>
      <c r="W99" s="163">
        <v>1.2</v>
      </c>
      <c r="X99" s="163">
        <v>1.2</v>
      </c>
      <c r="Y99" s="163">
        <v>1.2</v>
      </c>
      <c r="Z99" s="163">
        <v>1.2</v>
      </c>
      <c r="AA99" s="163">
        <v>1.2</v>
      </c>
      <c r="AB99" s="163">
        <v>1.2</v>
      </c>
      <c r="AC99" s="163">
        <v>1.2</v>
      </c>
      <c r="AD99" s="163">
        <v>1.2</v>
      </c>
      <c r="AE99" s="163">
        <v>1.2</v>
      </c>
      <c r="AF99" s="163">
        <v>1.2</v>
      </c>
      <c r="AG99" s="164">
        <v>1.2</v>
      </c>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row>
    <row r="100" spans="2:57" ht="15.75" customHeight="1" x14ac:dyDescent="0.25">
      <c r="B100" s="82" t="s">
        <v>70</v>
      </c>
      <c r="C100" s="156" t="s">
        <v>537</v>
      </c>
      <c r="D100" s="117"/>
      <c r="E100" s="161"/>
      <c r="F100" s="162"/>
      <c r="G100" s="163">
        <v>1.2</v>
      </c>
      <c r="H100" s="163">
        <v>1.2</v>
      </c>
      <c r="I100" s="163">
        <v>1.2</v>
      </c>
      <c r="J100" s="163">
        <v>1.2</v>
      </c>
      <c r="K100" s="163">
        <v>1.2</v>
      </c>
      <c r="L100" s="163">
        <v>1.2</v>
      </c>
      <c r="M100" s="163">
        <v>1.2</v>
      </c>
      <c r="N100" s="163">
        <v>1.2</v>
      </c>
      <c r="O100" s="163">
        <v>1.2</v>
      </c>
      <c r="P100" s="163">
        <v>1.2</v>
      </c>
      <c r="Q100" s="163">
        <v>1.2</v>
      </c>
      <c r="R100" s="163">
        <v>1.2</v>
      </c>
      <c r="S100" s="163">
        <v>1.2</v>
      </c>
      <c r="T100" s="163">
        <v>1.2</v>
      </c>
      <c r="U100" s="163">
        <v>1.2</v>
      </c>
      <c r="V100" s="163">
        <v>1.2</v>
      </c>
      <c r="W100" s="163">
        <v>1.2</v>
      </c>
      <c r="X100" s="163">
        <v>1.2</v>
      </c>
      <c r="Y100" s="163">
        <v>1.2</v>
      </c>
      <c r="Z100" s="163">
        <v>1.2</v>
      </c>
      <c r="AA100" s="163">
        <v>1.2</v>
      </c>
      <c r="AB100" s="163">
        <v>1.2</v>
      </c>
      <c r="AC100" s="163">
        <v>1.2</v>
      </c>
      <c r="AD100" s="163">
        <v>1.2</v>
      </c>
      <c r="AE100" s="163">
        <v>1.2</v>
      </c>
      <c r="AF100" s="163">
        <v>1.2</v>
      </c>
      <c r="AG100" s="164">
        <v>1.2</v>
      </c>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row>
    <row r="101" spans="2:57" ht="15.75" customHeight="1" x14ac:dyDescent="0.25">
      <c r="B101" s="82" t="s">
        <v>67</v>
      </c>
      <c r="C101" s="156" t="s">
        <v>538</v>
      </c>
      <c r="D101" s="117"/>
      <c r="E101" s="161"/>
      <c r="F101" s="162"/>
      <c r="G101" s="163">
        <v>1.2</v>
      </c>
      <c r="H101" s="163">
        <v>1.2</v>
      </c>
      <c r="I101" s="163">
        <v>1.2</v>
      </c>
      <c r="J101" s="163">
        <v>1.2</v>
      </c>
      <c r="K101" s="163">
        <v>1.2</v>
      </c>
      <c r="L101" s="163">
        <v>1.2</v>
      </c>
      <c r="M101" s="163">
        <v>1.2</v>
      </c>
      <c r="N101" s="163">
        <v>1.2</v>
      </c>
      <c r="O101" s="163">
        <v>1.2</v>
      </c>
      <c r="P101" s="163">
        <v>1.2</v>
      </c>
      <c r="Q101" s="163">
        <v>1.2</v>
      </c>
      <c r="R101" s="163">
        <v>1.2</v>
      </c>
      <c r="S101" s="163">
        <v>1.2</v>
      </c>
      <c r="T101" s="163">
        <v>1.2</v>
      </c>
      <c r="U101" s="163">
        <v>1.2</v>
      </c>
      <c r="V101" s="163">
        <v>1.2</v>
      </c>
      <c r="W101" s="163">
        <v>1.2</v>
      </c>
      <c r="X101" s="163">
        <v>1.2</v>
      </c>
      <c r="Y101" s="163">
        <v>1.2</v>
      </c>
      <c r="Z101" s="163">
        <v>1.2</v>
      </c>
      <c r="AA101" s="163">
        <v>1.2</v>
      </c>
      <c r="AB101" s="163">
        <v>1.2</v>
      </c>
      <c r="AC101" s="163">
        <v>1.2</v>
      </c>
      <c r="AD101" s="163">
        <v>1.2</v>
      </c>
      <c r="AE101" s="163">
        <v>1.2</v>
      </c>
      <c r="AF101" s="163">
        <v>1.2</v>
      </c>
      <c r="AG101" s="164">
        <v>1.2</v>
      </c>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row>
    <row r="102" spans="2:57" ht="15.75" customHeight="1" x14ac:dyDescent="0.25">
      <c r="B102" s="82" t="s">
        <v>71</v>
      </c>
      <c r="C102" s="156" t="s">
        <v>539</v>
      </c>
      <c r="D102" s="117"/>
      <c r="E102" s="161"/>
      <c r="F102" s="162"/>
      <c r="G102" s="163">
        <v>1.2</v>
      </c>
      <c r="H102" s="163">
        <v>1.2</v>
      </c>
      <c r="I102" s="163">
        <v>1.2</v>
      </c>
      <c r="J102" s="163">
        <v>1.2</v>
      </c>
      <c r="K102" s="163">
        <v>1.2</v>
      </c>
      <c r="L102" s="163">
        <v>1.2</v>
      </c>
      <c r="M102" s="163">
        <v>1.2</v>
      </c>
      <c r="N102" s="163">
        <v>1.2</v>
      </c>
      <c r="O102" s="163">
        <v>1.2</v>
      </c>
      <c r="P102" s="163">
        <v>1.2</v>
      </c>
      <c r="Q102" s="163">
        <v>1.2</v>
      </c>
      <c r="R102" s="163">
        <v>1.2</v>
      </c>
      <c r="S102" s="163">
        <v>1.2</v>
      </c>
      <c r="T102" s="163">
        <v>1.2</v>
      </c>
      <c r="U102" s="163">
        <v>1.2</v>
      </c>
      <c r="V102" s="163">
        <v>1.2</v>
      </c>
      <c r="W102" s="163">
        <v>1.2</v>
      </c>
      <c r="X102" s="163">
        <v>1.2</v>
      </c>
      <c r="Y102" s="163">
        <v>1.2</v>
      </c>
      <c r="Z102" s="163">
        <v>1.2</v>
      </c>
      <c r="AA102" s="163">
        <v>1.2</v>
      </c>
      <c r="AB102" s="163">
        <v>1.2</v>
      </c>
      <c r="AC102" s="163">
        <v>1.2</v>
      </c>
      <c r="AD102" s="163">
        <v>1.2</v>
      </c>
      <c r="AE102" s="163">
        <v>1.2</v>
      </c>
      <c r="AF102" s="163">
        <v>1.2</v>
      </c>
      <c r="AG102" s="164">
        <v>1.2</v>
      </c>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row>
    <row r="103" spans="2:57" ht="15.75" customHeight="1" x14ac:dyDescent="0.25">
      <c r="B103" s="82" t="s">
        <v>104</v>
      </c>
      <c r="C103" s="156" t="s">
        <v>28</v>
      </c>
      <c r="D103" s="117"/>
      <c r="E103" s="161"/>
      <c r="F103" s="162"/>
      <c r="G103" s="163">
        <v>1.2</v>
      </c>
      <c r="H103" s="163">
        <v>1.2</v>
      </c>
      <c r="I103" s="163">
        <v>1.2</v>
      </c>
      <c r="J103" s="163">
        <v>1.2</v>
      </c>
      <c r="K103" s="163">
        <v>1.2</v>
      </c>
      <c r="L103" s="163">
        <v>1.2</v>
      </c>
      <c r="M103" s="163">
        <v>1.2</v>
      </c>
      <c r="N103" s="163">
        <v>1.2</v>
      </c>
      <c r="O103" s="163">
        <v>1.2</v>
      </c>
      <c r="P103" s="163">
        <v>1.2</v>
      </c>
      <c r="Q103" s="163">
        <v>1.2</v>
      </c>
      <c r="R103" s="163">
        <v>1.2</v>
      </c>
      <c r="S103" s="163">
        <v>1.2</v>
      </c>
      <c r="T103" s="163">
        <v>1.2</v>
      </c>
      <c r="U103" s="163">
        <v>1.2</v>
      </c>
      <c r="V103" s="163">
        <v>1.2</v>
      </c>
      <c r="W103" s="163">
        <v>1.2</v>
      </c>
      <c r="X103" s="163">
        <v>1.2</v>
      </c>
      <c r="Y103" s="163">
        <v>1.2</v>
      </c>
      <c r="Z103" s="163">
        <v>1.2</v>
      </c>
      <c r="AA103" s="163">
        <v>1.2</v>
      </c>
      <c r="AB103" s="163">
        <v>1.2</v>
      </c>
      <c r="AC103" s="163">
        <v>1.2</v>
      </c>
      <c r="AD103" s="163">
        <v>1.2</v>
      </c>
      <c r="AE103" s="163">
        <v>1.2</v>
      </c>
      <c r="AF103" s="163">
        <v>1.2</v>
      </c>
      <c r="AG103" s="164">
        <v>1.2</v>
      </c>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row>
    <row r="104" spans="2:57" ht="15.75" customHeight="1" x14ac:dyDescent="0.25">
      <c r="B104" s="82" t="s">
        <v>109</v>
      </c>
      <c r="C104" s="156" t="s">
        <v>29</v>
      </c>
      <c r="D104" s="117"/>
      <c r="E104" s="161"/>
      <c r="F104" s="162"/>
      <c r="G104" s="163">
        <v>1.2</v>
      </c>
      <c r="H104" s="163">
        <v>1.2</v>
      </c>
      <c r="I104" s="163">
        <v>1.2</v>
      </c>
      <c r="J104" s="163">
        <v>1.2</v>
      </c>
      <c r="K104" s="163">
        <v>1.2</v>
      </c>
      <c r="L104" s="163">
        <v>1.2</v>
      </c>
      <c r="M104" s="163">
        <v>1.2</v>
      </c>
      <c r="N104" s="163">
        <v>1.2</v>
      </c>
      <c r="O104" s="163">
        <v>1.2</v>
      </c>
      <c r="P104" s="163">
        <v>1.2</v>
      </c>
      <c r="Q104" s="163">
        <v>1.2</v>
      </c>
      <c r="R104" s="163">
        <v>1.2</v>
      </c>
      <c r="S104" s="163">
        <v>1.2</v>
      </c>
      <c r="T104" s="163">
        <v>1.2</v>
      </c>
      <c r="U104" s="163">
        <v>1.2</v>
      </c>
      <c r="V104" s="163">
        <v>1.2</v>
      </c>
      <c r="W104" s="163">
        <v>1.2</v>
      </c>
      <c r="X104" s="163">
        <v>1.2</v>
      </c>
      <c r="Y104" s="163">
        <v>1.2</v>
      </c>
      <c r="Z104" s="163">
        <v>1.2</v>
      </c>
      <c r="AA104" s="163">
        <v>1.2</v>
      </c>
      <c r="AB104" s="163">
        <v>1.2</v>
      </c>
      <c r="AC104" s="163">
        <v>1.2</v>
      </c>
      <c r="AD104" s="163">
        <v>1.2</v>
      </c>
      <c r="AE104" s="163">
        <v>1.2</v>
      </c>
      <c r="AF104" s="163">
        <v>1.2</v>
      </c>
      <c r="AG104" s="164">
        <v>1.2</v>
      </c>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row>
    <row r="105" spans="2:57" ht="15.75" customHeight="1" x14ac:dyDescent="0.25">
      <c r="B105" s="82" t="s">
        <v>115</v>
      </c>
      <c r="C105" s="156" t="s">
        <v>540</v>
      </c>
      <c r="D105" s="117"/>
      <c r="E105" s="161"/>
      <c r="F105" s="162"/>
      <c r="G105" s="163">
        <v>1.2</v>
      </c>
      <c r="H105" s="163">
        <v>1.2</v>
      </c>
      <c r="I105" s="163">
        <v>1.2</v>
      </c>
      <c r="J105" s="163">
        <v>1.2</v>
      </c>
      <c r="K105" s="163">
        <v>1.2</v>
      </c>
      <c r="L105" s="163">
        <v>1.2</v>
      </c>
      <c r="M105" s="163">
        <v>1.2</v>
      </c>
      <c r="N105" s="163">
        <v>1.2</v>
      </c>
      <c r="O105" s="163">
        <v>1.2</v>
      </c>
      <c r="P105" s="163">
        <v>1.2</v>
      </c>
      <c r="Q105" s="163">
        <v>1.2</v>
      </c>
      <c r="R105" s="163">
        <v>1.2</v>
      </c>
      <c r="S105" s="163">
        <v>1.2</v>
      </c>
      <c r="T105" s="163">
        <v>1.2</v>
      </c>
      <c r="U105" s="163">
        <v>1.2</v>
      </c>
      <c r="V105" s="163">
        <v>1.2</v>
      </c>
      <c r="W105" s="163">
        <v>1.2</v>
      </c>
      <c r="X105" s="163">
        <v>1.2</v>
      </c>
      <c r="Y105" s="163">
        <v>1.2</v>
      </c>
      <c r="Z105" s="163">
        <v>1.2</v>
      </c>
      <c r="AA105" s="163">
        <v>1.2</v>
      </c>
      <c r="AB105" s="163">
        <v>1.2</v>
      </c>
      <c r="AC105" s="163">
        <v>1.2</v>
      </c>
      <c r="AD105" s="163">
        <v>1.2</v>
      </c>
      <c r="AE105" s="163">
        <v>1.2</v>
      </c>
      <c r="AF105" s="163">
        <v>1.2</v>
      </c>
      <c r="AG105" s="164">
        <v>1.2</v>
      </c>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row>
    <row r="106" spans="2:57" ht="15.75" customHeight="1" x14ac:dyDescent="0.25">
      <c r="B106" s="82" t="s">
        <v>530</v>
      </c>
      <c r="C106" s="156" t="s">
        <v>541</v>
      </c>
      <c r="D106" s="117"/>
      <c r="E106" s="161"/>
      <c r="F106" s="162"/>
      <c r="G106" s="163">
        <v>1.2</v>
      </c>
      <c r="H106" s="163">
        <v>1.2</v>
      </c>
      <c r="I106" s="163">
        <v>1.2</v>
      </c>
      <c r="J106" s="163">
        <v>1.2</v>
      </c>
      <c r="K106" s="163">
        <v>1.2</v>
      </c>
      <c r="L106" s="163">
        <v>1.2</v>
      </c>
      <c r="M106" s="163">
        <v>1.2</v>
      </c>
      <c r="N106" s="163">
        <v>1.2</v>
      </c>
      <c r="O106" s="163">
        <v>1.2</v>
      </c>
      <c r="P106" s="163">
        <v>1.2</v>
      </c>
      <c r="Q106" s="163">
        <v>1.2</v>
      </c>
      <c r="R106" s="163">
        <v>1.2</v>
      </c>
      <c r="S106" s="163">
        <v>1.2</v>
      </c>
      <c r="T106" s="163">
        <v>1.2</v>
      </c>
      <c r="U106" s="163">
        <v>1.2</v>
      </c>
      <c r="V106" s="163">
        <v>1.2</v>
      </c>
      <c r="W106" s="163">
        <v>1.2</v>
      </c>
      <c r="X106" s="163">
        <v>1.2</v>
      </c>
      <c r="Y106" s="163">
        <v>1.2</v>
      </c>
      <c r="Z106" s="163">
        <v>1.2</v>
      </c>
      <c r="AA106" s="163">
        <v>1.2</v>
      </c>
      <c r="AB106" s="163">
        <v>1.2</v>
      </c>
      <c r="AC106" s="163">
        <v>1.2</v>
      </c>
      <c r="AD106" s="163">
        <v>1.2</v>
      </c>
      <c r="AE106" s="163">
        <v>1.2</v>
      </c>
      <c r="AF106" s="163">
        <v>1.2</v>
      </c>
      <c r="AG106" s="164">
        <v>1.2</v>
      </c>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row>
    <row r="107" spans="2:57" ht="15.75" customHeight="1" x14ac:dyDescent="0.25">
      <c r="B107" s="82" t="s">
        <v>72</v>
      </c>
      <c r="C107" s="156" t="s">
        <v>542</v>
      </c>
      <c r="D107" s="117"/>
      <c r="E107" s="161"/>
      <c r="F107" s="162"/>
      <c r="G107" s="163">
        <v>1.2</v>
      </c>
      <c r="H107" s="163">
        <v>1.2</v>
      </c>
      <c r="I107" s="163">
        <v>1.2</v>
      </c>
      <c r="J107" s="163">
        <v>1.2</v>
      </c>
      <c r="K107" s="163">
        <v>1.2</v>
      </c>
      <c r="L107" s="163">
        <v>1.2</v>
      </c>
      <c r="M107" s="163">
        <v>1.2</v>
      </c>
      <c r="N107" s="163">
        <v>1.2</v>
      </c>
      <c r="O107" s="163">
        <v>1.2</v>
      </c>
      <c r="P107" s="163">
        <v>1.2</v>
      </c>
      <c r="Q107" s="163">
        <v>1.2</v>
      </c>
      <c r="R107" s="163">
        <v>1.2</v>
      </c>
      <c r="S107" s="163">
        <v>1.2</v>
      </c>
      <c r="T107" s="163">
        <v>1.2</v>
      </c>
      <c r="U107" s="163">
        <v>1.2</v>
      </c>
      <c r="V107" s="163">
        <v>1.2</v>
      </c>
      <c r="W107" s="163">
        <v>1.2</v>
      </c>
      <c r="X107" s="163">
        <v>1.2</v>
      </c>
      <c r="Y107" s="163">
        <v>1.2</v>
      </c>
      <c r="Z107" s="163">
        <v>1.2</v>
      </c>
      <c r="AA107" s="163">
        <v>1.2</v>
      </c>
      <c r="AB107" s="163">
        <v>1.2</v>
      </c>
      <c r="AC107" s="163">
        <v>1.2</v>
      </c>
      <c r="AD107" s="163">
        <v>1.2</v>
      </c>
      <c r="AE107" s="163">
        <v>1.2</v>
      </c>
      <c r="AF107" s="163">
        <v>1.2</v>
      </c>
      <c r="AG107" s="164">
        <v>1.2</v>
      </c>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row>
    <row r="108" spans="2:57" ht="15.75" customHeight="1" x14ac:dyDescent="0.25">
      <c r="B108" s="82" t="s">
        <v>108</v>
      </c>
      <c r="C108" s="165" t="s">
        <v>543</v>
      </c>
      <c r="D108" s="117"/>
      <c r="E108" s="161"/>
      <c r="F108" s="162"/>
      <c r="G108" s="163">
        <v>1.2</v>
      </c>
      <c r="H108" s="163">
        <v>1.2</v>
      </c>
      <c r="I108" s="163">
        <v>1.2</v>
      </c>
      <c r="J108" s="163">
        <v>1.2</v>
      </c>
      <c r="K108" s="163">
        <v>1.2</v>
      </c>
      <c r="L108" s="163">
        <v>1.2</v>
      </c>
      <c r="M108" s="163">
        <v>1.2</v>
      </c>
      <c r="N108" s="163">
        <v>1.2</v>
      </c>
      <c r="O108" s="163">
        <v>1.2</v>
      </c>
      <c r="P108" s="163">
        <v>1.2</v>
      </c>
      <c r="Q108" s="163">
        <v>1.2</v>
      </c>
      <c r="R108" s="163">
        <v>1.2</v>
      </c>
      <c r="S108" s="163">
        <v>1.2</v>
      </c>
      <c r="T108" s="163">
        <v>1.2</v>
      </c>
      <c r="U108" s="163">
        <v>1.2</v>
      </c>
      <c r="V108" s="163">
        <v>1.2</v>
      </c>
      <c r="W108" s="163">
        <v>1.2</v>
      </c>
      <c r="X108" s="163">
        <v>1.2</v>
      </c>
      <c r="Y108" s="163">
        <v>1.2</v>
      </c>
      <c r="Z108" s="163">
        <v>1.2</v>
      </c>
      <c r="AA108" s="163">
        <v>1.2</v>
      </c>
      <c r="AB108" s="163">
        <v>1.2</v>
      </c>
      <c r="AC108" s="163">
        <v>1.2</v>
      </c>
      <c r="AD108" s="163">
        <v>1.2</v>
      </c>
      <c r="AE108" s="163">
        <v>1.2</v>
      </c>
      <c r="AF108" s="163">
        <v>1.2</v>
      </c>
      <c r="AG108" s="164">
        <v>1.2</v>
      </c>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row>
    <row r="109" spans="2:57" ht="15.75" customHeight="1" thickBot="1" x14ac:dyDescent="0.3">
      <c r="B109" s="82" t="s">
        <v>531</v>
      </c>
      <c r="C109" s="166" t="s">
        <v>31</v>
      </c>
      <c r="D109" s="167"/>
      <c r="E109" s="168"/>
      <c r="F109" s="169"/>
      <c r="G109" s="170">
        <v>1.2</v>
      </c>
      <c r="H109" s="170">
        <v>1.2</v>
      </c>
      <c r="I109" s="170">
        <v>1.2</v>
      </c>
      <c r="J109" s="170">
        <v>1.2</v>
      </c>
      <c r="K109" s="170">
        <v>1.2</v>
      </c>
      <c r="L109" s="170">
        <v>1.2</v>
      </c>
      <c r="M109" s="170">
        <v>1.2</v>
      </c>
      <c r="N109" s="170">
        <v>1.2</v>
      </c>
      <c r="O109" s="170">
        <v>1.2</v>
      </c>
      <c r="P109" s="170">
        <v>1.2</v>
      </c>
      <c r="Q109" s="170">
        <v>1.2</v>
      </c>
      <c r="R109" s="170">
        <v>1.2</v>
      </c>
      <c r="S109" s="170">
        <v>1.2</v>
      </c>
      <c r="T109" s="170">
        <v>1.2</v>
      </c>
      <c r="U109" s="170">
        <v>1.2</v>
      </c>
      <c r="V109" s="170">
        <v>1.2</v>
      </c>
      <c r="W109" s="170">
        <v>1.2</v>
      </c>
      <c r="X109" s="170">
        <v>1.2</v>
      </c>
      <c r="Y109" s="170">
        <v>1.2</v>
      </c>
      <c r="Z109" s="170">
        <v>1.2</v>
      </c>
      <c r="AA109" s="170">
        <v>1.2</v>
      </c>
      <c r="AB109" s="170">
        <v>1.2</v>
      </c>
      <c r="AC109" s="170">
        <v>1.2</v>
      </c>
      <c r="AD109" s="170">
        <v>1.2</v>
      </c>
      <c r="AE109" s="170">
        <v>1.2</v>
      </c>
      <c r="AF109" s="170">
        <v>1.2</v>
      </c>
      <c r="AG109" s="171">
        <v>1.2</v>
      </c>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row>
    <row r="110" spans="2:57" ht="15.75" customHeight="1" x14ac:dyDescent="0.3">
      <c r="B110" s="28"/>
      <c r="C110" s="28"/>
      <c r="D110" s="28"/>
      <c r="E110" s="28"/>
      <c r="F110" s="28"/>
      <c r="G110" s="28"/>
      <c r="H110" s="28"/>
      <c r="I110" s="28"/>
      <c r="J110" s="28"/>
      <c r="K110" s="28"/>
      <c r="L110" s="28"/>
      <c r="M110" s="28"/>
      <c r="N110" s="28"/>
      <c r="O110" s="28"/>
      <c r="P110" s="28"/>
      <c r="Q110" s="28"/>
      <c r="R110" s="74"/>
      <c r="S110" s="74"/>
      <c r="T110" s="74"/>
      <c r="U110" s="74"/>
      <c r="V110" s="74"/>
      <c r="W110" s="28"/>
      <c r="X110" s="28"/>
      <c r="Y110" s="28"/>
      <c r="Z110" s="28"/>
      <c r="AA110" s="28"/>
      <c r="AB110" s="28"/>
      <c r="AC110" s="28"/>
      <c r="AD110" s="28"/>
      <c r="AE110" s="28"/>
      <c r="AF110" s="28"/>
      <c r="AG110" s="28"/>
      <c r="AH110" s="74"/>
      <c r="AI110" s="28"/>
      <c r="AJ110" s="28"/>
      <c r="AK110" s="172"/>
      <c r="AL110" s="173"/>
      <c r="AM110" s="57"/>
      <c r="AN110" s="57"/>
      <c r="AO110" s="57"/>
      <c r="AP110" s="174"/>
      <c r="AQ110" s="174"/>
      <c r="AR110" s="174"/>
      <c r="AS110" s="174"/>
      <c r="AT110" s="174"/>
      <c r="AU110" s="174"/>
      <c r="AV110" s="174"/>
      <c r="AW110" s="174"/>
      <c r="AX110" s="174"/>
      <c r="AY110" s="174"/>
      <c r="AZ110" s="28"/>
      <c r="BA110" s="175"/>
      <c r="BB110" s="28"/>
      <c r="BC110" s="28"/>
      <c r="BD110" s="28"/>
      <c r="BE110" s="28"/>
    </row>
    <row r="111" spans="2:57" ht="15.75" customHeight="1" x14ac:dyDescent="0.3">
      <c r="B111" s="28"/>
      <c r="C111" s="28"/>
      <c r="D111" s="28"/>
      <c r="E111" s="28"/>
      <c r="F111" s="28"/>
      <c r="G111" s="28"/>
      <c r="H111" s="28"/>
      <c r="I111" s="28"/>
      <c r="J111" s="28"/>
      <c r="K111" s="28"/>
      <c r="L111" s="28"/>
      <c r="M111" s="28"/>
      <c r="N111" s="28"/>
      <c r="O111" s="28"/>
      <c r="P111" s="28"/>
      <c r="Q111" s="28"/>
      <c r="R111" s="74"/>
      <c r="S111" s="74"/>
      <c r="T111" s="74"/>
      <c r="U111" s="74"/>
      <c r="V111" s="74"/>
      <c r="W111" s="28"/>
      <c r="X111" s="28"/>
      <c r="Y111" s="28"/>
      <c r="Z111" s="28"/>
      <c r="AA111" s="28"/>
      <c r="AB111" s="28"/>
      <c r="AC111" s="28"/>
      <c r="AD111" s="28"/>
      <c r="AE111" s="28"/>
      <c r="AF111" s="28"/>
      <c r="AG111" s="28"/>
      <c r="AH111" s="74"/>
      <c r="AI111" s="28"/>
      <c r="AJ111" s="28"/>
      <c r="AK111" s="172"/>
      <c r="AL111" s="173"/>
      <c r="AM111" s="57"/>
      <c r="AN111" s="57"/>
      <c r="AO111" s="57"/>
      <c r="AP111" s="174"/>
      <c r="AQ111" s="174"/>
      <c r="AR111" s="174"/>
      <c r="AS111" s="174"/>
      <c r="AT111" s="174"/>
      <c r="AU111" s="174"/>
      <c r="AV111" s="174"/>
      <c r="AW111" s="174"/>
      <c r="AX111" s="174"/>
      <c r="AY111" s="174"/>
      <c r="AZ111" s="28"/>
      <c r="BA111" s="175"/>
      <c r="BB111" s="28"/>
      <c r="BC111" s="28"/>
      <c r="BD111" s="28"/>
      <c r="BE111" s="28"/>
    </row>
    <row r="112" spans="2:57" ht="15.75" customHeight="1" thickBot="1" x14ac:dyDescent="0.35">
      <c r="B112" s="28"/>
      <c r="C112" s="28"/>
      <c r="D112" s="28"/>
      <c r="E112" s="28"/>
      <c r="F112" s="28"/>
      <c r="G112" s="28"/>
      <c r="H112" s="28"/>
      <c r="I112" s="28"/>
      <c r="J112" s="28"/>
      <c r="K112" s="28"/>
      <c r="L112" s="28"/>
      <c r="M112" s="28"/>
      <c r="N112" s="28"/>
      <c r="O112" s="28"/>
      <c r="P112" s="28"/>
      <c r="Q112" s="28"/>
      <c r="R112" s="74"/>
      <c r="S112" s="74"/>
      <c r="T112" s="74"/>
      <c r="U112" s="74"/>
      <c r="V112" s="74"/>
      <c r="W112" s="28"/>
      <c r="X112" s="28"/>
      <c r="Y112" s="28"/>
      <c r="Z112" s="28"/>
      <c r="AA112" s="28"/>
      <c r="AB112" s="28"/>
      <c r="AC112" s="28"/>
      <c r="AD112" s="28"/>
      <c r="AE112" s="28"/>
      <c r="AF112" s="28"/>
      <c r="AG112" s="28"/>
      <c r="AH112" s="74"/>
      <c r="AI112" s="28"/>
      <c r="AJ112" s="28"/>
      <c r="AK112" s="172"/>
      <c r="AL112" s="173"/>
      <c r="AM112" s="57"/>
      <c r="AN112" s="57"/>
      <c r="AO112" s="57"/>
      <c r="AP112" s="174"/>
      <c r="AQ112" s="174"/>
      <c r="AR112" s="174"/>
      <c r="AS112" s="174"/>
      <c r="AT112" s="174"/>
      <c r="AU112" s="174"/>
      <c r="AV112" s="174"/>
      <c r="AW112" s="174"/>
      <c r="AX112" s="174"/>
      <c r="AY112" s="174"/>
      <c r="AZ112" s="28"/>
      <c r="BA112" s="175"/>
      <c r="BB112" s="28"/>
      <c r="BC112" s="28"/>
      <c r="BD112" s="28"/>
      <c r="BE112" s="28"/>
    </row>
    <row r="113" spans="2:57" ht="23.25" x14ac:dyDescent="0.35">
      <c r="B113" s="308" t="s">
        <v>659</v>
      </c>
      <c r="C113" s="309"/>
      <c r="D113" s="310"/>
      <c r="E113" s="321" t="s">
        <v>660</v>
      </c>
      <c r="F113" s="315"/>
      <c r="G113" s="315"/>
      <c r="H113" s="315"/>
      <c r="I113" s="315"/>
      <c r="J113" s="315"/>
      <c r="K113" s="315"/>
      <c r="L113" s="315"/>
      <c r="M113" s="307" t="s">
        <v>638</v>
      </c>
      <c r="N113" s="307"/>
      <c r="O113" s="307"/>
      <c r="P113" s="307"/>
      <c r="Q113" s="307"/>
      <c r="R113" s="307"/>
      <c r="S113" s="307"/>
      <c r="T113" s="307"/>
      <c r="U113" s="28"/>
      <c r="V113" s="28"/>
      <c r="W113" s="28"/>
      <c r="X113" s="28"/>
      <c r="Y113" s="28"/>
      <c r="Z113" s="28"/>
      <c r="AA113" s="28"/>
      <c r="AB113" s="28"/>
      <c r="AC113" s="28"/>
      <c r="AD113" s="28"/>
      <c r="AE113" s="28"/>
      <c r="AF113" s="28"/>
      <c r="AG113" s="28"/>
      <c r="AH113" s="74"/>
      <c r="AI113" s="28"/>
      <c r="AJ113" s="28"/>
      <c r="AK113" s="172"/>
      <c r="AL113" s="173"/>
      <c r="AM113" s="57"/>
      <c r="AN113" s="57"/>
      <c r="AO113" s="57"/>
      <c r="AP113" s="174"/>
      <c r="AQ113" s="174"/>
      <c r="AR113" s="174"/>
      <c r="AS113" s="174"/>
      <c r="AT113" s="174"/>
      <c r="AU113" s="174"/>
      <c r="AV113" s="174"/>
      <c r="AW113" s="174"/>
      <c r="AX113" s="174"/>
      <c r="AY113" s="174"/>
      <c r="AZ113" s="28"/>
      <c r="BA113" s="175"/>
      <c r="BB113" s="28"/>
      <c r="BC113" s="28"/>
      <c r="BD113" s="28"/>
      <c r="BE113" s="28"/>
    </row>
    <row r="114" spans="2:57" ht="24" thickBot="1" x14ac:dyDescent="0.4">
      <c r="B114" s="311"/>
      <c r="C114" s="312"/>
      <c r="D114" s="313"/>
      <c r="E114" s="324" t="s">
        <v>661</v>
      </c>
      <c r="F114" s="305"/>
      <c r="G114" s="305"/>
      <c r="H114" s="305"/>
      <c r="I114" s="305"/>
      <c r="J114" s="305"/>
      <c r="K114" s="305"/>
      <c r="L114" s="305"/>
      <c r="M114" s="70"/>
      <c r="N114" s="70"/>
      <c r="O114" s="70"/>
      <c r="P114" s="70"/>
      <c r="Q114" s="70"/>
      <c r="R114" s="70"/>
      <c r="S114" s="70"/>
      <c r="T114" s="70"/>
      <c r="U114" s="70"/>
      <c r="V114" s="70"/>
      <c r="W114" s="70"/>
      <c r="X114" s="70"/>
      <c r="Y114" s="70"/>
      <c r="Z114" s="70"/>
      <c r="AA114" s="70"/>
      <c r="AB114" s="70"/>
      <c r="AC114" s="70"/>
      <c r="AD114" s="70"/>
      <c r="AE114" s="28"/>
      <c r="AF114" s="28"/>
      <c r="AG114" s="28"/>
      <c r="AH114" s="74"/>
      <c r="AI114" s="28"/>
      <c r="AJ114" s="28"/>
      <c r="AK114" s="172"/>
      <c r="AL114" s="173"/>
      <c r="AM114" s="57"/>
      <c r="AN114" s="57"/>
      <c r="AO114" s="57"/>
      <c r="AP114" s="174"/>
      <c r="AQ114" s="174"/>
      <c r="AR114" s="174"/>
      <c r="AS114" s="174"/>
      <c r="AT114" s="174"/>
      <c r="AU114" s="174"/>
      <c r="AV114" s="174"/>
      <c r="AW114" s="174"/>
      <c r="AX114" s="174"/>
      <c r="AY114" s="174"/>
      <c r="AZ114" s="28"/>
      <c r="BA114" s="175"/>
      <c r="BB114" s="28"/>
      <c r="BC114" s="28"/>
      <c r="BD114" s="28"/>
      <c r="BE114" s="28"/>
    </row>
    <row r="115" spans="2:57" ht="15.75" customHeight="1" thickBot="1" x14ac:dyDescent="0.35">
      <c r="B115" s="28"/>
      <c r="C115" s="71"/>
      <c r="D115" s="28"/>
      <c r="E115" s="28"/>
      <c r="F115" s="28"/>
      <c r="G115" s="28"/>
      <c r="H115" s="28"/>
      <c r="I115" s="72"/>
      <c r="J115" s="64"/>
      <c r="K115" s="65"/>
      <c r="L115" s="73"/>
      <c r="M115" s="73"/>
      <c r="N115" s="73"/>
      <c r="O115" s="74"/>
      <c r="P115" s="74"/>
      <c r="Q115" s="74"/>
      <c r="R115" s="74"/>
      <c r="S115" s="74"/>
      <c r="T115" s="74"/>
      <c r="U115" s="74"/>
      <c r="V115" s="74"/>
      <c r="W115" s="74"/>
      <c r="X115" s="74"/>
      <c r="Y115" s="74"/>
      <c r="Z115" s="74"/>
      <c r="AA115" s="74"/>
      <c r="AB115" s="74"/>
      <c r="AC115" s="74"/>
      <c r="AD115" s="74"/>
      <c r="AE115" s="28"/>
      <c r="AF115" s="28"/>
      <c r="AG115" s="28"/>
      <c r="AH115" s="74"/>
      <c r="AI115" s="28"/>
      <c r="AJ115" s="28"/>
      <c r="AK115" s="172"/>
      <c r="AL115" s="173"/>
      <c r="AM115" s="57"/>
      <c r="AN115" s="57"/>
      <c r="AO115" s="57"/>
      <c r="AP115" s="174"/>
      <c r="AQ115" s="174"/>
      <c r="AR115" s="174"/>
      <c r="AS115" s="174"/>
      <c r="AT115" s="174"/>
      <c r="AU115" s="174"/>
      <c r="AV115" s="174"/>
      <c r="AW115" s="174"/>
      <c r="AX115" s="174"/>
      <c r="AY115" s="174"/>
      <c r="AZ115" s="28"/>
      <c r="BA115" s="175"/>
      <c r="BB115" s="28"/>
      <c r="BC115" s="28"/>
      <c r="BD115" s="28"/>
      <c r="BE115" s="28"/>
    </row>
    <row r="116" spans="2:57" ht="15.75" customHeight="1" thickBot="1" x14ac:dyDescent="0.35">
      <c r="B116" s="75" t="s">
        <v>2</v>
      </c>
      <c r="C116" s="76" t="s">
        <v>60</v>
      </c>
      <c r="D116" s="77">
        <v>2021</v>
      </c>
      <c r="E116" s="78">
        <v>2022</v>
      </c>
      <c r="F116" s="79">
        <v>2023</v>
      </c>
      <c r="G116" s="77">
        <v>2024</v>
      </c>
      <c r="H116" s="78">
        <v>2025</v>
      </c>
      <c r="I116" s="78">
        <v>2026</v>
      </c>
      <c r="J116" s="78">
        <v>2027</v>
      </c>
      <c r="K116" s="78">
        <v>2028</v>
      </c>
      <c r="L116" s="78">
        <v>2029</v>
      </c>
      <c r="M116" s="78">
        <v>2030</v>
      </c>
      <c r="N116" s="78">
        <v>2031</v>
      </c>
      <c r="O116" s="78">
        <v>2032</v>
      </c>
      <c r="P116" s="78">
        <v>2033</v>
      </c>
      <c r="Q116" s="78">
        <v>2034</v>
      </c>
      <c r="R116" s="78">
        <v>2035</v>
      </c>
      <c r="S116" s="78">
        <v>2036</v>
      </c>
      <c r="T116" s="78">
        <v>2037</v>
      </c>
      <c r="U116" s="78">
        <v>2038</v>
      </c>
      <c r="V116" s="78">
        <v>2039</v>
      </c>
      <c r="W116" s="78">
        <v>2040</v>
      </c>
      <c r="X116" s="78">
        <v>2041</v>
      </c>
      <c r="Y116" s="78">
        <v>2042</v>
      </c>
      <c r="Z116" s="78">
        <v>2043</v>
      </c>
      <c r="AA116" s="78">
        <v>2044</v>
      </c>
      <c r="AB116" s="78">
        <v>2045</v>
      </c>
      <c r="AC116" s="78">
        <v>2046</v>
      </c>
      <c r="AD116" s="78">
        <v>2047</v>
      </c>
      <c r="AE116" s="78">
        <v>2048</v>
      </c>
      <c r="AF116" s="78">
        <v>2049</v>
      </c>
      <c r="AG116" s="79">
        <v>2050</v>
      </c>
      <c r="AH116" s="74"/>
      <c r="AI116" s="28"/>
      <c r="AJ116" s="28"/>
      <c r="AK116" s="172"/>
      <c r="AL116" s="173"/>
      <c r="AM116" s="57"/>
      <c r="AN116" s="57"/>
      <c r="AO116" s="57"/>
      <c r="AP116" s="174"/>
      <c r="AQ116" s="174"/>
      <c r="AR116" s="174"/>
      <c r="AS116" s="174"/>
      <c r="AT116" s="174"/>
      <c r="AU116" s="174"/>
      <c r="AV116" s="174"/>
      <c r="AW116" s="174"/>
      <c r="AX116" s="174"/>
      <c r="AY116" s="174"/>
      <c r="AZ116" s="28"/>
      <c r="BA116" s="175"/>
      <c r="BB116" s="28"/>
      <c r="BC116" s="28"/>
      <c r="BD116" s="28"/>
      <c r="BE116" s="28"/>
    </row>
    <row r="117" spans="2:57" ht="15.75" customHeight="1" x14ac:dyDescent="0.3">
      <c r="B117" s="82" t="s">
        <v>5</v>
      </c>
      <c r="C117" s="83" t="s">
        <v>22</v>
      </c>
      <c r="D117" s="176">
        <f>VLOOKUP($C117,[1]NWS_Input!$B$67:$E$77,D$128,FALSE)/365</f>
        <v>20896.88343013699</v>
      </c>
      <c r="E117" s="177">
        <f>VLOOKUP($C117,[1]NWS_Input!$B$67:$E$77,E$128,FALSE)/365</f>
        <v>20087.809016438383</v>
      </c>
      <c r="F117" s="178">
        <f>VLOOKUP($C117,[1]NWS_Input!$B$67:$E$77,F$128,FALSE)/365</f>
        <v>21495.827326026494</v>
      </c>
      <c r="G117" s="179">
        <f>AVERAGE(D117:F117)</f>
        <v>20826.839924200623</v>
      </c>
      <c r="H117" s="180">
        <f>G117</f>
        <v>20826.839924200623</v>
      </c>
      <c r="I117" s="180">
        <f t="shared" ref="I117:X117" si="165">H117</f>
        <v>20826.839924200623</v>
      </c>
      <c r="J117" s="180">
        <f t="shared" si="165"/>
        <v>20826.839924200623</v>
      </c>
      <c r="K117" s="180">
        <f t="shared" si="165"/>
        <v>20826.839924200623</v>
      </c>
      <c r="L117" s="180">
        <f t="shared" si="165"/>
        <v>20826.839924200623</v>
      </c>
      <c r="M117" s="180">
        <f t="shared" si="165"/>
        <v>20826.839924200623</v>
      </c>
      <c r="N117" s="180">
        <f t="shared" si="165"/>
        <v>20826.839924200623</v>
      </c>
      <c r="O117" s="180">
        <f t="shared" si="165"/>
        <v>20826.839924200623</v>
      </c>
      <c r="P117" s="180">
        <f t="shared" si="165"/>
        <v>20826.839924200623</v>
      </c>
      <c r="Q117" s="180">
        <f t="shared" si="165"/>
        <v>20826.839924200623</v>
      </c>
      <c r="R117" s="180">
        <f t="shared" si="165"/>
        <v>20826.839924200623</v>
      </c>
      <c r="S117" s="180">
        <f t="shared" si="165"/>
        <v>20826.839924200623</v>
      </c>
      <c r="T117" s="180">
        <f t="shared" si="165"/>
        <v>20826.839924200623</v>
      </c>
      <c r="U117" s="180">
        <f t="shared" si="165"/>
        <v>20826.839924200623</v>
      </c>
      <c r="V117" s="180">
        <f t="shared" si="165"/>
        <v>20826.839924200623</v>
      </c>
      <c r="W117" s="180">
        <f t="shared" si="165"/>
        <v>20826.839924200623</v>
      </c>
      <c r="X117" s="180">
        <f t="shared" si="165"/>
        <v>20826.839924200623</v>
      </c>
      <c r="Y117" s="180">
        <f t="shared" ref="X117:AG127" si="166">X117</f>
        <v>20826.839924200623</v>
      </c>
      <c r="Z117" s="180">
        <f t="shared" si="166"/>
        <v>20826.839924200623</v>
      </c>
      <c r="AA117" s="180">
        <f t="shared" si="166"/>
        <v>20826.839924200623</v>
      </c>
      <c r="AB117" s="180">
        <f t="shared" si="166"/>
        <v>20826.839924200623</v>
      </c>
      <c r="AC117" s="180">
        <f t="shared" si="166"/>
        <v>20826.839924200623</v>
      </c>
      <c r="AD117" s="180">
        <f t="shared" si="166"/>
        <v>20826.839924200623</v>
      </c>
      <c r="AE117" s="180">
        <f t="shared" si="166"/>
        <v>20826.839924200623</v>
      </c>
      <c r="AF117" s="180">
        <f t="shared" si="166"/>
        <v>20826.839924200623</v>
      </c>
      <c r="AG117" s="181">
        <f t="shared" si="166"/>
        <v>20826.839924200623</v>
      </c>
      <c r="AH117" s="74"/>
      <c r="AI117" s="28"/>
      <c r="AJ117" s="28"/>
      <c r="AK117" s="172"/>
      <c r="AL117" s="173"/>
      <c r="AM117" s="57"/>
      <c r="AN117" s="57"/>
      <c r="AO117" s="57"/>
      <c r="AP117" s="174"/>
      <c r="AQ117" s="174"/>
      <c r="AR117" s="174"/>
      <c r="AS117" s="174"/>
      <c r="AT117" s="174"/>
      <c r="AU117" s="174"/>
      <c r="AV117" s="174"/>
      <c r="AW117" s="174"/>
      <c r="AX117" s="174"/>
      <c r="AY117" s="174"/>
      <c r="AZ117" s="28"/>
      <c r="BA117" s="175"/>
      <c r="BB117" s="28"/>
      <c r="BC117" s="28"/>
      <c r="BD117" s="28"/>
      <c r="BE117" s="28"/>
    </row>
    <row r="118" spans="2:57" ht="15.75" customHeight="1" x14ac:dyDescent="0.3">
      <c r="B118" s="82" t="s">
        <v>6</v>
      </c>
      <c r="C118" s="83" t="s">
        <v>23</v>
      </c>
      <c r="D118" s="182">
        <f>VLOOKUP($C118,[1]NWS_Input!$B$67:$E$77,D$128,FALSE)/365</f>
        <v>636.07364931506856</v>
      </c>
      <c r="E118" s="183">
        <f>VLOOKUP($C118,[1]NWS_Input!$B$67:$E$77,E$128,FALSE)/365</f>
        <v>860.1754000000002</v>
      </c>
      <c r="F118" s="184">
        <f>VLOOKUP($C118,[1]NWS_Input!$B$67:$E$77,F$128,FALSE)/365</f>
        <v>1074.1009726027396</v>
      </c>
      <c r="G118" s="185">
        <f t="shared" ref="G118:G127" si="167">AVERAGE(D118:F118)</f>
        <v>856.78334063926957</v>
      </c>
      <c r="H118" s="186">
        <f t="shared" ref="H118:W127" si="168">G118</f>
        <v>856.78334063926957</v>
      </c>
      <c r="I118" s="186">
        <f t="shared" si="168"/>
        <v>856.78334063926957</v>
      </c>
      <c r="J118" s="186">
        <f t="shared" si="168"/>
        <v>856.78334063926957</v>
      </c>
      <c r="K118" s="186">
        <f t="shared" si="168"/>
        <v>856.78334063926957</v>
      </c>
      <c r="L118" s="186">
        <f t="shared" si="168"/>
        <v>856.78334063926957</v>
      </c>
      <c r="M118" s="186">
        <f t="shared" si="168"/>
        <v>856.78334063926957</v>
      </c>
      <c r="N118" s="186">
        <f t="shared" si="168"/>
        <v>856.78334063926957</v>
      </c>
      <c r="O118" s="186">
        <f t="shared" si="168"/>
        <v>856.78334063926957</v>
      </c>
      <c r="P118" s="186">
        <f t="shared" si="168"/>
        <v>856.78334063926957</v>
      </c>
      <c r="Q118" s="186">
        <f t="shared" si="168"/>
        <v>856.78334063926957</v>
      </c>
      <c r="R118" s="186">
        <f t="shared" si="168"/>
        <v>856.78334063926957</v>
      </c>
      <c r="S118" s="186">
        <f t="shared" si="168"/>
        <v>856.78334063926957</v>
      </c>
      <c r="T118" s="186">
        <f t="shared" si="168"/>
        <v>856.78334063926957</v>
      </c>
      <c r="U118" s="186">
        <f t="shared" si="168"/>
        <v>856.78334063926957</v>
      </c>
      <c r="V118" s="186">
        <f t="shared" si="168"/>
        <v>856.78334063926957</v>
      </c>
      <c r="W118" s="186">
        <f t="shared" si="168"/>
        <v>856.78334063926957</v>
      </c>
      <c r="X118" s="186">
        <f t="shared" si="166"/>
        <v>856.78334063926957</v>
      </c>
      <c r="Y118" s="186">
        <f t="shared" si="166"/>
        <v>856.78334063926957</v>
      </c>
      <c r="Z118" s="186">
        <f t="shared" si="166"/>
        <v>856.78334063926957</v>
      </c>
      <c r="AA118" s="186">
        <f t="shared" si="166"/>
        <v>856.78334063926957</v>
      </c>
      <c r="AB118" s="186">
        <f t="shared" si="166"/>
        <v>856.78334063926957</v>
      </c>
      <c r="AC118" s="186">
        <f t="shared" si="166"/>
        <v>856.78334063926957</v>
      </c>
      <c r="AD118" s="186">
        <f t="shared" si="166"/>
        <v>856.78334063926957</v>
      </c>
      <c r="AE118" s="186">
        <f t="shared" si="166"/>
        <v>856.78334063926957</v>
      </c>
      <c r="AF118" s="186">
        <f t="shared" si="166"/>
        <v>856.78334063926957</v>
      </c>
      <c r="AG118" s="187">
        <f t="shared" si="166"/>
        <v>856.78334063926957</v>
      </c>
      <c r="AH118" s="74"/>
      <c r="AI118" s="28"/>
      <c r="AJ118" s="28"/>
      <c r="AK118" s="172"/>
      <c r="AL118" s="173"/>
      <c r="AM118" s="57"/>
      <c r="AN118" s="57"/>
      <c r="AO118" s="57"/>
      <c r="AP118" s="174"/>
      <c r="AQ118" s="174"/>
      <c r="AR118" s="174"/>
      <c r="AS118" s="174"/>
      <c r="AT118" s="174"/>
      <c r="AU118" s="174"/>
      <c r="AV118" s="174"/>
      <c r="AW118" s="174"/>
      <c r="AX118" s="174"/>
      <c r="AY118" s="174"/>
      <c r="AZ118" s="28"/>
      <c r="BA118" s="175"/>
      <c r="BB118" s="28"/>
      <c r="BC118" s="28"/>
      <c r="BD118" s="28"/>
      <c r="BE118" s="28"/>
    </row>
    <row r="119" spans="2:57" ht="15.75" customHeight="1" x14ac:dyDescent="0.3">
      <c r="B119" s="82" t="s">
        <v>7</v>
      </c>
      <c r="C119" s="83" t="s">
        <v>24</v>
      </c>
      <c r="D119" s="182">
        <f>VLOOKUP($C119,[1]NWS_Input!$B$67:$E$77,D$128,FALSE)/365</f>
        <v>1070.753175342466</v>
      </c>
      <c r="E119" s="183">
        <f>VLOOKUP($C119,[1]NWS_Input!$B$67:$E$77,E$128,FALSE)/365</f>
        <v>1276.1781835616566</v>
      </c>
      <c r="F119" s="184">
        <f>VLOOKUP($C119,[1]NWS_Input!$B$67:$E$77,F$128,FALSE)/365</f>
        <v>1346.9350547945216</v>
      </c>
      <c r="G119" s="185">
        <f t="shared" si="167"/>
        <v>1231.2888045662148</v>
      </c>
      <c r="H119" s="186">
        <f t="shared" si="168"/>
        <v>1231.2888045662148</v>
      </c>
      <c r="I119" s="186">
        <f t="shared" si="168"/>
        <v>1231.2888045662148</v>
      </c>
      <c r="J119" s="186">
        <f t="shared" si="168"/>
        <v>1231.2888045662148</v>
      </c>
      <c r="K119" s="186">
        <f t="shared" si="168"/>
        <v>1231.2888045662148</v>
      </c>
      <c r="L119" s="186">
        <f t="shared" si="168"/>
        <v>1231.2888045662148</v>
      </c>
      <c r="M119" s="186">
        <f t="shared" si="168"/>
        <v>1231.2888045662148</v>
      </c>
      <c r="N119" s="186">
        <f t="shared" si="168"/>
        <v>1231.2888045662148</v>
      </c>
      <c r="O119" s="186">
        <f t="shared" si="168"/>
        <v>1231.2888045662148</v>
      </c>
      <c r="P119" s="186">
        <f t="shared" si="168"/>
        <v>1231.2888045662148</v>
      </c>
      <c r="Q119" s="186">
        <f t="shared" si="168"/>
        <v>1231.2888045662148</v>
      </c>
      <c r="R119" s="186">
        <f t="shared" si="168"/>
        <v>1231.2888045662148</v>
      </c>
      <c r="S119" s="186">
        <f t="shared" si="168"/>
        <v>1231.2888045662148</v>
      </c>
      <c r="T119" s="186">
        <f t="shared" si="168"/>
        <v>1231.2888045662148</v>
      </c>
      <c r="U119" s="186">
        <f t="shared" si="168"/>
        <v>1231.2888045662148</v>
      </c>
      <c r="V119" s="186">
        <f t="shared" si="168"/>
        <v>1231.2888045662148</v>
      </c>
      <c r="W119" s="186">
        <f t="shared" si="168"/>
        <v>1231.2888045662148</v>
      </c>
      <c r="X119" s="186">
        <f t="shared" si="166"/>
        <v>1231.2888045662148</v>
      </c>
      <c r="Y119" s="186">
        <f t="shared" si="166"/>
        <v>1231.2888045662148</v>
      </c>
      <c r="Z119" s="186">
        <f t="shared" si="166"/>
        <v>1231.2888045662148</v>
      </c>
      <c r="AA119" s="186">
        <f t="shared" si="166"/>
        <v>1231.2888045662148</v>
      </c>
      <c r="AB119" s="186">
        <f t="shared" si="166"/>
        <v>1231.2888045662148</v>
      </c>
      <c r="AC119" s="186">
        <f t="shared" si="166"/>
        <v>1231.2888045662148</v>
      </c>
      <c r="AD119" s="186">
        <f t="shared" si="166"/>
        <v>1231.2888045662148</v>
      </c>
      <c r="AE119" s="186">
        <f t="shared" si="166"/>
        <v>1231.2888045662148</v>
      </c>
      <c r="AF119" s="186">
        <f t="shared" si="166"/>
        <v>1231.2888045662148</v>
      </c>
      <c r="AG119" s="187">
        <f t="shared" si="166"/>
        <v>1231.2888045662148</v>
      </c>
      <c r="AH119" s="74"/>
      <c r="AI119" s="28"/>
      <c r="AJ119" s="28"/>
      <c r="AK119" s="172"/>
      <c r="AL119" s="173"/>
      <c r="AM119" s="57"/>
      <c r="AN119" s="57"/>
      <c r="AO119" s="57"/>
      <c r="AP119" s="174"/>
      <c r="AQ119" s="174"/>
      <c r="AR119" s="174"/>
      <c r="AS119" s="174"/>
      <c r="AT119" s="174"/>
      <c r="AU119" s="174"/>
      <c r="AV119" s="174"/>
      <c r="AW119" s="174"/>
      <c r="AX119" s="174"/>
      <c r="AY119" s="174"/>
      <c r="AZ119" s="28"/>
      <c r="BA119" s="175"/>
      <c r="BB119" s="28"/>
      <c r="BC119" s="28"/>
      <c r="BD119" s="28"/>
      <c r="BE119" s="28"/>
    </row>
    <row r="120" spans="2:57" ht="15.75" customHeight="1" x14ac:dyDescent="0.3">
      <c r="B120" s="82" t="s">
        <v>9</v>
      </c>
      <c r="C120" s="83" t="s">
        <v>25</v>
      </c>
      <c r="D120" s="182">
        <f>VLOOKUP($C120,[1]NWS_Input!$B$67:$E$77,D$128,FALSE)/365</f>
        <v>7195.9448657534213</v>
      </c>
      <c r="E120" s="183">
        <f>VLOOKUP($C120,[1]NWS_Input!$B$67:$E$77,E$128,FALSE)/365</f>
        <v>7149.9861095890365</v>
      </c>
      <c r="F120" s="184">
        <f>VLOOKUP($C120,[1]NWS_Input!$B$67:$E$77,F$128,FALSE)/365</f>
        <v>6986.6610246573891</v>
      </c>
      <c r="G120" s="185">
        <f t="shared" si="167"/>
        <v>7110.8639999999477</v>
      </c>
      <c r="H120" s="186">
        <f t="shared" si="168"/>
        <v>7110.8639999999477</v>
      </c>
      <c r="I120" s="186">
        <f t="shared" si="168"/>
        <v>7110.8639999999477</v>
      </c>
      <c r="J120" s="186">
        <f t="shared" si="168"/>
        <v>7110.8639999999477</v>
      </c>
      <c r="K120" s="186">
        <f t="shared" si="168"/>
        <v>7110.8639999999477</v>
      </c>
      <c r="L120" s="186">
        <f t="shared" si="168"/>
        <v>7110.8639999999477</v>
      </c>
      <c r="M120" s="186">
        <f t="shared" si="168"/>
        <v>7110.8639999999477</v>
      </c>
      <c r="N120" s="186">
        <f t="shared" si="168"/>
        <v>7110.8639999999477</v>
      </c>
      <c r="O120" s="186">
        <f t="shared" si="168"/>
        <v>7110.8639999999477</v>
      </c>
      <c r="P120" s="186">
        <f t="shared" si="168"/>
        <v>7110.8639999999477</v>
      </c>
      <c r="Q120" s="186">
        <f t="shared" si="168"/>
        <v>7110.8639999999477</v>
      </c>
      <c r="R120" s="186">
        <f t="shared" si="168"/>
        <v>7110.8639999999477</v>
      </c>
      <c r="S120" s="186">
        <f t="shared" si="168"/>
        <v>7110.8639999999477</v>
      </c>
      <c r="T120" s="186">
        <f t="shared" si="168"/>
        <v>7110.8639999999477</v>
      </c>
      <c r="U120" s="186">
        <f t="shared" si="168"/>
        <v>7110.8639999999477</v>
      </c>
      <c r="V120" s="186">
        <f t="shared" si="168"/>
        <v>7110.8639999999477</v>
      </c>
      <c r="W120" s="186">
        <f t="shared" si="168"/>
        <v>7110.8639999999477</v>
      </c>
      <c r="X120" s="186">
        <f t="shared" si="166"/>
        <v>7110.8639999999477</v>
      </c>
      <c r="Y120" s="186">
        <f t="shared" si="166"/>
        <v>7110.8639999999477</v>
      </c>
      <c r="Z120" s="186">
        <f t="shared" si="166"/>
        <v>7110.8639999999477</v>
      </c>
      <c r="AA120" s="186">
        <f t="shared" si="166"/>
        <v>7110.8639999999477</v>
      </c>
      <c r="AB120" s="186">
        <f t="shared" si="166"/>
        <v>7110.8639999999477</v>
      </c>
      <c r="AC120" s="186">
        <f t="shared" si="166"/>
        <v>7110.8639999999477</v>
      </c>
      <c r="AD120" s="186">
        <f t="shared" si="166"/>
        <v>7110.8639999999477</v>
      </c>
      <c r="AE120" s="186">
        <f t="shared" si="166"/>
        <v>7110.8639999999477</v>
      </c>
      <c r="AF120" s="186">
        <f t="shared" si="166"/>
        <v>7110.8639999999477</v>
      </c>
      <c r="AG120" s="187">
        <f t="shared" si="166"/>
        <v>7110.8639999999477</v>
      </c>
      <c r="AH120" s="74"/>
      <c r="AI120" s="28"/>
      <c r="AJ120" s="28"/>
      <c r="AK120" s="172"/>
      <c r="AL120" s="173"/>
      <c r="AM120" s="57"/>
      <c r="AN120" s="57"/>
      <c r="AO120" s="57"/>
      <c r="AP120" s="174"/>
      <c r="AQ120" s="174"/>
      <c r="AR120" s="174"/>
      <c r="AS120" s="174"/>
      <c r="AT120" s="174"/>
      <c r="AU120" s="174"/>
      <c r="AV120" s="174"/>
      <c r="AW120" s="174"/>
      <c r="AX120" s="174"/>
      <c r="AY120" s="174"/>
      <c r="AZ120" s="28"/>
      <c r="BA120" s="175"/>
      <c r="BB120" s="28"/>
      <c r="BC120" s="28"/>
      <c r="BD120" s="28"/>
      <c r="BE120" s="28"/>
    </row>
    <row r="121" spans="2:57" ht="15.75" customHeight="1" x14ac:dyDescent="0.3">
      <c r="B121" s="82" t="s">
        <v>10</v>
      </c>
      <c r="C121" s="83" t="s">
        <v>26</v>
      </c>
      <c r="D121" s="182">
        <f>VLOOKUP($C121,[1]NWS_Input!$B$67:$E$77,D$128,FALSE)/365</f>
        <v>5235.8313068493153</v>
      </c>
      <c r="E121" s="183">
        <f>VLOOKUP($C121,[1]NWS_Input!$B$67:$E$77,E$128,FALSE)/365</f>
        <v>5366.1726164383572</v>
      </c>
      <c r="F121" s="184">
        <f>VLOOKUP($C121,[1]NWS_Input!$B$67:$E$77,F$128,FALSE)/365</f>
        <v>7259.7383534244273</v>
      </c>
      <c r="G121" s="185">
        <f t="shared" si="167"/>
        <v>5953.9140922373672</v>
      </c>
      <c r="H121" s="186">
        <f t="shared" si="168"/>
        <v>5953.9140922373672</v>
      </c>
      <c r="I121" s="186">
        <f t="shared" si="168"/>
        <v>5953.9140922373672</v>
      </c>
      <c r="J121" s="186">
        <f t="shared" si="168"/>
        <v>5953.9140922373672</v>
      </c>
      <c r="K121" s="186">
        <f t="shared" si="168"/>
        <v>5953.9140922373672</v>
      </c>
      <c r="L121" s="186">
        <f t="shared" si="168"/>
        <v>5953.9140922373672</v>
      </c>
      <c r="M121" s="186">
        <f t="shared" si="168"/>
        <v>5953.9140922373672</v>
      </c>
      <c r="N121" s="186">
        <f t="shared" si="168"/>
        <v>5953.9140922373672</v>
      </c>
      <c r="O121" s="186">
        <f t="shared" si="168"/>
        <v>5953.9140922373672</v>
      </c>
      <c r="P121" s="186">
        <f t="shared" si="168"/>
        <v>5953.9140922373672</v>
      </c>
      <c r="Q121" s="186">
        <f t="shared" si="168"/>
        <v>5953.9140922373672</v>
      </c>
      <c r="R121" s="186">
        <f t="shared" si="168"/>
        <v>5953.9140922373672</v>
      </c>
      <c r="S121" s="186">
        <f t="shared" si="168"/>
        <v>5953.9140922373672</v>
      </c>
      <c r="T121" s="186">
        <f t="shared" si="168"/>
        <v>5953.9140922373672</v>
      </c>
      <c r="U121" s="186">
        <f t="shared" si="168"/>
        <v>5953.9140922373672</v>
      </c>
      <c r="V121" s="186">
        <f t="shared" si="168"/>
        <v>5953.9140922373672</v>
      </c>
      <c r="W121" s="186">
        <f t="shared" si="168"/>
        <v>5953.9140922373672</v>
      </c>
      <c r="X121" s="186">
        <f t="shared" si="166"/>
        <v>5953.9140922373672</v>
      </c>
      <c r="Y121" s="186">
        <f t="shared" si="166"/>
        <v>5953.9140922373672</v>
      </c>
      <c r="Z121" s="186">
        <f t="shared" si="166"/>
        <v>5953.9140922373672</v>
      </c>
      <c r="AA121" s="186">
        <f t="shared" si="166"/>
        <v>5953.9140922373672</v>
      </c>
      <c r="AB121" s="186">
        <f t="shared" si="166"/>
        <v>5953.9140922373672</v>
      </c>
      <c r="AC121" s="186">
        <f t="shared" si="166"/>
        <v>5953.9140922373672</v>
      </c>
      <c r="AD121" s="186">
        <f t="shared" si="166"/>
        <v>5953.9140922373672</v>
      </c>
      <c r="AE121" s="186">
        <f t="shared" si="166"/>
        <v>5953.9140922373672</v>
      </c>
      <c r="AF121" s="186">
        <f t="shared" si="166"/>
        <v>5953.9140922373672</v>
      </c>
      <c r="AG121" s="187">
        <f t="shared" si="166"/>
        <v>5953.9140922373672</v>
      </c>
      <c r="AH121" s="74"/>
      <c r="AI121" s="28"/>
      <c r="AJ121" s="28"/>
      <c r="AK121" s="172"/>
      <c r="AL121" s="173"/>
      <c r="AM121" s="57"/>
      <c r="AN121" s="57"/>
      <c r="AO121" s="57"/>
      <c r="AP121" s="174"/>
      <c r="AQ121" s="174"/>
      <c r="AR121" s="174"/>
      <c r="AS121" s="174"/>
      <c r="AT121" s="174"/>
      <c r="AU121" s="174"/>
      <c r="AV121" s="174"/>
      <c r="AW121" s="174"/>
      <c r="AX121" s="174"/>
      <c r="AY121" s="174"/>
      <c r="AZ121" s="28"/>
      <c r="BA121" s="175"/>
      <c r="BB121" s="28"/>
      <c r="BC121" s="28"/>
      <c r="BD121" s="28"/>
      <c r="BE121" s="28"/>
    </row>
    <row r="122" spans="2:57" ht="15.75" customHeight="1" x14ac:dyDescent="0.3">
      <c r="B122" s="82" t="s">
        <v>12</v>
      </c>
      <c r="C122" s="83" t="s">
        <v>27</v>
      </c>
      <c r="D122" s="182">
        <f>VLOOKUP($C122,[1]NWS_Input!$B$67:$E$77,D$128,FALSE)/365</f>
        <v>8623.2237589041069</v>
      </c>
      <c r="E122" s="183">
        <f>VLOOKUP($C122,[1]NWS_Input!$B$67:$E$77,E$128,FALSE)/365</f>
        <v>8318.1667561643771</v>
      </c>
      <c r="F122" s="184">
        <f>VLOOKUP($C122,[1]NWS_Input!$B$67:$E$77,F$128,FALSE)/365</f>
        <v>8885.3538082189916</v>
      </c>
      <c r="G122" s="185">
        <f t="shared" si="167"/>
        <v>8608.9147744291586</v>
      </c>
      <c r="H122" s="186">
        <f t="shared" si="168"/>
        <v>8608.9147744291586</v>
      </c>
      <c r="I122" s="186">
        <f t="shared" si="168"/>
        <v>8608.9147744291586</v>
      </c>
      <c r="J122" s="186">
        <f t="shared" si="168"/>
        <v>8608.9147744291586</v>
      </c>
      <c r="K122" s="186">
        <f t="shared" si="168"/>
        <v>8608.9147744291586</v>
      </c>
      <c r="L122" s="186">
        <f t="shared" si="168"/>
        <v>8608.9147744291586</v>
      </c>
      <c r="M122" s="186">
        <f t="shared" si="168"/>
        <v>8608.9147744291586</v>
      </c>
      <c r="N122" s="186">
        <f t="shared" si="168"/>
        <v>8608.9147744291586</v>
      </c>
      <c r="O122" s="186">
        <f t="shared" si="168"/>
        <v>8608.9147744291586</v>
      </c>
      <c r="P122" s="186">
        <f t="shared" si="168"/>
        <v>8608.9147744291586</v>
      </c>
      <c r="Q122" s="186">
        <f t="shared" si="168"/>
        <v>8608.9147744291586</v>
      </c>
      <c r="R122" s="186">
        <f t="shared" si="168"/>
        <v>8608.9147744291586</v>
      </c>
      <c r="S122" s="186">
        <f t="shared" si="168"/>
        <v>8608.9147744291586</v>
      </c>
      <c r="T122" s="186">
        <f t="shared" si="168"/>
        <v>8608.9147744291586</v>
      </c>
      <c r="U122" s="186">
        <f t="shared" si="168"/>
        <v>8608.9147744291586</v>
      </c>
      <c r="V122" s="186">
        <f t="shared" si="168"/>
        <v>8608.9147744291586</v>
      </c>
      <c r="W122" s="186">
        <f t="shared" si="168"/>
        <v>8608.9147744291586</v>
      </c>
      <c r="X122" s="186">
        <f t="shared" si="166"/>
        <v>8608.9147744291586</v>
      </c>
      <c r="Y122" s="186">
        <f t="shared" si="166"/>
        <v>8608.9147744291586</v>
      </c>
      <c r="Z122" s="186">
        <f t="shared" si="166"/>
        <v>8608.9147744291586</v>
      </c>
      <c r="AA122" s="186">
        <f t="shared" si="166"/>
        <v>8608.9147744291586</v>
      </c>
      <c r="AB122" s="186">
        <f t="shared" si="166"/>
        <v>8608.9147744291586</v>
      </c>
      <c r="AC122" s="186">
        <f t="shared" si="166"/>
        <v>8608.9147744291586</v>
      </c>
      <c r="AD122" s="186">
        <f t="shared" si="166"/>
        <v>8608.9147744291586</v>
      </c>
      <c r="AE122" s="186">
        <f t="shared" si="166"/>
        <v>8608.9147744291586</v>
      </c>
      <c r="AF122" s="186">
        <f t="shared" si="166"/>
        <v>8608.9147744291586</v>
      </c>
      <c r="AG122" s="187">
        <f t="shared" si="166"/>
        <v>8608.9147744291586</v>
      </c>
      <c r="AH122" s="74"/>
      <c r="AI122" s="28"/>
      <c r="AJ122" s="28"/>
      <c r="AK122" s="172"/>
      <c r="AL122" s="173"/>
      <c r="AM122" s="57"/>
      <c r="AN122" s="57"/>
      <c r="AO122" s="57"/>
      <c r="AP122" s="174"/>
      <c r="AQ122" s="174"/>
      <c r="AR122" s="174"/>
      <c r="AS122" s="174"/>
      <c r="AT122" s="174"/>
      <c r="AU122" s="174"/>
      <c r="AV122" s="174"/>
      <c r="AW122" s="174"/>
      <c r="AX122" s="174"/>
      <c r="AY122" s="174"/>
      <c r="AZ122" s="28"/>
      <c r="BA122" s="175"/>
      <c r="BB122" s="28"/>
      <c r="BC122" s="28"/>
      <c r="BD122" s="28"/>
      <c r="BE122" s="28"/>
    </row>
    <row r="123" spans="2:57" ht="15.75" customHeight="1" x14ac:dyDescent="0.3">
      <c r="B123" s="82" t="s">
        <v>13</v>
      </c>
      <c r="C123" s="83" t="s">
        <v>28</v>
      </c>
      <c r="D123" s="182">
        <f>VLOOKUP($C123,[1]NWS_Input!$B$67:$E$77,D$128,FALSE)/365</f>
        <v>6533.879986301371</v>
      </c>
      <c r="E123" s="183">
        <f>VLOOKUP($C123,[1]NWS_Input!$B$67:$E$77,E$128,FALSE)/365</f>
        <v>6591.4187123287647</v>
      </c>
      <c r="F123" s="184">
        <f>VLOOKUP($C123,[1]NWS_Input!$B$67:$E$77,F$128,FALSE)/365</f>
        <v>7980.0150355615924</v>
      </c>
      <c r="G123" s="185">
        <f t="shared" si="167"/>
        <v>7035.1045780639097</v>
      </c>
      <c r="H123" s="186">
        <f t="shared" si="168"/>
        <v>7035.1045780639097</v>
      </c>
      <c r="I123" s="186">
        <f t="shared" si="168"/>
        <v>7035.1045780639097</v>
      </c>
      <c r="J123" s="186">
        <f t="shared" si="168"/>
        <v>7035.1045780639097</v>
      </c>
      <c r="K123" s="186">
        <f t="shared" si="168"/>
        <v>7035.1045780639097</v>
      </c>
      <c r="L123" s="186">
        <f t="shared" si="168"/>
        <v>7035.1045780639097</v>
      </c>
      <c r="M123" s="186">
        <f t="shared" si="168"/>
        <v>7035.1045780639097</v>
      </c>
      <c r="N123" s="186">
        <f t="shared" si="168"/>
        <v>7035.1045780639097</v>
      </c>
      <c r="O123" s="186">
        <f t="shared" si="168"/>
        <v>7035.1045780639097</v>
      </c>
      <c r="P123" s="186">
        <f t="shared" si="168"/>
        <v>7035.1045780639097</v>
      </c>
      <c r="Q123" s="186">
        <f t="shared" si="168"/>
        <v>7035.1045780639097</v>
      </c>
      <c r="R123" s="186">
        <f t="shared" si="168"/>
        <v>7035.1045780639097</v>
      </c>
      <c r="S123" s="186">
        <f t="shared" si="168"/>
        <v>7035.1045780639097</v>
      </c>
      <c r="T123" s="186">
        <f t="shared" si="168"/>
        <v>7035.1045780639097</v>
      </c>
      <c r="U123" s="186">
        <f t="shared" si="168"/>
        <v>7035.1045780639097</v>
      </c>
      <c r="V123" s="186">
        <f t="shared" si="168"/>
        <v>7035.1045780639097</v>
      </c>
      <c r="W123" s="186">
        <f t="shared" si="168"/>
        <v>7035.1045780639097</v>
      </c>
      <c r="X123" s="186">
        <f t="shared" si="166"/>
        <v>7035.1045780639097</v>
      </c>
      <c r="Y123" s="186">
        <f t="shared" si="166"/>
        <v>7035.1045780639097</v>
      </c>
      <c r="Z123" s="186">
        <f t="shared" si="166"/>
        <v>7035.1045780639097</v>
      </c>
      <c r="AA123" s="186">
        <f t="shared" si="166"/>
        <v>7035.1045780639097</v>
      </c>
      <c r="AB123" s="186">
        <f t="shared" si="166"/>
        <v>7035.1045780639097</v>
      </c>
      <c r="AC123" s="186">
        <f t="shared" si="166"/>
        <v>7035.1045780639097</v>
      </c>
      <c r="AD123" s="186">
        <f t="shared" si="166"/>
        <v>7035.1045780639097</v>
      </c>
      <c r="AE123" s="186">
        <f t="shared" si="166"/>
        <v>7035.1045780639097</v>
      </c>
      <c r="AF123" s="186">
        <f t="shared" si="166"/>
        <v>7035.1045780639097</v>
      </c>
      <c r="AG123" s="187">
        <f t="shared" si="166"/>
        <v>7035.1045780639097</v>
      </c>
      <c r="AH123" s="74"/>
      <c r="AI123" s="28"/>
      <c r="AJ123" s="28"/>
      <c r="AK123" s="172"/>
      <c r="AL123" s="173"/>
      <c r="AM123" s="57"/>
      <c r="AN123" s="57"/>
      <c r="AO123" s="57"/>
      <c r="AP123" s="174"/>
      <c r="AQ123" s="174"/>
      <c r="AR123" s="174"/>
      <c r="AS123" s="174"/>
      <c r="AT123" s="174"/>
      <c r="AU123" s="174"/>
      <c r="AV123" s="174"/>
      <c r="AW123" s="174"/>
      <c r="AX123" s="174"/>
      <c r="AY123" s="174"/>
      <c r="AZ123" s="28"/>
      <c r="BA123" s="175"/>
      <c r="BB123" s="28"/>
      <c r="BC123" s="28"/>
      <c r="BD123" s="28"/>
      <c r="BE123" s="28"/>
    </row>
    <row r="124" spans="2:57" ht="15.75" customHeight="1" x14ac:dyDescent="0.3">
      <c r="B124" s="82" t="s">
        <v>14</v>
      </c>
      <c r="C124" s="83" t="s">
        <v>29</v>
      </c>
      <c r="D124" s="182">
        <f>VLOOKUP($C124,[1]NWS_Input!$B$67:$E$77,D$128,FALSE)/365</f>
        <v>9706.2981260273955</v>
      </c>
      <c r="E124" s="183">
        <f>VLOOKUP($C124,[1]NWS_Input!$B$67:$E$77,E$128,FALSE)/365</f>
        <v>8183.2569232876667</v>
      </c>
      <c r="F124" s="184">
        <f>VLOOKUP($C124,[1]NWS_Input!$B$67:$E$77,F$128,FALSE)/365</f>
        <v>8800.8172520546468</v>
      </c>
      <c r="G124" s="185">
        <f t="shared" si="167"/>
        <v>8896.7907671232369</v>
      </c>
      <c r="H124" s="186">
        <f t="shared" si="168"/>
        <v>8896.7907671232369</v>
      </c>
      <c r="I124" s="186">
        <f t="shared" si="168"/>
        <v>8896.7907671232369</v>
      </c>
      <c r="J124" s="186">
        <f t="shared" si="168"/>
        <v>8896.7907671232369</v>
      </c>
      <c r="K124" s="186">
        <f t="shared" si="168"/>
        <v>8896.7907671232369</v>
      </c>
      <c r="L124" s="186">
        <f t="shared" si="168"/>
        <v>8896.7907671232369</v>
      </c>
      <c r="M124" s="186">
        <f t="shared" si="168"/>
        <v>8896.7907671232369</v>
      </c>
      <c r="N124" s="186">
        <f t="shared" si="168"/>
        <v>8896.7907671232369</v>
      </c>
      <c r="O124" s="186">
        <f t="shared" si="168"/>
        <v>8896.7907671232369</v>
      </c>
      <c r="P124" s="186">
        <f t="shared" si="168"/>
        <v>8896.7907671232369</v>
      </c>
      <c r="Q124" s="186">
        <f t="shared" si="168"/>
        <v>8896.7907671232369</v>
      </c>
      <c r="R124" s="186">
        <f t="shared" si="168"/>
        <v>8896.7907671232369</v>
      </c>
      <c r="S124" s="186">
        <f t="shared" si="168"/>
        <v>8896.7907671232369</v>
      </c>
      <c r="T124" s="186">
        <f t="shared" si="168"/>
        <v>8896.7907671232369</v>
      </c>
      <c r="U124" s="186">
        <f t="shared" si="168"/>
        <v>8896.7907671232369</v>
      </c>
      <c r="V124" s="186">
        <f t="shared" si="168"/>
        <v>8896.7907671232369</v>
      </c>
      <c r="W124" s="186">
        <f t="shared" si="168"/>
        <v>8896.7907671232369</v>
      </c>
      <c r="X124" s="186">
        <f t="shared" si="166"/>
        <v>8896.7907671232369</v>
      </c>
      <c r="Y124" s="186">
        <f t="shared" si="166"/>
        <v>8896.7907671232369</v>
      </c>
      <c r="Z124" s="186">
        <f t="shared" si="166"/>
        <v>8896.7907671232369</v>
      </c>
      <c r="AA124" s="186">
        <f t="shared" si="166"/>
        <v>8896.7907671232369</v>
      </c>
      <c r="AB124" s="186">
        <f t="shared" si="166"/>
        <v>8896.7907671232369</v>
      </c>
      <c r="AC124" s="186">
        <f t="shared" si="166"/>
        <v>8896.7907671232369</v>
      </c>
      <c r="AD124" s="186">
        <f t="shared" si="166"/>
        <v>8896.7907671232369</v>
      </c>
      <c r="AE124" s="186">
        <f t="shared" si="166"/>
        <v>8896.7907671232369</v>
      </c>
      <c r="AF124" s="186">
        <f t="shared" si="166"/>
        <v>8896.7907671232369</v>
      </c>
      <c r="AG124" s="187">
        <f t="shared" si="166"/>
        <v>8896.7907671232369</v>
      </c>
      <c r="AH124" s="74"/>
      <c r="AI124" s="28"/>
      <c r="AJ124" s="28"/>
      <c r="AK124" s="172"/>
      <c r="AL124" s="173"/>
      <c r="AM124" s="57"/>
      <c r="AN124" s="57"/>
      <c r="AO124" s="57"/>
      <c r="AP124" s="174"/>
      <c r="AQ124" s="174"/>
      <c r="AR124" s="174"/>
      <c r="AS124" s="174"/>
      <c r="AT124" s="174"/>
      <c r="AU124" s="174"/>
      <c r="AV124" s="174"/>
      <c r="AW124" s="174"/>
      <c r="AX124" s="174"/>
      <c r="AY124" s="174"/>
      <c r="AZ124" s="28"/>
      <c r="BA124" s="175"/>
      <c r="BB124" s="28"/>
      <c r="BC124" s="28"/>
      <c r="BD124" s="28"/>
      <c r="BE124" s="28"/>
    </row>
    <row r="125" spans="2:57" ht="15.75" customHeight="1" x14ac:dyDescent="0.3">
      <c r="B125" s="82" t="s">
        <v>16</v>
      </c>
      <c r="C125" s="83" t="s">
        <v>30</v>
      </c>
      <c r="D125" s="182">
        <f>VLOOKUP($C125,[1]NWS_Input!$B$67:$E$77,D$128,FALSE)/365</f>
        <v>5010.2377808219162</v>
      </c>
      <c r="E125" s="183">
        <f>VLOOKUP($C125,[1]NWS_Input!$B$67:$E$77,E$128,FALSE)/365</f>
        <v>4689.6414520547924</v>
      </c>
      <c r="F125" s="184">
        <f>VLOOKUP($C125,[1]NWS_Input!$B$67:$E$77,F$128,FALSE)/365</f>
        <v>5735.1170849315231</v>
      </c>
      <c r="G125" s="185">
        <f t="shared" si="167"/>
        <v>5144.9987726027439</v>
      </c>
      <c r="H125" s="186">
        <f t="shared" si="168"/>
        <v>5144.9987726027439</v>
      </c>
      <c r="I125" s="186">
        <f t="shared" si="168"/>
        <v>5144.9987726027439</v>
      </c>
      <c r="J125" s="186">
        <f t="shared" si="168"/>
        <v>5144.9987726027439</v>
      </c>
      <c r="K125" s="186">
        <f t="shared" si="168"/>
        <v>5144.9987726027439</v>
      </c>
      <c r="L125" s="186">
        <f t="shared" si="168"/>
        <v>5144.9987726027439</v>
      </c>
      <c r="M125" s="186">
        <f t="shared" si="168"/>
        <v>5144.9987726027439</v>
      </c>
      <c r="N125" s="186">
        <f t="shared" si="168"/>
        <v>5144.9987726027439</v>
      </c>
      <c r="O125" s="186">
        <f t="shared" si="168"/>
        <v>5144.9987726027439</v>
      </c>
      <c r="P125" s="186">
        <f t="shared" si="168"/>
        <v>5144.9987726027439</v>
      </c>
      <c r="Q125" s="186">
        <f t="shared" si="168"/>
        <v>5144.9987726027439</v>
      </c>
      <c r="R125" s="186">
        <f t="shared" si="168"/>
        <v>5144.9987726027439</v>
      </c>
      <c r="S125" s="186">
        <f t="shared" si="168"/>
        <v>5144.9987726027439</v>
      </c>
      <c r="T125" s="186">
        <f t="shared" si="168"/>
        <v>5144.9987726027439</v>
      </c>
      <c r="U125" s="186">
        <f t="shared" si="168"/>
        <v>5144.9987726027439</v>
      </c>
      <c r="V125" s="186">
        <f t="shared" si="168"/>
        <v>5144.9987726027439</v>
      </c>
      <c r="W125" s="186">
        <f t="shared" si="168"/>
        <v>5144.9987726027439</v>
      </c>
      <c r="X125" s="186">
        <f t="shared" si="166"/>
        <v>5144.9987726027439</v>
      </c>
      <c r="Y125" s="186">
        <f t="shared" si="166"/>
        <v>5144.9987726027439</v>
      </c>
      <c r="Z125" s="186">
        <f t="shared" si="166"/>
        <v>5144.9987726027439</v>
      </c>
      <c r="AA125" s="186">
        <f t="shared" si="166"/>
        <v>5144.9987726027439</v>
      </c>
      <c r="AB125" s="186">
        <f t="shared" si="166"/>
        <v>5144.9987726027439</v>
      </c>
      <c r="AC125" s="186">
        <f t="shared" si="166"/>
        <v>5144.9987726027439</v>
      </c>
      <c r="AD125" s="186">
        <f t="shared" si="166"/>
        <v>5144.9987726027439</v>
      </c>
      <c r="AE125" s="186">
        <f t="shared" si="166"/>
        <v>5144.9987726027439</v>
      </c>
      <c r="AF125" s="186">
        <f t="shared" si="166"/>
        <v>5144.9987726027439</v>
      </c>
      <c r="AG125" s="187">
        <f t="shared" si="166"/>
        <v>5144.9987726027439</v>
      </c>
      <c r="AH125" s="74"/>
      <c r="AI125" s="28"/>
      <c r="AJ125" s="28"/>
      <c r="AK125" s="172"/>
      <c r="AL125" s="173"/>
      <c r="AM125" s="57"/>
      <c r="AN125" s="57"/>
      <c r="AO125" s="57"/>
      <c r="AP125" s="174"/>
      <c r="AQ125" s="174"/>
      <c r="AR125" s="174"/>
      <c r="AS125" s="174"/>
      <c r="AT125" s="174"/>
      <c r="AU125" s="174"/>
      <c r="AV125" s="174"/>
      <c r="AW125" s="174"/>
      <c r="AX125" s="174"/>
      <c r="AY125" s="174"/>
      <c r="AZ125" s="28"/>
      <c r="BA125" s="175"/>
      <c r="BB125" s="28"/>
      <c r="BC125" s="28"/>
      <c r="BD125" s="28"/>
      <c r="BE125" s="28"/>
    </row>
    <row r="126" spans="2:57" ht="15.75" customHeight="1" thickBot="1" x14ac:dyDescent="0.35">
      <c r="B126" s="98" t="s">
        <v>19</v>
      </c>
      <c r="C126" s="99" t="s">
        <v>31</v>
      </c>
      <c r="D126" s="182">
        <f>VLOOKUP($C126,[1]NWS_Input!$B$67:$E$77,D$128,FALSE)/365</f>
        <v>1831.6396082191764</v>
      </c>
      <c r="E126" s="183">
        <f>VLOOKUP($C126,[1]NWS_Input!$B$67:$E$77,E$128,FALSE)/365</f>
        <v>2730.7724191780835</v>
      </c>
      <c r="F126" s="184">
        <f>VLOOKUP($C126,[1]NWS_Input!$B$67:$E$77,F$128,FALSE)/365</f>
        <v>3548.9338054794862</v>
      </c>
      <c r="G126" s="188">
        <f t="shared" si="167"/>
        <v>2703.7819442922487</v>
      </c>
      <c r="H126" s="186">
        <f t="shared" si="168"/>
        <v>2703.7819442922487</v>
      </c>
      <c r="I126" s="186">
        <f t="shared" si="168"/>
        <v>2703.7819442922487</v>
      </c>
      <c r="J126" s="186">
        <f t="shared" si="168"/>
        <v>2703.7819442922487</v>
      </c>
      <c r="K126" s="186">
        <f t="shared" si="168"/>
        <v>2703.7819442922487</v>
      </c>
      <c r="L126" s="186">
        <f t="shared" si="168"/>
        <v>2703.7819442922487</v>
      </c>
      <c r="M126" s="186">
        <f t="shared" si="168"/>
        <v>2703.7819442922487</v>
      </c>
      <c r="N126" s="186">
        <f t="shared" si="168"/>
        <v>2703.7819442922487</v>
      </c>
      <c r="O126" s="186">
        <f t="shared" si="168"/>
        <v>2703.7819442922487</v>
      </c>
      <c r="P126" s="186">
        <f t="shared" si="168"/>
        <v>2703.7819442922487</v>
      </c>
      <c r="Q126" s="186">
        <f t="shared" si="168"/>
        <v>2703.7819442922487</v>
      </c>
      <c r="R126" s="186">
        <f t="shared" si="168"/>
        <v>2703.7819442922487</v>
      </c>
      <c r="S126" s="186">
        <f t="shared" si="168"/>
        <v>2703.7819442922487</v>
      </c>
      <c r="T126" s="186">
        <f t="shared" si="168"/>
        <v>2703.7819442922487</v>
      </c>
      <c r="U126" s="186">
        <f t="shared" si="168"/>
        <v>2703.7819442922487</v>
      </c>
      <c r="V126" s="186">
        <f t="shared" si="168"/>
        <v>2703.7819442922487</v>
      </c>
      <c r="W126" s="186">
        <f t="shared" si="168"/>
        <v>2703.7819442922487</v>
      </c>
      <c r="X126" s="186">
        <f t="shared" si="166"/>
        <v>2703.7819442922487</v>
      </c>
      <c r="Y126" s="186">
        <f t="shared" si="166"/>
        <v>2703.7819442922487</v>
      </c>
      <c r="Z126" s="186">
        <f t="shared" si="166"/>
        <v>2703.7819442922487</v>
      </c>
      <c r="AA126" s="186">
        <f t="shared" si="166"/>
        <v>2703.7819442922487</v>
      </c>
      <c r="AB126" s="186">
        <f t="shared" si="166"/>
        <v>2703.7819442922487</v>
      </c>
      <c r="AC126" s="186">
        <f t="shared" si="166"/>
        <v>2703.7819442922487</v>
      </c>
      <c r="AD126" s="186">
        <f t="shared" si="166"/>
        <v>2703.7819442922487</v>
      </c>
      <c r="AE126" s="186">
        <f t="shared" si="166"/>
        <v>2703.7819442922487</v>
      </c>
      <c r="AF126" s="186">
        <f t="shared" si="166"/>
        <v>2703.7819442922487</v>
      </c>
      <c r="AG126" s="187">
        <f t="shared" si="166"/>
        <v>2703.7819442922487</v>
      </c>
      <c r="AH126" s="74"/>
      <c r="AI126" s="28"/>
      <c r="AJ126" s="28"/>
      <c r="AK126" s="172"/>
      <c r="AL126" s="173"/>
      <c r="AM126" s="57"/>
      <c r="AN126" s="57"/>
      <c r="AO126" s="57"/>
      <c r="AP126" s="174"/>
      <c r="AQ126" s="174"/>
      <c r="AR126" s="174"/>
      <c r="AS126" s="174"/>
      <c r="AT126" s="174"/>
      <c r="AU126" s="174"/>
      <c r="AV126" s="174"/>
      <c r="AW126" s="174"/>
      <c r="AX126" s="174"/>
      <c r="AY126" s="174"/>
      <c r="AZ126" s="28"/>
      <c r="BA126" s="175"/>
      <c r="BB126" s="28"/>
      <c r="BC126" s="28"/>
      <c r="BD126" s="28"/>
      <c r="BE126" s="28"/>
    </row>
    <row r="127" spans="2:57" ht="15.75" customHeight="1" thickBot="1" x14ac:dyDescent="0.35">
      <c r="B127" s="28"/>
      <c r="C127" s="23" t="s">
        <v>32</v>
      </c>
      <c r="D127" s="189">
        <f>VLOOKUP($C127,[1]NWS_Input!$B$67:$E$77,D$128,FALSE)/365</f>
        <v>66740.765687671228</v>
      </c>
      <c r="E127" s="190">
        <f>VLOOKUP($C127,[1]NWS_Input!$B$67:$E$77,E$128,FALSE)/365</f>
        <v>65253.577589041117</v>
      </c>
      <c r="F127" s="191">
        <f>VLOOKUP($C127,[1]NWS_Input!$B$67:$E$77,F$128,FALSE)/365</f>
        <v>73113.499717751823</v>
      </c>
      <c r="G127" s="192">
        <f t="shared" si="167"/>
        <v>68369.280998154718</v>
      </c>
      <c r="H127" s="193">
        <f t="shared" si="168"/>
        <v>68369.280998154718</v>
      </c>
      <c r="I127" s="193">
        <f t="shared" si="168"/>
        <v>68369.280998154718</v>
      </c>
      <c r="J127" s="193">
        <f t="shared" si="168"/>
        <v>68369.280998154718</v>
      </c>
      <c r="K127" s="193">
        <f t="shared" si="168"/>
        <v>68369.280998154718</v>
      </c>
      <c r="L127" s="193">
        <f t="shared" si="168"/>
        <v>68369.280998154718</v>
      </c>
      <c r="M127" s="193">
        <f t="shared" si="168"/>
        <v>68369.280998154718</v>
      </c>
      <c r="N127" s="193">
        <f t="shared" si="168"/>
        <v>68369.280998154718</v>
      </c>
      <c r="O127" s="193">
        <f t="shared" si="168"/>
        <v>68369.280998154718</v>
      </c>
      <c r="P127" s="193">
        <f t="shared" si="168"/>
        <v>68369.280998154718</v>
      </c>
      <c r="Q127" s="193">
        <f t="shared" si="168"/>
        <v>68369.280998154718</v>
      </c>
      <c r="R127" s="193">
        <f t="shared" si="168"/>
        <v>68369.280998154718</v>
      </c>
      <c r="S127" s="193">
        <f t="shared" si="168"/>
        <v>68369.280998154718</v>
      </c>
      <c r="T127" s="193">
        <f t="shared" si="168"/>
        <v>68369.280998154718</v>
      </c>
      <c r="U127" s="193">
        <f t="shared" si="168"/>
        <v>68369.280998154718</v>
      </c>
      <c r="V127" s="193">
        <f t="shared" si="168"/>
        <v>68369.280998154718</v>
      </c>
      <c r="W127" s="193">
        <f t="shared" si="168"/>
        <v>68369.280998154718</v>
      </c>
      <c r="X127" s="193">
        <f t="shared" si="166"/>
        <v>68369.280998154718</v>
      </c>
      <c r="Y127" s="193">
        <f t="shared" si="166"/>
        <v>68369.280998154718</v>
      </c>
      <c r="Z127" s="193">
        <f t="shared" si="166"/>
        <v>68369.280998154718</v>
      </c>
      <c r="AA127" s="193">
        <f t="shared" si="166"/>
        <v>68369.280998154718</v>
      </c>
      <c r="AB127" s="193">
        <f t="shared" si="166"/>
        <v>68369.280998154718</v>
      </c>
      <c r="AC127" s="193">
        <f>AB127</f>
        <v>68369.280998154718</v>
      </c>
      <c r="AD127" s="193">
        <f>AC127</f>
        <v>68369.280998154718</v>
      </c>
      <c r="AE127" s="193">
        <f>AD127</f>
        <v>68369.280998154718</v>
      </c>
      <c r="AF127" s="193">
        <f>AE127</f>
        <v>68369.280998154718</v>
      </c>
      <c r="AG127" s="194">
        <f>AF127</f>
        <v>68369.280998154718</v>
      </c>
      <c r="AH127" s="74"/>
      <c r="AI127" s="28"/>
      <c r="AJ127" s="28"/>
      <c r="AK127" s="172"/>
      <c r="AL127" s="173"/>
      <c r="AM127" s="57"/>
      <c r="AN127" s="57"/>
      <c r="AO127" s="57"/>
      <c r="AP127" s="174"/>
      <c r="AQ127" s="174"/>
      <c r="AR127" s="174"/>
      <c r="AS127" s="174"/>
      <c r="AT127" s="174"/>
      <c r="AU127" s="174"/>
      <c r="AV127" s="174"/>
      <c r="AW127" s="174"/>
      <c r="AX127" s="174"/>
      <c r="AY127" s="174"/>
      <c r="AZ127" s="28"/>
      <c r="BA127" s="175"/>
      <c r="BB127" s="28"/>
      <c r="BC127" s="28"/>
      <c r="BD127" s="28"/>
      <c r="BE127" s="28"/>
    </row>
    <row r="128" spans="2:57" ht="30.75" x14ac:dyDescent="0.3">
      <c r="B128" s="28"/>
      <c r="C128" s="106" t="s">
        <v>662</v>
      </c>
      <c r="D128" s="1">
        <v>2</v>
      </c>
      <c r="E128" s="1">
        <v>3</v>
      </c>
      <c r="F128" s="1">
        <v>4</v>
      </c>
      <c r="G128" s="1">
        <v>5</v>
      </c>
      <c r="H128" s="1">
        <v>6</v>
      </c>
      <c r="I128" s="1">
        <v>7</v>
      </c>
      <c r="J128" s="1">
        <v>8</v>
      </c>
      <c r="K128" s="1">
        <v>9</v>
      </c>
      <c r="L128" s="1">
        <v>10</v>
      </c>
      <c r="M128" s="1">
        <v>11</v>
      </c>
      <c r="N128" s="1">
        <v>12</v>
      </c>
      <c r="O128" s="1">
        <v>13</v>
      </c>
      <c r="P128" s="1">
        <v>14</v>
      </c>
      <c r="Q128" s="1">
        <v>15</v>
      </c>
      <c r="R128" s="1">
        <v>16</v>
      </c>
      <c r="S128" s="1">
        <v>17</v>
      </c>
      <c r="T128" s="1">
        <v>18</v>
      </c>
      <c r="U128" s="1">
        <v>19</v>
      </c>
      <c r="V128" s="1">
        <v>20</v>
      </c>
      <c r="W128" s="1">
        <v>21</v>
      </c>
      <c r="X128" s="1">
        <v>22</v>
      </c>
      <c r="Y128" s="1">
        <v>23</v>
      </c>
      <c r="Z128" s="1">
        <v>24</v>
      </c>
      <c r="AA128" s="1">
        <v>25</v>
      </c>
      <c r="AB128" s="1">
        <v>26</v>
      </c>
      <c r="AC128" s="1">
        <v>27</v>
      </c>
      <c r="AD128" s="1">
        <v>28</v>
      </c>
      <c r="AE128" s="1">
        <v>29</v>
      </c>
      <c r="AF128" s="1">
        <v>30</v>
      </c>
      <c r="AG128" s="1">
        <v>31</v>
      </c>
      <c r="AH128" s="74"/>
      <c r="AI128" s="28"/>
      <c r="AJ128" s="28"/>
      <c r="AK128" s="172"/>
      <c r="AL128" s="173"/>
      <c r="AM128" s="57"/>
      <c r="AN128" s="57"/>
      <c r="AO128" s="57"/>
      <c r="AP128" s="174"/>
      <c r="AQ128" s="174"/>
      <c r="AR128" s="174"/>
      <c r="AS128" s="174"/>
      <c r="AT128" s="174"/>
      <c r="AU128" s="174"/>
      <c r="AV128" s="174"/>
      <c r="AW128" s="174"/>
      <c r="AX128" s="174"/>
      <c r="AY128" s="174"/>
      <c r="AZ128" s="28"/>
      <c r="BA128" s="175"/>
      <c r="BB128" s="28"/>
      <c r="BC128" s="28"/>
      <c r="BD128" s="28"/>
      <c r="BE128" s="28"/>
    </row>
    <row r="129" spans="2:57" ht="15.75" customHeight="1" x14ac:dyDescent="0.3">
      <c r="B129" s="28"/>
      <c r="C129" s="28"/>
      <c r="D129" s="28"/>
      <c r="E129" s="28"/>
      <c r="F129" s="28"/>
      <c r="G129" s="28"/>
      <c r="H129" s="28"/>
      <c r="I129" s="28"/>
      <c r="J129" s="28"/>
      <c r="K129" s="28"/>
      <c r="L129" s="28"/>
      <c r="M129" s="28"/>
      <c r="N129" s="28"/>
      <c r="O129" s="28"/>
      <c r="P129" s="28"/>
      <c r="Q129" s="28"/>
      <c r="R129" s="74"/>
      <c r="S129" s="74"/>
      <c r="T129" s="74"/>
      <c r="U129" s="74"/>
      <c r="V129" s="74"/>
      <c r="W129" s="28"/>
      <c r="X129" s="28"/>
      <c r="Y129" s="28"/>
      <c r="Z129" s="28"/>
      <c r="AA129" s="28"/>
      <c r="AB129" s="28"/>
      <c r="AC129" s="28"/>
      <c r="AD129" s="28"/>
      <c r="AE129" s="28"/>
      <c r="AF129" s="28"/>
      <c r="AG129" s="28"/>
      <c r="AH129" s="74"/>
      <c r="AI129" s="28"/>
      <c r="AJ129" s="28"/>
      <c r="AK129" s="172"/>
      <c r="AL129" s="173"/>
      <c r="AM129" s="57"/>
      <c r="AN129" s="57"/>
      <c r="AO129" s="57"/>
      <c r="AP129" s="174"/>
      <c r="AQ129" s="174"/>
      <c r="AR129" s="174"/>
      <c r="AS129" s="174"/>
      <c r="AT129" s="174"/>
      <c r="AU129" s="174"/>
      <c r="AV129" s="174"/>
      <c r="AW129" s="174"/>
      <c r="AX129" s="174"/>
      <c r="AY129" s="174"/>
      <c r="AZ129" s="28"/>
      <c r="BA129" s="175"/>
      <c r="BB129" s="28"/>
      <c r="BC129" s="28"/>
      <c r="BD129" s="28"/>
      <c r="BE129" s="28"/>
    </row>
    <row r="130" spans="2:57" ht="15.75" customHeight="1" thickBot="1" x14ac:dyDescent="0.3">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row>
    <row r="131" spans="2:57" ht="23.25" x14ac:dyDescent="0.35">
      <c r="B131" s="308" t="s">
        <v>663</v>
      </c>
      <c r="C131" s="309"/>
      <c r="D131" s="310"/>
      <c r="E131" s="321" t="s">
        <v>664</v>
      </c>
      <c r="F131" s="325"/>
      <c r="G131" s="325"/>
      <c r="H131" s="325"/>
      <c r="I131" s="325"/>
      <c r="J131" s="325"/>
      <c r="K131" s="325"/>
      <c r="L131" s="325"/>
      <c r="M131" s="325"/>
      <c r="N131" s="325"/>
      <c r="O131" s="325"/>
      <c r="P131" s="325"/>
      <c r="Q131" s="325"/>
      <c r="R131" s="195"/>
      <c r="S131" s="195"/>
      <c r="T131" s="195"/>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row>
    <row r="132" spans="2:57" ht="21.75" thickBot="1" x14ac:dyDescent="0.4">
      <c r="B132" s="311"/>
      <c r="C132" s="312"/>
      <c r="D132" s="313"/>
      <c r="E132" s="307" t="s">
        <v>665</v>
      </c>
      <c r="F132" s="307"/>
      <c r="G132" s="307"/>
      <c r="H132" s="307"/>
      <c r="I132" s="307"/>
      <c r="J132" s="307"/>
      <c r="K132" s="307"/>
      <c r="L132" s="307"/>
      <c r="M132" s="70"/>
      <c r="N132" s="70"/>
      <c r="O132" s="70"/>
      <c r="P132" s="70"/>
      <c r="Q132" s="70"/>
      <c r="R132" s="70"/>
      <c r="S132" s="70"/>
      <c r="T132" s="70"/>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row>
    <row r="133" spans="2:57" ht="15.75" customHeight="1" thickBot="1" x14ac:dyDescent="0.3">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row>
    <row r="134" spans="2:57" ht="15.75" customHeight="1" thickBot="1" x14ac:dyDescent="0.3">
      <c r="B134" s="75" t="s">
        <v>658</v>
      </c>
      <c r="C134" s="76" t="s">
        <v>62</v>
      </c>
      <c r="D134" s="77">
        <v>2021</v>
      </c>
      <c r="E134" s="78">
        <v>2022</v>
      </c>
      <c r="F134" s="79">
        <v>2023</v>
      </c>
      <c r="G134" s="77">
        <v>2024</v>
      </c>
      <c r="H134" s="78">
        <v>2025</v>
      </c>
      <c r="I134" s="78">
        <v>2026</v>
      </c>
      <c r="J134" s="78">
        <v>2027</v>
      </c>
      <c r="K134" s="78">
        <v>2028</v>
      </c>
      <c r="L134" s="78">
        <v>2029</v>
      </c>
      <c r="M134" s="78">
        <v>2030</v>
      </c>
      <c r="N134" s="78">
        <v>2031</v>
      </c>
      <c r="O134" s="78">
        <v>2032</v>
      </c>
      <c r="P134" s="78">
        <v>2033</v>
      </c>
      <c r="Q134" s="78">
        <v>2034</v>
      </c>
      <c r="R134" s="78">
        <v>2035</v>
      </c>
      <c r="S134" s="78">
        <v>2036</v>
      </c>
      <c r="T134" s="78">
        <v>2037</v>
      </c>
      <c r="U134" s="78">
        <v>2038</v>
      </c>
      <c r="V134" s="78">
        <v>2039</v>
      </c>
      <c r="W134" s="78">
        <v>2040</v>
      </c>
      <c r="X134" s="78">
        <v>2041</v>
      </c>
      <c r="Y134" s="78">
        <v>2042</v>
      </c>
      <c r="Z134" s="78">
        <v>2043</v>
      </c>
      <c r="AA134" s="78">
        <v>2044</v>
      </c>
      <c r="AB134" s="78">
        <v>2045</v>
      </c>
      <c r="AC134" s="78">
        <v>2046</v>
      </c>
      <c r="AD134" s="78">
        <v>2047</v>
      </c>
      <c r="AE134" s="78">
        <v>2048</v>
      </c>
      <c r="AF134" s="78">
        <v>2049</v>
      </c>
      <c r="AG134" s="79">
        <v>2050</v>
      </c>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row>
    <row r="135" spans="2:57" ht="15.75" customHeight="1" x14ac:dyDescent="0.25">
      <c r="B135" s="82" t="s">
        <v>91</v>
      </c>
      <c r="C135" s="156" t="s">
        <v>534</v>
      </c>
      <c r="D135" s="111"/>
      <c r="E135" s="159">
        <v>1.0069999999999999</v>
      </c>
      <c r="F135" s="160">
        <v>1.0069677495943994</v>
      </c>
      <c r="G135" s="159">
        <v>1.0159715639767912</v>
      </c>
      <c r="H135" s="159">
        <v>1.0217488444145519</v>
      </c>
      <c r="I135" s="159">
        <v>1.027784414573049</v>
      </c>
      <c r="J135" s="159">
        <v>1.0311163313930742</v>
      </c>
      <c r="K135" s="159">
        <v>1.0362787248142813</v>
      </c>
      <c r="L135" s="159">
        <v>1.0419817352091318</v>
      </c>
      <c r="M135" s="159">
        <v>1.0475277011582234</v>
      </c>
      <c r="N135" s="159">
        <v>1.0529744422919187</v>
      </c>
      <c r="O135" s="159">
        <v>1.0585362288147786</v>
      </c>
      <c r="P135" s="159">
        <v>1.058479894759875</v>
      </c>
      <c r="Q135" s="159">
        <v>1.0583796427416621</v>
      </c>
      <c r="R135" s="159">
        <v>1.0583041339209596</v>
      </c>
      <c r="S135" s="159">
        <v>1.058172295601816</v>
      </c>
      <c r="T135" s="159">
        <v>1.0580318262607318</v>
      </c>
      <c r="U135" s="159">
        <v>1.0580126575379849</v>
      </c>
      <c r="V135" s="159">
        <v>1.0581313778908705</v>
      </c>
      <c r="W135" s="159">
        <v>1.0581134101663603</v>
      </c>
      <c r="X135" s="159">
        <v>1.0579400755910855</v>
      </c>
      <c r="Y135" s="159">
        <v>1.0579147962319093</v>
      </c>
      <c r="Z135" s="159">
        <v>1.0578623225224586</v>
      </c>
      <c r="AA135" s="159">
        <v>1.057966472470711</v>
      </c>
      <c r="AB135" s="159">
        <v>1.0579307096380253</v>
      </c>
      <c r="AC135" s="196">
        <f>AB135</f>
        <v>1.0579307096380253</v>
      </c>
      <c r="AD135" s="196">
        <f>AC135</f>
        <v>1.0579307096380253</v>
      </c>
      <c r="AE135" s="196">
        <f>AD135</f>
        <v>1.0579307096380253</v>
      </c>
      <c r="AF135" s="196">
        <f>AE135</f>
        <v>1.0579307096380253</v>
      </c>
      <c r="AG135" s="197">
        <f>AF135</f>
        <v>1.0579307096380253</v>
      </c>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row>
    <row r="136" spans="2:57" ht="15.75" customHeight="1" x14ac:dyDescent="0.25">
      <c r="B136" s="82" t="s">
        <v>74</v>
      </c>
      <c r="C136" s="156" t="s">
        <v>24</v>
      </c>
      <c r="D136" s="117"/>
      <c r="E136" s="163">
        <v>1.0069999999999999</v>
      </c>
      <c r="F136" s="164">
        <v>1.0061934336898175</v>
      </c>
      <c r="G136" s="163">
        <v>1.0154741995430441</v>
      </c>
      <c r="H136" s="163">
        <v>1.021828873052022</v>
      </c>
      <c r="I136" s="163">
        <v>1.0283668560191712</v>
      </c>
      <c r="J136" s="163">
        <v>1.0343705261757561</v>
      </c>
      <c r="K136" s="163">
        <v>1.0410118842807219</v>
      </c>
      <c r="L136" s="163">
        <v>1.0477528116143511</v>
      </c>
      <c r="M136" s="163">
        <v>1.0541984185136333</v>
      </c>
      <c r="N136" s="163">
        <v>1.0606959789803252</v>
      </c>
      <c r="O136" s="163">
        <v>1.0670749864131035</v>
      </c>
      <c r="P136" s="163">
        <v>1.0672773131690927</v>
      </c>
      <c r="Q136" s="163">
        <v>1.0671820620801393</v>
      </c>
      <c r="R136" s="163">
        <v>1.0673275166827829</v>
      </c>
      <c r="S136" s="163">
        <v>1.0677391258620772</v>
      </c>
      <c r="T136" s="163">
        <v>1.0677784892991926</v>
      </c>
      <c r="U136" s="163">
        <v>1.068057432350549</v>
      </c>
      <c r="V136" s="163">
        <v>1.0679658357184798</v>
      </c>
      <c r="W136" s="163">
        <v>1.0681665107023761</v>
      </c>
      <c r="X136" s="163">
        <v>1.0683629967944672</v>
      </c>
      <c r="Y136" s="163">
        <v>1.0683748450359833</v>
      </c>
      <c r="Z136" s="163">
        <v>1.0684791251112578</v>
      </c>
      <c r="AA136" s="163">
        <v>1.0685633148691669</v>
      </c>
      <c r="AB136" s="163">
        <v>1.0687928656921639</v>
      </c>
      <c r="AC136" s="198">
        <f t="shared" ref="AC136:AG151" si="169">AB136</f>
        <v>1.0687928656921639</v>
      </c>
      <c r="AD136" s="198">
        <f t="shared" si="169"/>
        <v>1.0687928656921639</v>
      </c>
      <c r="AE136" s="198">
        <f t="shared" si="169"/>
        <v>1.0687928656921639</v>
      </c>
      <c r="AF136" s="198">
        <f t="shared" si="169"/>
        <v>1.0687928656921639</v>
      </c>
      <c r="AG136" s="199">
        <f t="shared" si="169"/>
        <v>1.0687928656921639</v>
      </c>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row>
    <row r="137" spans="2:57" ht="15.75" customHeight="1" x14ac:dyDescent="0.25">
      <c r="B137" s="82" t="s">
        <v>89</v>
      </c>
      <c r="C137" s="156" t="s">
        <v>535</v>
      </c>
      <c r="D137" s="117"/>
      <c r="E137" s="163">
        <v>1.0069999999999999</v>
      </c>
      <c r="F137" s="164">
        <v>1.0074675111416442</v>
      </c>
      <c r="G137" s="163">
        <v>1.0179961339389529</v>
      </c>
      <c r="H137" s="163">
        <v>1.0254692949598125</v>
      </c>
      <c r="I137" s="163">
        <v>1.0329437710765583</v>
      </c>
      <c r="J137" s="163">
        <v>1.0404467387723753</v>
      </c>
      <c r="K137" s="163">
        <v>1.0480606642639367</v>
      </c>
      <c r="L137" s="163">
        <v>1.0551380989355537</v>
      </c>
      <c r="M137" s="163">
        <v>1.0623704125141502</v>
      </c>
      <c r="N137" s="163">
        <v>1.0695884132260447</v>
      </c>
      <c r="O137" s="163">
        <v>1.0769507760088937</v>
      </c>
      <c r="P137" s="163">
        <v>1.0771034232247327</v>
      </c>
      <c r="Q137" s="163">
        <v>1.0768756223497167</v>
      </c>
      <c r="R137" s="163">
        <v>1.0768033082730275</v>
      </c>
      <c r="S137" s="163">
        <v>1.0763618289017691</v>
      </c>
      <c r="T137" s="163">
        <v>1.0759074688796884</v>
      </c>
      <c r="U137" s="163">
        <v>1.0758892205429089</v>
      </c>
      <c r="V137" s="163">
        <v>1.0756363457389593</v>
      </c>
      <c r="W137" s="163">
        <v>1.07578036817218</v>
      </c>
      <c r="X137" s="163">
        <v>1.0758644483409385</v>
      </c>
      <c r="Y137" s="163">
        <v>1.0756788545672584</v>
      </c>
      <c r="Z137" s="163">
        <v>1.0755289139799873</v>
      </c>
      <c r="AA137" s="163">
        <v>1.0755260953951471</v>
      </c>
      <c r="AB137" s="163">
        <v>1.0757773276896154</v>
      </c>
      <c r="AC137" s="198">
        <f t="shared" si="169"/>
        <v>1.0757773276896154</v>
      </c>
      <c r="AD137" s="198">
        <f t="shared" si="169"/>
        <v>1.0757773276896154</v>
      </c>
      <c r="AE137" s="198">
        <f t="shared" si="169"/>
        <v>1.0757773276896154</v>
      </c>
      <c r="AF137" s="198">
        <f t="shared" si="169"/>
        <v>1.0757773276896154</v>
      </c>
      <c r="AG137" s="199">
        <f t="shared" si="169"/>
        <v>1.0757773276896154</v>
      </c>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row>
    <row r="138" spans="2:57" ht="15.75" customHeight="1" x14ac:dyDescent="0.25">
      <c r="B138" s="82" t="s">
        <v>93</v>
      </c>
      <c r="C138" s="156" t="s">
        <v>26</v>
      </c>
      <c r="D138" s="117"/>
      <c r="E138" s="163">
        <v>1.0069999999999999</v>
      </c>
      <c r="F138" s="164">
        <v>1.0050861774247293</v>
      </c>
      <c r="G138" s="163">
        <v>1.0132410633310203</v>
      </c>
      <c r="H138" s="163">
        <v>1.0183037636816605</v>
      </c>
      <c r="I138" s="163">
        <v>1.0233312377925332</v>
      </c>
      <c r="J138" s="163">
        <v>1.0284607473271175</v>
      </c>
      <c r="K138" s="163">
        <v>1.0315489384740071</v>
      </c>
      <c r="L138" s="163">
        <v>1.0369576581607911</v>
      </c>
      <c r="M138" s="163">
        <v>1.0418689974350293</v>
      </c>
      <c r="N138" s="163">
        <v>1.0467510387171306</v>
      </c>
      <c r="O138" s="163">
        <v>1.0516729769987383</v>
      </c>
      <c r="P138" s="163">
        <v>1.0518742868587836</v>
      </c>
      <c r="Q138" s="163">
        <v>1.0518583825324335</v>
      </c>
      <c r="R138" s="163">
        <v>1.0518054724997818</v>
      </c>
      <c r="S138" s="163">
        <v>1.0518250618711249</v>
      </c>
      <c r="T138" s="163">
        <v>1.051862692222477</v>
      </c>
      <c r="U138" s="163">
        <v>1.0518075789182109</v>
      </c>
      <c r="V138" s="163">
        <v>1.0517784377497712</v>
      </c>
      <c r="W138" s="163">
        <v>1.0518649846297818</v>
      </c>
      <c r="X138" s="163">
        <v>1.0518483956400493</v>
      </c>
      <c r="Y138" s="163">
        <v>1.0518832470211907</v>
      </c>
      <c r="Z138" s="163">
        <v>1.0518760880020031</v>
      </c>
      <c r="AA138" s="163">
        <v>1.0519869160301025</v>
      </c>
      <c r="AB138" s="163">
        <v>1.0520278686388747</v>
      </c>
      <c r="AC138" s="198">
        <f t="shared" si="169"/>
        <v>1.0520278686388747</v>
      </c>
      <c r="AD138" s="198">
        <f t="shared" si="169"/>
        <v>1.0520278686388747</v>
      </c>
      <c r="AE138" s="198">
        <f t="shared" si="169"/>
        <v>1.0520278686388747</v>
      </c>
      <c r="AF138" s="198">
        <f t="shared" si="169"/>
        <v>1.0520278686388747</v>
      </c>
      <c r="AG138" s="199">
        <f t="shared" si="169"/>
        <v>1.0520278686388747</v>
      </c>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row>
    <row r="139" spans="2:57" ht="15.75" customHeight="1" x14ac:dyDescent="0.25">
      <c r="B139" s="82" t="s">
        <v>99</v>
      </c>
      <c r="C139" s="156" t="s">
        <v>27</v>
      </c>
      <c r="D139" s="117"/>
      <c r="E139" s="163">
        <v>1.0369999999999999</v>
      </c>
      <c r="F139" s="164">
        <v>1.0350056595200967</v>
      </c>
      <c r="G139" s="163">
        <v>1.0399414764814927</v>
      </c>
      <c r="H139" s="163">
        <v>1.0427702473714906</v>
      </c>
      <c r="I139" s="163">
        <v>1.0459451528091055</v>
      </c>
      <c r="J139" s="163">
        <v>1.051131712525089</v>
      </c>
      <c r="K139" s="163">
        <v>1.0535318849414343</v>
      </c>
      <c r="L139" s="163">
        <v>1.056034395734502</v>
      </c>
      <c r="M139" s="163">
        <v>1.0593487124416674</v>
      </c>
      <c r="N139" s="163">
        <v>1.0626211393059006</v>
      </c>
      <c r="O139" s="163">
        <v>1.0657350200556699</v>
      </c>
      <c r="P139" s="163">
        <v>1.0653220659706639</v>
      </c>
      <c r="Q139" s="163">
        <v>1.0649799125580228</v>
      </c>
      <c r="R139" s="163">
        <v>1.064733138913377</v>
      </c>
      <c r="S139" s="163">
        <v>1.0644730880886784</v>
      </c>
      <c r="T139" s="163">
        <v>1.0640675364621781</v>
      </c>
      <c r="U139" s="163">
        <v>1.0637106581346278</v>
      </c>
      <c r="V139" s="163">
        <v>1.063428807060415</v>
      </c>
      <c r="W139" s="163">
        <v>1.0631959368171904</v>
      </c>
      <c r="X139" s="163">
        <v>1.0631578105491553</v>
      </c>
      <c r="Y139" s="163">
        <v>1.0631235606947622</v>
      </c>
      <c r="Z139" s="163">
        <v>1.0631447175881623</v>
      </c>
      <c r="AA139" s="163">
        <v>1.0631089427286164</v>
      </c>
      <c r="AB139" s="163">
        <v>1.0630791448843966</v>
      </c>
      <c r="AC139" s="198">
        <f t="shared" si="169"/>
        <v>1.0630791448843966</v>
      </c>
      <c r="AD139" s="198">
        <f t="shared" si="169"/>
        <v>1.0630791448843966</v>
      </c>
      <c r="AE139" s="198">
        <f t="shared" si="169"/>
        <v>1.0630791448843966</v>
      </c>
      <c r="AF139" s="198">
        <f t="shared" si="169"/>
        <v>1.0630791448843966</v>
      </c>
      <c r="AG139" s="199">
        <f t="shared" si="169"/>
        <v>1.0630791448843966</v>
      </c>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row>
    <row r="140" spans="2:57" ht="15.75" customHeight="1" x14ac:dyDescent="0.25">
      <c r="B140" s="82" t="s">
        <v>77</v>
      </c>
      <c r="C140" s="156" t="s">
        <v>25</v>
      </c>
      <c r="D140" s="117"/>
      <c r="E140" s="163">
        <v>1.0369999999999999</v>
      </c>
      <c r="F140" s="164">
        <v>1.0342002126250349</v>
      </c>
      <c r="G140" s="163">
        <v>1.0420617157935042</v>
      </c>
      <c r="H140" s="163">
        <v>1.0455154159191915</v>
      </c>
      <c r="I140" s="163">
        <v>1.0490307960600838</v>
      </c>
      <c r="J140" s="163">
        <v>1.0516765021554024</v>
      </c>
      <c r="K140" s="163">
        <v>1.0548818487795273</v>
      </c>
      <c r="L140" s="163">
        <v>1.0583748666053763</v>
      </c>
      <c r="M140" s="163">
        <v>1.0617137570045738</v>
      </c>
      <c r="N140" s="163">
        <v>1.0649785166114154</v>
      </c>
      <c r="O140" s="163">
        <v>1.0682763341991497</v>
      </c>
      <c r="P140" s="163">
        <v>1.0678559880461436</v>
      </c>
      <c r="Q140" s="163">
        <v>1.0676236371915093</v>
      </c>
      <c r="R140" s="163">
        <v>1.0675244883938595</v>
      </c>
      <c r="S140" s="163">
        <v>1.0673780753839694</v>
      </c>
      <c r="T140" s="163">
        <v>1.0672032457629228</v>
      </c>
      <c r="U140" s="163">
        <v>1.0671277635378325</v>
      </c>
      <c r="V140" s="163">
        <v>1.0670187884720399</v>
      </c>
      <c r="W140" s="163">
        <v>1.0668953016134279</v>
      </c>
      <c r="X140" s="163">
        <v>1.0667883335841215</v>
      </c>
      <c r="Y140" s="163">
        <v>1.0666708455980662</v>
      </c>
      <c r="Z140" s="163">
        <v>1.0664990136880244</v>
      </c>
      <c r="AA140" s="163">
        <v>1.0664534295515584</v>
      </c>
      <c r="AB140" s="163">
        <v>1.066361066910881</v>
      </c>
      <c r="AC140" s="198">
        <f t="shared" si="169"/>
        <v>1.066361066910881</v>
      </c>
      <c r="AD140" s="198">
        <f t="shared" si="169"/>
        <v>1.066361066910881</v>
      </c>
      <c r="AE140" s="198">
        <f t="shared" si="169"/>
        <v>1.066361066910881</v>
      </c>
      <c r="AF140" s="198">
        <f t="shared" si="169"/>
        <v>1.066361066910881</v>
      </c>
      <c r="AG140" s="199">
        <f t="shared" si="169"/>
        <v>1.066361066910881</v>
      </c>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row>
    <row r="141" spans="2:57" ht="15.75" customHeight="1" x14ac:dyDescent="0.25">
      <c r="B141" s="82" t="s">
        <v>66</v>
      </c>
      <c r="C141" s="156" t="s">
        <v>536</v>
      </c>
      <c r="D141" s="117"/>
      <c r="E141" s="163">
        <v>1.0029999999999999</v>
      </c>
      <c r="F141" s="164">
        <v>1.0043900717435716</v>
      </c>
      <c r="G141" s="163">
        <v>1.0107809681092486</v>
      </c>
      <c r="H141" s="163">
        <v>1.0141227951096612</v>
      </c>
      <c r="I141" s="163">
        <v>1.0174866914195122</v>
      </c>
      <c r="J141" s="163">
        <v>1.0207210520138195</v>
      </c>
      <c r="K141" s="163">
        <v>1.0241162519205138</v>
      </c>
      <c r="L141" s="163">
        <v>1.0276098806114939</v>
      </c>
      <c r="M141" s="163">
        <v>1.0309423229313912</v>
      </c>
      <c r="N141" s="163">
        <v>1.0342180819906894</v>
      </c>
      <c r="O141" s="163">
        <v>1.0372214324758142</v>
      </c>
      <c r="P141" s="163">
        <v>1.0372958463111188</v>
      </c>
      <c r="Q141" s="163">
        <v>1.0371335693131523</v>
      </c>
      <c r="R141" s="163">
        <v>1.0370184315602766</v>
      </c>
      <c r="S141" s="163">
        <v>1.0369048633239817</v>
      </c>
      <c r="T141" s="163">
        <v>1.0367953204674263</v>
      </c>
      <c r="U141" s="163">
        <v>1.0367434514730132</v>
      </c>
      <c r="V141" s="163">
        <v>1.0367390124396318</v>
      </c>
      <c r="W141" s="163">
        <v>1.0367097427116827</v>
      </c>
      <c r="X141" s="163">
        <v>1.0366893532036483</v>
      </c>
      <c r="Y141" s="163">
        <v>1.0367270039043066</v>
      </c>
      <c r="Z141" s="163">
        <v>1.036733262779884</v>
      </c>
      <c r="AA141" s="163">
        <v>1.036832642561798</v>
      </c>
      <c r="AB141" s="163">
        <v>1.036866259862157</v>
      </c>
      <c r="AC141" s="198">
        <f t="shared" si="169"/>
        <v>1.036866259862157</v>
      </c>
      <c r="AD141" s="198">
        <f t="shared" si="169"/>
        <v>1.036866259862157</v>
      </c>
      <c r="AE141" s="198">
        <f t="shared" si="169"/>
        <v>1.036866259862157</v>
      </c>
      <c r="AF141" s="198">
        <f t="shared" si="169"/>
        <v>1.036866259862157</v>
      </c>
      <c r="AG141" s="199">
        <f t="shared" si="169"/>
        <v>1.036866259862157</v>
      </c>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row>
    <row r="142" spans="2:57" ht="15.75" customHeight="1" x14ac:dyDescent="0.25">
      <c r="B142" s="82" t="s">
        <v>70</v>
      </c>
      <c r="C142" s="156" t="s">
        <v>537</v>
      </c>
      <c r="D142" s="117"/>
      <c r="E142" s="163">
        <v>1.0369999999999999</v>
      </c>
      <c r="F142" s="164">
        <v>1.0363010753587818</v>
      </c>
      <c r="G142" s="163">
        <v>1.0425094353437341</v>
      </c>
      <c r="H142" s="163">
        <v>1.0467448783260638</v>
      </c>
      <c r="I142" s="163">
        <v>1.0509561342596461</v>
      </c>
      <c r="J142" s="163">
        <v>1.0439678854085188</v>
      </c>
      <c r="K142" s="163">
        <v>1.0480128346956112</v>
      </c>
      <c r="L142" s="163">
        <v>1.0522219054326221</v>
      </c>
      <c r="M142" s="163">
        <v>1.0561154898483951</v>
      </c>
      <c r="N142" s="163">
        <v>1.0599317034701936</v>
      </c>
      <c r="O142" s="163">
        <v>1.0635091438318174</v>
      </c>
      <c r="P142" s="163">
        <v>1.0630824371380723</v>
      </c>
      <c r="Q142" s="163">
        <v>1.0628209805099174</v>
      </c>
      <c r="R142" s="163">
        <v>1.0625499551603121</v>
      </c>
      <c r="S142" s="163">
        <v>1.0622654524880362</v>
      </c>
      <c r="T142" s="163">
        <v>1.0620111006289827</v>
      </c>
      <c r="U142" s="163">
        <v>1.0616786213196459</v>
      </c>
      <c r="V142" s="163">
        <v>1.0614265590859679</v>
      </c>
      <c r="W142" s="163">
        <v>1.0611356773411498</v>
      </c>
      <c r="X142" s="163">
        <v>1.0608534570539909</v>
      </c>
      <c r="Y142" s="163">
        <v>1.0604824375508368</v>
      </c>
      <c r="Z142" s="163">
        <v>1.0602902100091383</v>
      </c>
      <c r="AA142" s="163">
        <v>1.060037673344953</v>
      </c>
      <c r="AB142" s="163">
        <v>1.0597952052643764</v>
      </c>
      <c r="AC142" s="198">
        <f t="shared" si="169"/>
        <v>1.0597952052643764</v>
      </c>
      <c r="AD142" s="198">
        <f t="shared" si="169"/>
        <v>1.0597952052643764</v>
      </c>
      <c r="AE142" s="198">
        <f t="shared" si="169"/>
        <v>1.0597952052643764</v>
      </c>
      <c r="AF142" s="198">
        <f t="shared" si="169"/>
        <v>1.0597952052643764</v>
      </c>
      <c r="AG142" s="199">
        <f t="shared" si="169"/>
        <v>1.0597952052643764</v>
      </c>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row>
    <row r="143" spans="2:57" ht="15.75" customHeight="1" x14ac:dyDescent="0.25">
      <c r="B143" s="82" t="s">
        <v>67</v>
      </c>
      <c r="C143" s="156" t="s">
        <v>538</v>
      </c>
      <c r="D143" s="117"/>
      <c r="E143" s="163">
        <v>1.002</v>
      </c>
      <c r="F143" s="164">
        <v>1.0095924986063085</v>
      </c>
      <c r="G143" s="163">
        <v>1.0241617744806732</v>
      </c>
      <c r="H143" s="163">
        <v>1.033263393508242</v>
      </c>
      <c r="I143" s="163">
        <v>1.0423042359415293</v>
      </c>
      <c r="J143" s="163">
        <v>1.051613497913878</v>
      </c>
      <c r="K143" s="163">
        <v>1.055603382197891</v>
      </c>
      <c r="L143" s="163">
        <v>1.0601927424512427</v>
      </c>
      <c r="M143" s="163">
        <v>1.0674848431415056</v>
      </c>
      <c r="N143" s="163">
        <v>1.0745829470585735</v>
      </c>
      <c r="O143" s="163">
        <v>1.0816548314352705</v>
      </c>
      <c r="P143" s="163">
        <v>1.0750697446399564</v>
      </c>
      <c r="Q143" s="163">
        <v>1.0743652593268458</v>
      </c>
      <c r="R143" s="163">
        <v>1.0738331059897765</v>
      </c>
      <c r="S143" s="163">
        <v>1.0731197418132776</v>
      </c>
      <c r="T143" s="163">
        <v>1.072484543374169</v>
      </c>
      <c r="U143" s="163">
        <v>1.071801323507013</v>
      </c>
      <c r="V143" s="163">
        <v>1.0710695267149297</v>
      </c>
      <c r="W143" s="163">
        <v>1.0704757267860521</v>
      </c>
      <c r="X143" s="163">
        <v>1.0699584268631814</v>
      </c>
      <c r="Y143" s="163">
        <v>1.0694687624921648</v>
      </c>
      <c r="Z143" s="163">
        <v>1.0686860705372392</v>
      </c>
      <c r="AA143" s="163">
        <v>1.0679254623710255</v>
      </c>
      <c r="AB143" s="163">
        <v>1.0672941167073831</v>
      </c>
      <c r="AC143" s="198">
        <f t="shared" si="169"/>
        <v>1.0672941167073831</v>
      </c>
      <c r="AD143" s="198">
        <f t="shared" si="169"/>
        <v>1.0672941167073831</v>
      </c>
      <c r="AE143" s="198">
        <f t="shared" si="169"/>
        <v>1.0672941167073831</v>
      </c>
      <c r="AF143" s="198">
        <f t="shared" si="169"/>
        <v>1.0672941167073831</v>
      </c>
      <c r="AG143" s="199">
        <f t="shared" si="169"/>
        <v>1.0672941167073831</v>
      </c>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row>
    <row r="144" spans="2:57" ht="15.75" customHeight="1" x14ac:dyDescent="0.25">
      <c r="B144" s="82" t="s">
        <v>71</v>
      </c>
      <c r="C144" s="156" t="s">
        <v>539</v>
      </c>
      <c r="D144" s="117"/>
      <c r="E144" s="163">
        <v>1.002</v>
      </c>
      <c r="F144" s="164">
        <v>1.0101228415754648</v>
      </c>
      <c r="G144" s="163">
        <v>1.0250480532085293</v>
      </c>
      <c r="H144" s="163">
        <v>1.0345571676449212</v>
      </c>
      <c r="I144" s="163">
        <v>1.0438627004808159</v>
      </c>
      <c r="J144" s="163">
        <v>1.0532530842326191</v>
      </c>
      <c r="K144" s="163">
        <v>1.0629382584975926</v>
      </c>
      <c r="L144" s="163">
        <v>1.0644922210540197</v>
      </c>
      <c r="M144" s="163">
        <v>1.0671709720387772</v>
      </c>
      <c r="N144" s="163">
        <v>1.0741793184446742</v>
      </c>
      <c r="O144" s="163">
        <v>1.0812706190592296</v>
      </c>
      <c r="P144" s="163">
        <v>1.0809759853739331</v>
      </c>
      <c r="Q144" s="163">
        <v>1.0801181937876656</v>
      </c>
      <c r="R144" s="163">
        <v>1.0793741377873334</v>
      </c>
      <c r="S144" s="163">
        <v>1.0786512273231346</v>
      </c>
      <c r="T144" s="163">
        <v>1.0778801879713518</v>
      </c>
      <c r="U144" s="163">
        <v>1.0769937250566757</v>
      </c>
      <c r="V144" s="163">
        <v>1.0763306648390596</v>
      </c>
      <c r="W144" s="163">
        <v>1.0757371291784621</v>
      </c>
      <c r="X144" s="163">
        <v>1.0749721278997024</v>
      </c>
      <c r="Y144" s="163">
        <v>1.0742378831131632</v>
      </c>
      <c r="Z144" s="163">
        <v>1.07361843784444</v>
      </c>
      <c r="AA144" s="163">
        <v>1.0728395636716703</v>
      </c>
      <c r="AB144" s="163">
        <v>1.0722793644154174</v>
      </c>
      <c r="AC144" s="198">
        <f t="shared" si="169"/>
        <v>1.0722793644154174</v>
      </c>
      <c r="AD144" s="198">
        <f t="shared" si="169"/>
        <v>1.0722793644154174</v>
      </c>
      <c r="AE144" s="198">
        <f t="shared" si="169"/>
        <v>1.0722793644154174</v>
      </c>
      <c r="AF144" s="198">
        <f t="shared" si="169"/>
        <v>1.0722793644154174</v>
      </c>
      <c r="AG144" s="199">
        <f t="shared" si="169"/>
        <v>1.0722793644154174</v>
      </c>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row>
    <row r="145" spans="2:57" ht="15.75" customHeight="1" x14ac:dyDescent="0.25">
      <c r="B145" s="82" t="s">
        <v>104</v>
      </c>
      <c r="C145" s="156" t="s">
        <v>28</v>
      </c>
      <c r="D145" s="117"/>
      <c r="E145" s="163">
        <v>1.0091461556831869</v>
      </c>
      <c r="F145" s="164">
        <v>1.0195704670115313</v>
      </c>
      <c r="G145" s="163">
        <v>1.0247033184706995</v>
      </c>
      <c r="H145" s="163">
        <v>1.0289297171513159</v>
      </c>
      <c r="I145" s="163">
        <v>1.0329807474744732</v>
      </c>
      <c r="J145" s="163">
        <v>1.0355599703338634</v>
      </c>
      <c r="K145" s="163">
        <v>1.0398607845495795</v>
      </c>
      <c r="L145" s="163">
        <v>1.0431496822599227</v>
      </c>
      <c r="M145" s="163">
        <v>1.0468790998019357</v>
      </c>
      <c r="N145" s="163">
        <v>1.0506166223875038</v>
      </c>
      <c r="O145" s="163">
        <v>1.054222275925224</v>
      </c>
      <c r="P145" s="163">
        <v>1.0541843677733012</v>
      </c>
      <c r="Q145" s="163">
        <v>1.054139529619238</v>
      </c>
      <c r="R145" s="163">
        <v>1.0542258335387751</v>
      </c>
      <c r="S145" s="163">
        <v>1.054141056154678</v>
      </c>
      <c r="T145" s="163">
        <v>1.0541958227344028</v>
      </c>
      <c r="U145" s="163">
        <v>1.0541119297947825</v>
      </c>
      <c r="V145" s="163">
        <v>1.0540035245860682</v>
      </c>
      <c r="W145" s="163">
        <v>1.0540108519836096</v>
      </c>
      <c r="X145" s="163">
        <v>1.0540616867497641</v>
      </c>
      <c r="Y145" s="163">
        <v>1.0540172790665707</v>
      </c>
      <c r="Z145" s="163">
        <v>1.0540520139700809</v>
      </c>
      <c r="AA145" s="163">
        <v>1.0540611526695851</v>
      </c>
      <c r="AB145" s="163">
        <v>1.0540872398365739</v>
      </c>
      <c r="AC145" s="198">
        <f t="shared" si="169"/>
        <v>1.0540872398365739</v>
      </c>
      <c r="AD145" s="198">
        <f t="shared" si="169"/>
        <v>1.0540872398365739</v>
      </c>
      <c r="AE145" s="198">
        <f t="shared" si="169"/>
        <v>1.0540872398365739</v>
      </c>
      <c r="AF145" s="198">
        <f t="shared" si="169"/>
        <v>1.0540872398365739</v>
      </c>
      <c r="AG145" s="199">
        <f t="shared" si="169"/>
        <v>1.0540872398365739</v>
      </c>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row>
    <row r="146" spans="2:57" ht="15.75" customHeight="1" x14ac:dyDescent="0.25">
      <c r="B146" s="82" t="s">
        <v>109</v>
      </c>
      <c r="C146" s="156" t="s">
        <v>29</v>
      </c>
      <c r="D146" s="117"/>
      <c r="E146" s="163">
        <v>1.0154982333506717</v>
      </c>
      <c r="F146" s="164">
        <v>1.0107140560818586</v>
      </c>
      <c r="G146" s="163">
        <v>1.0163849282968851</v>
      </c>
      <c r="H146" s="163">
        <v>1.020503582797277</v>
      </c>
      <c r="I146" s="163">
        <v>1.026536031685751</v>
      </c>
      <c r="J146" s="163">
        <v>1.0299295379617144</v>
      </c>
      <c r="K146" s="163">
        <v>1.0326924122051711</v>
      </c>
      <c r="L146" s="163">
        <v>1.0370973006505351</v>
      </c>
      <c r="M146" s="163">
        <v>1.0408768282824794</v>
      </c>
      <c r="N146" s="163">
        <v>1.0442765429243013</v>
      </c>
      <c r="O146" s="163">
        <v>1.0478322344909661</v>
      </c>
      <c r="P146" s="163">
        <v>1.0477320236701249</v>
      </c>
      <c r="Q146" s="163">
        <v>1.0480892199400462</v>
      </c>
      <c r="R146" s="163">
        <v>1.0487872315313527</v>
      </c>
      <c r="S146" s="163">
        <v>1.0488208550223348</v>
      </c>
      <c r="T146" s="163">
        <v>1.0487719894042451</v>
      </c>
      <c r="U146" s="163">
        <v>1.0487697447662443</v>
      </c>
      <c r="V146" s="163">
        <v>1.0487667872885966</v>
      </c>
      <c r="W146" s="163">
        <v>1.0487412486855794</v>
      </c>
      <c r="X146" s="163">
        <v>1.0488153732316865</v>
      </c>
      <c r="Y146" s="163">
        <v>1.0487886736229255</v>
      </c>
      <c r="Z146" s="163">
        <v>1.0486989807152971</v>
      </c>
      <c r="AA146" s="163">
        <v>1.0487660313602503</v>
      </c>
      <c r="AB146" s="163">
        <v>1.04886196804553</v>
      </c>
      <c r="AC146" s="198">
        <f t="shared" si="169"/>
        <v>1.04886196804553</v>
      </c>
      <c r="AD146" s="198">
        <f t="shared" si="169"/>
        <v>1.04886196804553</v>
      </c>
      <c r="AE146" s="198">
        <f t="shared" si="169"/>
        <v>1.04886196804553</v>
      </c>
      <c r="AF146" s="198">
        <f t="shared" si="169"/>
        <v>1.04886196804553</v>
      </c>
      <c r="AG146" s="199">
        <f t="shared" si="169"/>
        <v>1.04886196804553</v>
      </c>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row>
    <row r="147" spans="2:57" ht="15.75" customHeight="1" x14ac:dyDescent="0.25">
      <c r="B147" s="82" t="s">
        <v>115</v>
      </c>
      <c r="C147" s="156" t="s">
        <v>540</v>
      </c>
      <c r="D147" s="117"/>
      <c r="E147" s="163">
        <v>1.0069999999999999</v>
      </c>
      <c r="F147" s="164">
        <v>1.0065568990414302</v>
      </c>
      <c r="G147" s="163">
        <v>1.0160999950863101</v>
      </c>
      <c r="H147" s="163">
        <v>1.021821498209522</v>
      </c>
      <c r="I147" s="163">
        <v>1.0278943819143522</v>
      </c>
      <c r="J147" s="163">
        <v>1.0341595540080553</v>
      </c>
      <c r="K147" s="163">
        <v>1.0404299101474206</v>
      </c>
      <c r="L147" s="163">
        <v>1.0424733054224078</v>
      </c>
      <c r="M147" s="163">
        <v>1.0479670791401752</v>
      </c>
      <c r="N147" s="163">
        <v>1.0536391744479556</v>
      </c>
      <c r="O147" s="163">
        <v>1.0592875942556601</v>
      </c>
      <c r="P147" s="163">
        <v>1.0593666433596816</v>
      </c>
      <c r="Q147" s="163">
        <v>1.0590470902605829</v>
      </c>
      <c r="R147" s="163">
        <v>1.058806444716206</v>
      </c>
      <c r="S147" s="163">
        <v>1.0586330180073511</v>
      </c>
      <c r="T147" s="163">
        <v>1.0584449659944051</v>
      </c>
      <c r="U147" s="163">
        <v>1.0583349679144434</v>
      </c>
      <c r="V147" s="163">
        <v>1.0582090357358078</v>
      </c>
      <c r="W147" s="163">
        <v>1.0581322198072869</v>
      </c>
      <c r="X147" s="163">
        <v>1.0581347618770738</v>
      </c>
      <c r="Y147" s="163">
        <v>1.0580873887906097</v>
      </c>
      <c r="Z147" s="163">
        <v>1.058077112799318</v>
      </c>
      <c r="AA147" s="163">
        <v>1.0579312512318102</v>
      </c>
      <c r="AB147" s="163">
        <v>1.0578205030870029</v>
      </c>
      <c r="AC147" s="198">
        <f t="shared" si="169"/>
        <v>1.0578205030870029</v>
      </c>
      <c r="AD147" s="198">
        <f t="shared" si="169"/>
        <v>1.0578205030870029</v>
      </c>
      <c r="AE147" s="198">
        <f t="shared" si="169"/>
        <v>1.0578205030870029</v>
      </c>
      <c r="AF147" s="198">
        <f t="shared" si="169"/>
        <v>1.0578205030870029</v>
      </c>
      <c r="AG147" s="199">
        <f t="shared" si="169"/>
        <v>1.0578205030870029</v>
      </c>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row>
    <row r="148" spans="2:57" ht="15.75" customHeight="1" x14ac:dyDescent="0.25">
      <c r="B148" s="82" t="s">
        <v>530</v>
      </c>
      <c r="C148" s="156" t="s">
        <v>541</v>
      </c>
      <c r="D148" s="117"/>
      <c r="E148" s="163">
        <v>1.0069999999999999</v>
      </c>
      <c r="F148" s="164">
        <v>1.0094317118264753</v>
      </c>
      <c r="G148" s="163">
        <v>1.0217437419185633</v>
      </c>
      <c r="H148" s="163">
        <v>1.0310478989547451</v>
      </c>
      <c r="I148" s="163">
        <v>1.0403051660230873</v>
      </c>
      <c r="J148" s="163">
        <v>1.0492594087041927</v>
      </c>
      <c r="K148" s="163">
        <v>1.0583488264180079</v>
      </c>
      <c r="L148" s="163">
        <v>1.0522509743729365</v>
      </c>
      <c r="M148" s="163">
        <v>1.059170478627659</v>
      </c>
      <c r="N148" s="163">
        <v>1.0660999842281624</v>
      </c>
      <c r="O148" s="163">
        <v>1.0731050356076761</v>
      </c>
      <c r="P148" s="163">
        <v>1.0728221889922449</v>
      </c>
      <c r="Q148" s="163">
        <v>1.0725297249033603</v>
      </c>
      <c r="R148" s="163">
        <v>1.0724318084436326</v>
      </c>
      <c r="S148" s="163">
        <v>1.0723715324227594</v>
      </c>
      <c r="T148" s="163">
        <v>1.0722754920504713</v>
      </c>
      <c r="U148" s="163">
        <v>1.0724754927121227</v>
      </c>
      <c r="V148" s="163">
        <v>1.072353486091927</v>
      </c>
      <c r="W148" s="163">
        <v>1.0723772446525408</v>
      </c>
      <c r="X148" s="163">
        <v>1.072316593529262</v>
      </c>
      <c r="Y148" s="163">
        <v>1.0723682513262549</v>
      </c>
      <c r="Z148" s="163">
        <v>1.0723591958249821</v>
      </c>
      <c r="AA148" s="163">
        <v>1.0721414919176164</v>
      </c>
      <c r="AB148" s="163">
        <v>1.072138394761986</v>
      </c>
      <c r="AC148" s="198">
        <f t="shared" si="169"/>
        <v>1.072138394761986</v>
      </c>
      <c r="AD148" s="198">
        <f t="shared" si="169"/>
        <v>1.072138394761986</v>
      </c>
      <c r="AE148" s="198">
        <f t="shared" si="169"/>
        <v>1.072138394761986</v>
      </c>
      <c r="AF148" s="198">
        <f t="shared" si="169"/>
        <v>1.072138394761986</v>
      </c>
      <c r="AG148" s="199">
        <f t="shared" si="169"/>
        <v>1.072138394761986</v>
      </c>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row>
    <row r="149" spans="2:57" ht="15.75" customHeight="1" x14ac:dyDescent="0.25">
      <c r="B149" s="82" t="s">
        <v>72</v>
      </c>
      <c r="C149" s="156" t="s">
        <v>542</v>
      </c>
      <c r="D149" s="117"/>
      <c r="E149" s="163">
        <v>1.014</v>
      </c>
      <c r="F149" s="164">
        <v>1.0227516848920704</v>
      </c>
      <c r="G149" s="163">
        <v>1.031510729764114</v>
      </c>
      <c r="H149" s="163">
        <v>1.0402878264407376</v>
      </c>
      <c r="I149" s="163">
        <v>1.0490899041792023</v>
      </c>
      <c r="J149" s="163">
        <v>1.0578833003417412</v>
      </c>
      <c r="K149" s="163">
        <v>1.0667172550102071</v>
      </c>
      <c r="L149" s="163">
        <v>1.0756188858339524</v>
      </c>
      <c r="M149" s="163">
        <v>1.0845543393907238</v>
      </c>
      <c r="N149" s="163">
        <v>1.0932840627975908</v>
      </c>
      <c r="O149" s="163">
        <v>1.10208967330258</v>
      </c>
      <c r="P149" s="163">
        <v>1.1022689415133753</v>
      </c>
      <c r="Q149" s="163">
        <v>1.1021669671957535</v>
      </c>
      <c r="R149" s="163">
        <v>1.1021131955071992</v>
      </c>
      <c r="S149" s="163">
        <v>1.1022764963023428</v>
      </c>
      <c r="T149" s="163">
        <v>1.1025468616617207</v>
      </c>
      <c r="U149" s="163">
        <v>1.1025895861465291</v>
      </c>
      <c r="V149" s="163">
        <v>1.1025168154047642</v>
      </c>
      <c r="W149" s="163">
        <v>1.1026794271175324</v>
      </c>
      <c r="X149" s="163">
        <v>1.102911469021886</v>
      </c>
      <c r="Y149" s="163">
        <v>1.1026473981722951</v>
      </c>
      <c r="Z149" s="163">
        <v>1.1026889838718807</v>
      </c>
      <c r="AA149" s="163">
        <v>1.1026122811873065</v>
      </c>
      <c r="AB149" s="163">
        <v>1.1026486497446069</v>
      </c>
      <c r="AC149" s="198">
        <f t="shared" si="169"/>
        <v>1.1026486497446069</v>
      </c>
      <c r="AD149" s="198">
        <f t="shared" si="169"/>
        <v>1.1026486497446069</v>
      </c>
      <c r="AE149" s="198">
        <f t="shared" si="169"/>
        <v>1.1026486497446069</v>
      </c>
      <c r="AF149" s="198">
        <f t="shared" si="169"/>
        <v>1.1026486497446069</v>
      </c>
      <c r="AG149" s="199">
        <f t="shared" si="169"/>
        <v>1.1026486497446069</v>
      </c>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row>
    <row r="150" spans="2:57" ht="15.75" customHeight="1" x14ac:dyDescent="0.25">
      <c r="B150" s="82" t="s">
        <v>108</v>
      </c>
      <c r="C150" s="165" t="s">
        <v>543</v>
      </c>
      <c r="D150" s="117"/>
      <c r="E150" s="163">
        <v>1.014</v>
      </c>
      <c r="F150" s="164">
        <v>1.022415972233359</v>
      </c>
      <c r="G150" s="163">
        <v>1.0308287887708434</v>
      </c>
      <c r="H150" s="163">
        <v>1.0392793962078506</v>
      </c>
      <c r="I150" s="163">
        <v>1.0478026596108261</v>
      </c>
      <c r="J150" s="163">
        <v>1.0562254624679455</v>
      </c>
      <c r="K150" s="163">
        <v>1.0646411039376484</v>
      </c>
      <c r="L150" s="163">
        <v>1.073083889549763</v>
      </c>
      <c r="M150" s="163">
        <v>1.0814645795913254</v>
      </c>
      <c r="N150" s="163">
        <v>1.089849600188713</v>
      </c>
      <c r="O150" s="163">
        <v>1.0981444473679811</v>
      </c>
      <c r="P150" s="163">
        <v>1.0983205462882379</v>
      </c>
      <c r="Q150" s="163">
        <v>1.0982640661631355</v>
      </c>
      <c r="R150" s="163">
        <v>1.0983151122466113</v>
      </c>
      <c r="S150" s="163">
        <v>1.0982299785862422</v>
      </c>
      <c r="T150" s="163">
        <v>1.0986041262628827</v>
      </c>
      <c r="U150" s="163">
        <v>1.098637365435118</v>
      </c>
      <c r="V150" s="163">
        <v>1.0986805271290794</v>
      </c>
      <c r="W150" s="163">
        <v>1.098782030819645</v>
      </c>
      <c r="X150" s="163">
        <v>1.0988241439247342</v>
      </c>
      <c r="Y150" s="163">
        <v>1.0988181244432427</v>
      </c>
      <c r="Z150" s="163">
        <v>1.0987399079154641</v>
      </c>
      <c r="AA150" s="163">
        <v>1.0987723533777285</v>
      </c>
      <c r="AB150" s="163">
        <v>1.0989336664470881</v>
      </c>
      <c r="AC150" s="198">
        <f t="shared" si="169"/>
        <v>1.0989336664470881</v>
      </c>
      <c r="AD150" s="198">
        <f t="shared" si="169"/>
        <v>1.0989336664470881</v>
      </c>
      <c r="AE150" s="198">
        <f t="shared" si="169"/>
        <v>1.0989336664470881</v>
      </c>
      <c r="AF150" s="198">
        <f t="shared" si="169"/>
        <v>1.0989336664470881</v>
      </c>
      <c r="AG150" s="199">
        <f t="shared" si="169"/>
        <v>1.0989336664470881</v>
      </c>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row>
    <row r="151" spans="2:57" ht="15.75" customHeight="1" thickBot="1" x14ac:dyDescent="0.3">
      <c r="B151" s="82" t="s">
        <v>531</v>
      </c>
      <c r="C151" s="166" t="s">
        <v>31</v>
      </c>
      <c r="D151" s="167"/>
      <c r="E151" s="170">
        <v>1.014</v>
      </c>
      <c r="F151" s="171">
        <v>1.0225353087953186</v>
      </c>
      <c r="G151" s="170">
        <v>1.0310922900839308</v>
      </c>
      <c r="H151" s="170">
        <v>1.039591998544777</v>
      </c>
      <c r="I151" s="170">
        <v>1.0481531910936848</v>
      </c>
      <c r="J151" s="170">
        <v>1.0567507334883828</v>
      </c>
      <c r="K151" s="170">
        <v>1.0653687097020161</v>
      </c>
      <c r="L151" s="170">
        <v>1.0740212210570244</v>
      </c>
      <c r="M151" s="170">
        <v>1.0826273923144618</v>
      </c>
      <c r="N151" s="170">
        <v>1.091094465289471</v>
      </c>
      <c r="O151" s="170">
        <v>1.0997321297049623</v>
      </c>
      <c r="P151" s="170">
        <v>1.0997140019725185</v>
      </c>
      <c r="Q151" s="170">
        <v>1.0997689784044777</v>
      </c>
      <c r="R151" s="170">
        <v>1.0998006849634123</v>
      </c>
      <c r="S151" s="170">
        <v>1.0998873588617029</v>
      </c>
      <c r="T151" s="170">
        <v>1.1000258569281263</v>
      </c>
      <c r="U151" s="170">
        <v>1.1002223700947791</v>
      </c>
      <c r="V151" s="170">
        <v>1.1003852889913555</v>
      </c>
      <c r="W151" s="170">
        <v>1.1003039674756165</v>
      </c>
      <c r="X151" s="170">
        <v>1.1003381042906279</v>
      </c>
      <c r="Y151" s="170">
        <v>1.1004421495287822</v>
      </c>
      <c r="Z151" s="170">
        <v>1.1003731748258818</v>
      </c>
      <c r="AA151" s="170">
        <v>1.1005408480413013</v>
      </c>
      <c r="AB151" s="170">
        <v>1.1008680581836245</v>
      </c>
      <c r="AC151" s="200">
        <f t="shared" si="169"/>
        <v>1.1008680581836245</v>
      </c>
      <c r="AD151" s="200">
        <f t="shared" si="169"/>
        <v>1.1008680581836245</v>
      </c>
      <c r="AE151" s="200">
        <f t="shared" si="169"/>
        <v>1.1008680581836245</v>
      </c>
      <c r="AF151" s="200">
        <f t="shared" si="169"/>
        <v>1.1008680581836245</v>
      </c>
      <c r="AG151" s="201">
        <f t="shared" si="169"/>
        <v>1.1008680581836245</v>
      </c>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row>
    <row r="152" spans="2:57" ht="15.75" customHeight="1" x14ac:dyDescent="0.25">
      <c r="B152" s="28"/>
      <c r="C152" s="106"/>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row>
    <row r="153" spans="2:57" ht="15.75" customHeight="1" x14ac:dyDescent="0.25">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row>
    <row r="154" spans="2:57" ht="15.75" customHeight="1" x14ac:dyDescent="0.25">
      <c r="B154" s="28"/>
      <c r="C154" s="28"/>
      <c r="D154" s="28"/>
      <c r="E154" s="28"/>
      <c r="F154" s="202"/>
      <c r="G154" s="202"/>
      <c r="H154" s="202"/>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row>
    <row r="155" spans="2:57" ht="15.75" customHeight="1" x14ac:dyDescent="0.25">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row>
    <row r="156" spans="2:57" ht="15.75" customHeight="1" x14ac:dyDescent="0.25">
      <c r="B156" s="203"/>
      <c r="C156" s="203"/>
      <c r="D156" s="28"/>
      <c r="E156" s="204"/>
      <c r="F156" s="205"/>
      <c r="G156" s="205"/>
      <c r="H156" s="205"/>
      <c r="I156" s="205"/>
      <c r="J156" s="205"/>
      <c r="K156" s="205"/>
      <c r="L156" s="205"/>
      <c r="M156" s="205"/>
      <c r="N156" s="205"/>
      <c r="O156" s="205"/>
      <c r="P156" s="205"/>
      <c r="Q156" s="205"/>
      <c r="R156" s="205"/>
      <c r="S156" s="205"/>
      <c r="T156" s="205"/>
      <c r="U156" s="205"/>
      <c r="V156" s="205"/>
      <c r="W156" s="205"/>
      <c r="X156" s="205"/>
      <c r="Y156" s="205"/>
      <c r="Z156" s="205"/>
      <c r="AA156" s="205"/>
      <c r="AB156" s="205"/>
      <c r="AC156" s="205"/>
      <c r="AD156" s="205"/>
      <c r="AE156" s="205"/>
      <c r="AF156" s="205"/>
      <c r="AG156" s="205"/>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row>
    <row r="157" spans="2:57" ht="15.75" customHeight="1" x14ac:dyDescent="0.25">
      <c r="B157" s="206"/>
      <c r="C157" s="207"/>
      <c r="D157" s="28"/>
      <c r="E157" s="208"/>
      <c r="F157" s="209"/>
      <c r="G157" s="209"/>
      <c r="H157" s="209"/>
      <c r="I157" s="209"/>
      <c r="J157" s="209"/>
      <c r="K157" s="209"/>
      <c r="L157" s="209"/>
      <c r="M157" s="209"/>
      <c r="N157" s="209"/>
      <c r="O157" s="209"/>
      <c r="P157" s="209"/>
      <c r="Q157" s="209"/>
      <c r="R157" s="209"/>
      <c r="S157" s="209"/>
      <c r="T157" s="209"/>
      <c r="U157" s="209"/>
      <c r="V157" s="209"/>
      <c r="W157" s="209"/>
      <c r="X157" s="209"/>
      <c r="Y157" s="209"/>
      <c r="Z157" s="209"/>
      <c r="AA157" s="209"/>
      <c r="AB157" s="209"/>
      <c r="AC157" s="209"/>
      <c r="AD157" s="209"/>
      <c r="AE157" s="209"/>
      <c r="AF157" s="209"/>
      <c r="AG157" s="209"/>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row>
    <row r="158" spans="2:57" ht="15.75" customHeight="1" x14ac:dyDescent="0.25">
      <c r="B158" s="206"/>
      <c r="C158" s="207"/>
      <c r="D158" s="28"/>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row>
    <row r="159" spans="2:57" ht="15.75" customHeight="1" x14ac:dyDescent="0.25">
      <c r="B159" s="206"/>
      <c r="C159" s="207"/>
      <c r="D159" s="28"/>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row>
    <row r="160" spans="2:57" ht="15.75" customHeight="1" x14ac:dyDescent="0.25">
      <c r="B160" s="206"/>
      <c r="C160" s="207"/>
      <c r="D160" s="28"/>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row>
    <row r="161" spans="2:57" ht="15.75" customHeight="1" x14ac:dyDescent="0.25">
      <c r="B161" s="206"/>
      <c r="C161" s="207"/>
      <c r="D161" s="28"/>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row>
    <row r="162" spans="2:57" ht="15.75" customHeight="1" x14ac:dyDescent="0.25">
      <c r="B162" s="206"/>
      <c r="C162" s="207"/>
      <c r="D162" s="28"/>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row>
    <row r="163" spans="2:57" ht="15.75" customHeight="1" x14ac:dyDescent="0.3">
      <c r="B163" s="206"/>
      <c r="C163" s="207"/>
      <c r="D163" s="28"/>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I163" s="28"/>
      <c r="AJ163" s="28"/>
      <c r="AK163" s="172"/>
      <c r="AL163" s="173"/>
      <c r="AM163" s="57"/>
      <c r="AN163" s="57"/>
      <c r="AO163" s="57"/>
      <c r="AP163" s="174"/>
      <c r="AQ163" s="174"/>
      <c r="AR163" s="174"/>
      <c r="AS163" s="174"/>
      <c r="AT163" s="174"/>
      <c r="AU163" s="174"/>
      <c r="AV163" s="174"/>
      <c r="AW163" s="174"/>
      <c r="AX163" s="174"/>
      <c r="AY163" s="174"/>
      <c r="AZ163" s="28"/>
      <c r="BA163" s="175"/>
      <c r="BB163" s="28"/>
      <c r="BC163" s="28"/>
      <c r="BD163" s="28"/>
      <c r="BE163" s="28"/>
    </row>
    <row r="164" spans="2:57" ht="15.75" customHeight="1" x14ac:dyDescent="0.3">
      <c r="B164" s="206"/>
      <c r="C164" s="207"/>
      <c r="D164" s="28"/>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I164" s="208"/>
      <c r="AJ164" s="28"/>
      <c r="AK164" s="172"/>
      <c r="AL164" s="173"/>
      <c r="AM164" s="174"/>
      <c r="AN164" s="174"/>
      <c r="AO164" s="174"/>
      <c r="AP164" s="174"/>
      <c r="AQ164" s="174"/>
      <c r="AR164" s="174"/>
      <c r="AS164" s="174"/>
      <c r="AT164" s="174"/>
      <c r="AU164" s="174"/>
      <c r="AV164" s="174"/>
      <c r="AW164" s="174"/>
      <c r="AX164" s="174"/>
      <c r="AY164" s="174"/>
      <c r="AZ164" s="175"/>
      <c r="BA164" s="175"/>
      <c r="BB164" s="28"/>
      <c r="BC164" s="28"/>
      <c r="BD164" s="28"/>
      <c r="BE164" s="28"/>
    </row>
    <row r="165" spans="2:57" ht="15.75" customHeight="1" x14ac:dyDescent="0.3">
      <c r="B165" s="206"/>
      <c r="C165" s="207"/>
      <c r="D165" s="28"/>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J165" s="28"/>
      <c r="AK165" s="172"/>
      <c r="AL165" s="173"/>
      <c r="AM165" s="174"/>
      <c r="AN165" s="174"/>
      <c r="AO165" s="174"/>
      <c r="AP165" s="174"/>
      <c r="AQ165" s="174"/>
      <c r="AR165" s="174"/>
      <c r="AS165" s="174"/>
      <c r="AT165" s="174"/>
      <c r="AU165" s="174"/>
      <c r="AV165" s="174"/>
      <c r="AW165" s="174"/>
      <c r="AX165" s="174"/>
      <c r="AY165" s="174"/>
      <c r="AZ165" s="174"/>
      <c r="BA165" s="175"/>
      <c r="BB165" s="28"/>
      <c r="BC165" s="28"/>
      <c r="BD165" s="28"/>
      <c r="BE165" s="28"/>
    </row>
    <row r="166" spans="2:57" ht="15.75" customHeight="1" x14ac:dyDescent="0.3">
      <c r="B166" s="206"/>
      <c r="C166" s="207"/>
      <c r="D166" s="28"/>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J166" s="28"/>
      <c r="AK166" s="172"/>
      <c r="AL166" s="173"/>
      <c r="AM166" s="174"/>
      <c r="AN166" s="174"/>
      <c r="AO166" s="174"/>
      <c r="AP166" s="174"/>
      <c r="AQ166" s="174"/>
      <c r="AR166" s="174"/>
      <c r="AS166" s="174"/>
      <c r="AT166" s="174"/>
      <c r="AU166" s="174"/>
      <c r="AV166" s="174"/>
      <c r="AW166" s="174"/>
      <c r="AX166" s="174"/>
      <c r="AY166" s="174"/>
      <c r="AZ166" s="28"/>
      <c r="BA166" s="28"/>
      <c r="BB166" s="28"/>
      <c r="BC166" s="28"/>
      <c r="BD166" s="28"/>
      <c r="BE166" s="28"/>
    </row>
    <row r="167" spans="2:57" ht="15.75" customHeight="1" x14ac:dyDescent="0.25">
      <c r="B167" s="206"/>
      <c r="C167" s="207"/>
      <c r="D167" s="28"/>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J167" s="28"/>
      <c r="AK167" s="173"/>
      <c r="AL167" s="173"/>
      <c r="AM167" s="210"/>
      <c r="AN167" s="210"/>
      <c r="AO167" s="210"/>
      <c r="AP167" s="210"/>
      <c r="AQ167" s="210"/>
      <c r="AR167" s="210"/>
      <c r="AS167" s="210"/>
      <c r="AT167" s="210"/>
      <c r="AU167" s="210"/>
      <c r="AV167" s="210"/>
      <c r="AW167" s="210"/>
      <c r="AX167" s="210"/>
      <c r="AY167" s="210"/>
      <c r="AZ167" s="69"/>
      <c r="BA167" s="28"/>
      <c r="BB167" s="28"/>
      <c r="BC167" s="28"/>
      <c r="BD167" s="28"/>
      <c r="BE167" s="28"/>
    </row>
    <row r="168" spans="2:57" ht="15.75" customHeight="1" x14ac:dyDescent="0.3">
      <c r="B168" s="206"/>
      <c r="C168" s="207"/>
      <c r="D168" s="28"/>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J168" s="28"/>
      <c r="AK168" s="172"/>
      <c r="AL168" s="173"/>
      <c r="AM168" s="174"/>
      <c r="AN168" s="174"/>
      <c r="AO168" s="174"/>
      <c r="AP168" s="174"/>
      <c r="AQ168" s="174"/>
      <c r="AR168" s="174"/>
      <c r="AS168" s="174"/>
      <c r="AT168" s="174"/>
      <c r="AU168" s="174"/>
      <c r="AV168" s="174"/>
      <c r="AW168" s="174"/>
      <c r="AX168" s="174"/>
      <c r="AY168" s="174"/>
      <c r="AZ168" s="28"/>
      <c r="BA168" s="28"/>
      <c r="BB168" s="28"/>
      <c r="BC168" s="28"/>
      <c r="BD168" s="28"/>
      <c r="BE168" s="28"/>
    </row>
    <row r="169" spans="2:57" ht="15.75" customHeight="1" x14ac:dyDescent="0.25">
      <c r="B169" s="206"/>
      <c r="C169" s="207"/>
      <c r="D169" s="28"/>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J169" s="28"/>
      <c r="AK169" s="28"/>
      <c r="AL169" s="28"/>
      <c r="AM169" s="174"/>
      <c r="AN169" s="174"/>
      <c r="AO169" s="174"/>
      <c r="AP169" s="174"/>
      <c r="AQ169" s="174"/>
      <c r="AR169" s="174"/>
      <c r="AS169" s="174"/>
      <c r="AT169" s="174"/>
      <c r="AU169" s="174"/>
      <c r="AV169" s="174"/>
      <c r="AW169" s="174"/>
      <c r="AX169" s="174"/>
      <c r="AY169" s="174"/>
      <c r="AZ169" s="174"/>
      <c r="BA169" s="28"/>
      <c r="BB169" s="28"/>
      <c r="BC169" s="28"/>
      <c r="BD169" s="28"/>
      <c r="BE169" s="28"/>
    </row>
    <row r="170" spans="2:57" ht="15.75" customHeight="1" x14ac:dyDescent="0.25">
      <c r="B170" s="206"/>
      <c r="C170" s="207"/>
      <c r="D170" s="28"/>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J170" s="28"/>
      <c r="AK170" s="28"/>
      <c r="AL170" s="28"/>
      <c r="AM170" s="174"/>
      <c r="AN170" s="174"/>
      <c r="AO170" s="174"/>
      <c r="AP170" s="174"/>
      <c r="AQ170" s="174"/>
      <c r="AR170" s="174"/>
      <c r="AS170" s="174"/>
      <c r="AT170" s="174"/>
      <c r="AU170" s="174"/>
      <c r="AV170" s="174"/>
      <c r="AW170" s="174"/>
      <c r="AX170" s="174"/>
      <c r="AY170" s="174"/>
      <c r="AZ170" s="174"/>
      <c r="BA170" s="28"/>
      <c r="BB170" s="28"/>
      <c r="BC170" s="28"/>
      <c r="BD170" s="28"/>
      <c r="BE170" s="28"/>
    </row>
    <row r="171" spans="2:57" ht="15.75" customHeight="1" x14ac:dyDescent="0.25">
      <c r="B171" s="206"/>
      <c r="C171" s="207"/>
      <c r="D171" s="28"/>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J171" s="28"/>
      <c r="AK171" s="28"/>
      <c r="AL171" s="28"/>
      <c r="AM171" s="174"/>
      <c r="AN171" s="174"/>
      <c r="AO171" s="174"/>
      <c r="AP171" s="174"/>
      <c r="AQ171" s="174"/>
      <c r="AR171" s="174"/>
      <c r="AS171" s="174"/>
      <c r="AT171" s="174"/>
      <c r="AU171" s="174"/>
      <c r="AV171" s="174"/>
      <c r="AW171" s="174"/>
      <c r="AX171" s="174"/>
      <c r="AY171" s="174"/>
      <c r="AZ171" s="174"/>
      <c r="BA171" s="28"/>
      <c r="BB171" s="28"/>
      <c r="BC171" s="28"/>
      <c r="BD171" s="28"/>
      <c r="BE171" s="28"/>
    </row>
    <row r="172" spans="2:57" ht="15.75" customHeight="1" x14ac:dyDescent="0.25">
      <c r="B172" s="206"/>
      <c r="C172" s="207"/>
      <c r="D172" s="28"/>
      <c r="E172" s="30"/>
      <c r="F172" s="30"/>
      <c r="G172" s="30"/>
      <c r="H172" s="30"/>
      <c r="I172" s="30"/>
      <c r="J172" s="30"/>
      <c r="K172" s="30"/>
      <c r="L172" s="30"/>
      <c r="M172" s="30"/>
      <c r="N172" s="30"/>
      <c r="O172" s="211"/>
      <c r="P172" s="30"/>
      <c r="Q172" s="30"/>
      <c r="R172" s="30"/>
      <c r="S172" s="30"/>
      <c r="T172" s="30"/>
      <c r="U172" s="30"/>
      <c r="V172" s="30"/>
      <c r="W172" s="30"/>
      <c r="X172" s="30"/>
      <c r="Y172" s="30"/>
      <c r="Z172" s="30"/>
      <c r="AA172" s="30"/>
      <c r="AB172" s="30"/>
      <c r="AC172" s="30"/>
      <c r="AD172" s="30"/>
      <c r="AE172" s="30"/>
      <c r="AF172" s="30"/>
      <c r="AG172" s="30"/>
      <c r="AJ172" s="28"/>
      <c r="AK172" s="28"/>
      <c r="AL172" s="173"/>
      <c r="AM172" s="57"/>
      <c r="AN172" s="57"/>
      <c r="AO172" s="57"/>
      <c r="AP172" s="57"/>
      <c r="AQ172" s="57"/>
      <c r="AR172" s="57"/>
      <c r="AS172" s="57"/>
      <c r="AT172" s="57"/>
      <c r="AU172" s="57"/>
      <c r="AV172" s="57"/>
      <c r="AW172" s="57"/>
      <c r="AX172" s="57"/>
      <c r="AY172" s="57"/>
      <c r="AZ172" s="28"/>
      <c r="BA172" s="28"/>
      <c r="BB172" s="28"/>
      <c r="BC172" s="28"/>
      <c r="BD172" s="28"/>
      <c r="BE172" s="28"/>
    </row>
    <row r="173" spans="2:57" ht="15.75" customHeight="1" x14ac:dyDescent="0.25">
      <c r="B173" s="206"/>
      <c r="C173" s="207"/>
      <c r="D173" s="28"/>
      <c r="E173" s="30"/>
      <c r="F173" s="30"/>
      <c r="G173" s="30"/>
      <c r="H173" s="30"/>
      <c r="I173" s="30"/>
      <c r="J173" s="30"/>
      <c r="K173" s="30"/>
      <c r="L173" s="30"/>
      <c r="M173" s="30"/>
      <c r="N173" s="30"/>
      <c r="O173" s="30"/>
      <c r="P173" s="211"/>
      <c r="Q173" s="211"/>
      <c r="R173" s="211"/>
      <c r="S173" s="211"/>
      <c r="T173" s="211"/>
      <c r="U173" s="211"/>
      <c r="V173" s="211"/>
      <c r="W173" s="211"/>
      <c r="X173" s="211"/>
      <c r="Y173" s="211"/>
      <c r="Z173" s="211"/>
      <c r="AA173" s="211"/>
      <c r="AB173" s="211"/>
      <c r="AC173" s="211"/>
      <c r="AD173" s="211"/>
      <c r="AE173" s="211"/>
      <c r="AF173" s="211"/>
      <c r="AG173" s="211"/>
      <c r="AJ173" s="28"/>
      <c r="AK173" s="28"/>
      <c r="AL173" s="28"/>
      <c r="AM173" s="174"/>
      <c r="AN173" s="174"/>
      <c r="AO173" s="174"/>
      <c r="AP173" s="174"/>
      <c r="AQ173" s="174"/>
      <c r="AR173" s="174"/>
      <c r="AS173" s="174"/>
      <c r="AT173" s="174"/>
      <c r="AU173" s="174"/>
      <c r="AV173" s="174"/>
      <c r="AW173" s="174"/>
      <c r="AX173" s="174"/>
      <c r="AY173" s="174"/>
      <c r="AZ173" s="174"/>
      <c r="BA173" s="28"/>
      <c r="BB173" s="28"/>
      <c r="BC173" s="28"/>
      <c r="BD173" s="28"/>
      <c r="BE173" s="28"/>
    </row>
    <row r="174" spans="2:57" ht="15.75" customHeight="1" x14ac:dyDescent="0.25">
      <c r="B174" s="28"/>
      <c r="C174" s="28"/>
      <c r="D174" s="28"/>
      <c r="E174" s="30"/>
      <c r="F174" s="30"/>
      <c r="G174" s="30"/>
      <c r="H174" s="30"/>
      <c r="I174" s="30"/>
      <c r="J174" s="30"/>
      <c r="K174" s="30"/>
      <c r="L174" s="30"/>
      <c r="M174" s="30"/>
      <c r="N174" s="30"/>
      <c r="O174" s="30"/>
      <c r="P174" s="211"/>
      <c r="Q174" s="211"/>
      <c r="R174" s="211"/>
      <c r="S174" s="211"/>
      <c r="T174" s="211"/>
      <c r="U174" s="211"/>
      <c r="V174" s="211"/>
      <c r="W174" s="211"/>
      <c r="X174" s="211"/>
      <c r="Y174" s="211"/>
      <c r="Z174" s="211"/>
      <c r="AA174" s="211"/>
      <c r="AB174" s="30"/>
      <c r="AC174" s="30"/>
      <c r="AD174" s="30"/>
      <c r="AE174" s="30"/>
      <c r="AF174" s="30"/>
      <c r="AG174" s="30"/>
      <c r="AJ174" s="28"/>
      <c r="AK174" s="28"/>
      <c r="AL174" s="173"/>
      <c r="AM174" s="57"/>
      <c r="AN174" s="57"/>
      <c r="AO174" s="57"/>
      <c r="AP174" s="57"/>
      <c r="AQ174" s="57"/>
      <c r="AR174" s="57"/>
      <c r="AS174" s="57"/>
      <c r="AT174" s="57"/>
      <c r="AU174" s="57"/>
      <c r="AV174" s="57"/>
      <c r="AW174" s="57"/>
      <c r="AX174" s="57"/>
      <c r="AY174" s="57"/>
      <c r="AZ174" s="28"/>
      <c r="BA174" s="28"/>
      <c r="BB174" s="28"/>
      <c r="BC174" s="28"/>
      <c r="BD174" s="28"/>
      <c r="BE174" s="28"/>
    </row>
    <row r="175" spans="2:57" ht="15.75" customHeight="1" x14ac:dyDescent="0.25">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J175" s="28"/>
      <c r="AK175" s="28"/>
      <c r="AL175" s="56"/>
      <c r="AM175" s="212"/>
      <c r="AN175" s="212"/>
      <c r="AO175" s="212"/>
      <c r="AP175" s="212"/>
      <c r="AQ175" s="212"/>
      <c r="AR175" s="212"/>
      <c r="AS175" s="212"/>
      <c r="AT175" s="212"/>
      <c r="AU175" s="212"/>
      <c r="AV175" s="212"/>
      <c r="AW175" s="212"/>
      <c r="AX175" s="212"/>
      <c r="AY175" s="212"/>
      <c r="AZ175" s="212"/>
      <c r="BA175" s="28"/>
      <c r="BB175" s="28"/>
      <c r="BC175" s="28"/>
      <c r="BD175" s="28"/>
      <c r="BE175" s="28"/>
    </row>
    <row r="176" spans="2:57" ht="15.75" customHeight="1" x14ac:dyDescent="0.25">
      <c r="B176" s="28"/>
      <c r="AJ176" s="28"/>
      <c r="AK176" s="28"/>
      <c r="AL176" s="56"/>
      <c r="AM176" s="213"/>
      <c r="AN176" s="213"/>
      <c r="AO176" s="213"/>
      <c r="AP176" s="213"/>
      <c r="AQ176" s="213"/>
      <c r="AR176" s="213"/>
      <c r="AS176" s="213"/>
      <c r="AT176" s="213"/>
      <c r="AU176" s="213"/>
      <c r="AV176" s="213"/>
      <c r="AW176" s="213"/>
      <c r="AX176" s="213"/>
      <c r="AY176" s="213"/>
      <c r="AZ176" s="213"/>
      <c r="BA176" s="28"/>
      <c r="BB176" s="28"/>
      <c r="BC176" s="28"/>
      <c r="BD176" s="28"/>
      <c r="BE176" s="28"/>
    </row>
    <row r="177" spans="2:57" ht="15.75" customHeight="1" x14ac:dyDescent="0.25">
      <c r="B177" s="28"/>
      <c r="AJ177" s="28"/>
      <c r="AK177" s="28"/>
      <c r="AL177" s="28"/>
      <c r="AM177" s="213"/>
      <c r="AN177" s="213"/>
      <c r="AO177" s="213"/>
      <c r="AP177" s="213"/>
      <c r="AQ177" s="213"/>
      <c r="AR177" s="213"/>
      <c r="AS177" s="213"/>
      <c r="AT177" s="213"/>
      <c r="AU177" s="213"/>
      <c r="AV177" s="213"/>
      <c r="AW177" s="213"/>
      <c r="AX177" s="213"/>
      <c r="AY177" s="213"/>
      <c r="AZ177" s="213"/>
      <c r="BA177" s="28"/>
      <c r="BB177" s="28"/>
      <c r="BC177" s="28"/>
      <c r="BD177" s="28"/>
      <c r="BE177" s="28"/>
    </row>
    <row r="178" spans="2:57" ht="15.75" customHeight="1" x14ac:dyDescent="0.25">
      <c r="B178" s="28"/>
      <c r="AJ178" s="28"/>
      <c r="AK178" s="28"/>
      <c r="AL178" s="28"/>
      <c r="AM178" s="213"/>
      <c r="AN178" s="213"/>
      <c r="AO178" s="213"/>
      <c r="AP178" s="213"/>
      <c r="AQ178" s="213"/>
      <c r="AR178" s="213"/>
      <c r="AS178" s="213"/>
      <c r="AT178" s="213"/>
      <c r="AU178" s="213"/>
      <c r="AV178" s="213"/>
      <c r="AW178" s="213"/>
      <c r="AX178" s="213"/>
      <c r="AY178" s="213"/>
      <c r="AZ178" s="28"/>
      <c r="BA178" s="28"/>
      <c r="BB178" s="28"/>
      <c r="BC178" s="28"/>
      <c r="BD178" s="28"/>
      <c r="BE178" s="28"/>
    </row>
    <row r="179" spans="2:57" ht="15.75" customHeight="1" x14ac:dyDescent="0.25">
      <c r="B179" s="28"/>
      <c r="AJ179" s="28"/>
      <c r="AK179" s="28"/>
      <c r="AL179" s="28"/>
      <c r="AM179" s="28"/>
      <c r="AN179" s="28"/>
      <c r="AO179" s="28"/>
      <c r="AP179" s="28"/>
      <c r="AQ179" s="214"/>
      <c r="AR179" s="28"/>
      <c r="AS179" s="28"/>
      <c r="AT179" s="28"/>
      <c r="AU179" s="28"/>
      <c r="AV179" s="28"/>
      <c r="AW179" s="28"/>
      <c r="AX179" s="214"/>
      <c r="AY179" s="28"/>
      <c r="AZ179" s="28"/>
      <c r="BA179" s="28"/>
      <c r="BB179" s="28"/>
      <c r="BC179" s="28"/>
      <c r="BD179" s="28"/>
      <c r="BE179" s="28"/>
    </row>
    <row r="180" spans="2:57" ht="15.75" customHeight="1" x14ac:dyDescent="0.25">
      <c r="B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row>
    <row r="181" spans="2:57" ht="15.75" customHeight="1" x14ac:dyDescent="0.25">
      <c r="B181" s="28"/>
      <c r="AJ181" s="28"/>
      <c r="AK181" s="173"/>
      <c r="AL181" s="28"/>
      <c r="AM181" s="28"/>
      <c r="AN181" s="28"/>
      <c r="AO181" s="28"/>
      <c r="AP181" s="28"/>
      <c r="AQ181" s="28"/>
      <c r="AR181" s="28"/>
      <c r="AS181" s="28"/>
      <c r="AT181" s="28"/>
      <c r="AU181" s="28"/>
      <c r="AV181" s="28"/>
      <c r="AW181" s="28"/>
      <c r="AX181" s="28"/>
      <c r="AY181" s="28"/>
      <c r="AZ181" s="28"/>
      <c r="BA181" s="28"/>
      <c r="BB181" s="28"/>
      <c r="BC181" s="28"/>
      <c r="BD181" s="28"/>
      <c r="BE181" s="28"/>
    </row>
    <row r="182" spans="2:57" ht="15.75" customHeight="1" x14ac:dyDescent="0.25">
      <c r="B182" s="28"/>
      <c r="AJ182" s="28"/>
      <c r="AK182" s="173"/>
      <c r="AL182" s="28"/>
      <c r="AM182" s="28"/>
      <c r="AN182" s="28"/>
      <c r="AO182" s="28"/>
      <c r="AP182" s="28"/>
      <c r="AQ182" s="28"/>
      <c r="AR182" s="28"/>
      <c r="AS182" s="28"/>
      <c r="AT182" s="28"/>
      <c r="AU182" s="28"/>
      <c r="AV182" s="28"/>
      <c r="AW182" s="28"/>
      <c r="AX182" s="28"/>
      <c r="AY182" s="28"/>
      <c r="AZ182" s="28"/>
      <c r="BA182" s="28"/>
      <c r="BB182" s="28"/>
      <c r="BC182" s="28"/>
      <c r="BD182" s="28"/>
      <c r="BE182" s="28"/>
    </row>
    <row r="183" spans="2:57" ht="15.75" customHeight="1" x14ac:dyDescent="0.25">
      <c r="B183" s="28"/>
      <c r="AJ183" s="28"/>
      <c r="AK183" s="173"/>
      <c r="AL183" s="28"/>
      <c r="AM183" s="28"/>
      <c r="AN183" s="28"/>
      <c r="AO183" s="28"/>
      <c r="AP183" s="28"/>
      <c r="AQ183" s="28"/>
      <c r="AR183" s="28"/>
      <c r="AS183" s="28"/>
      <c r="AT183" s="28"/>
      <c r="AU183" s="28"/>
      <c r="AV183" s="28"/>
      <c r="AW183" s="28"/>
      <c r="AX183" s="28"/>
      <c r="AY183" s="28"/>
      <c r="AZ183" s="28"/>
      <c r="BA183" s="28"/>
      <c r="BB183" s="28"/>
      <c r="BC183" s="28"/>
      <c r="BD183" s="28"/>
      <c r="BE183" s="28"/>
    </row>
    <row r="184" spans="2:57" ht="15.75" customHeight="1" x14ac:dyDescent="0.25">
      <c r="B184" s="28"/>
      <c r="C184" s="28"/>
      <c r="D184" s="28"/>
      <c r="E184" s="28"/>
      <c r="F184" s="28"/>
      <c r="G184" s="28"/>
      <c r="H184" s="28"/>
      <c r="I184" s="28"/>
      <c r="J184" s="28"/>
      <c r="K184" s="28"/>
      <c r="L184" s="28"/>
      <c r="M184" s="28"/>
      <c r="N184" s="28"/>
      <c r="O184" s="28"/>
      <c r="P184" s="28"/>
      <c r="Q184" s="28"/>
      <c r="R184" s="28"/>
      <c r="S184" s="28"/>
      <c r="T184" s="28"/>
      <c r="U184" s="28"/>
      <c r="V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row>
    <row r="185" spans="2:57" ht="15.75" customHeight="1" x14ac:dyDescent="0.25">
      <c r="B185" s="28"/>
      <c r="C185" s="28"/>
      <c r="D185" s="28"/>
      <c r="E185" s="28"/>
      <c r="F185" s="28"/>
      <c r="G185" s="28"/>
      <c r="H185" s="28"/>
      <c r="I185" s="28"/>
      <c r="J185" s="28"/>
      <c r="K185" s="28"/>
      <c r="L185" s="28"/>
      <c r="M185" s="28"/>
      <c r="N185" s="28"/>
      <c r="O185" s="28"/>
      <c r="P185" s="28"/>
      <c r="Q185" s="28"/>
      <c r="R185" s="28"/>
      <c r="S185" s="28"/>
      <c r="T185" s="28"/>
      <c r="U185" s="28"/>
      <c r="V185" s="28"/>
      <c r="Z185" s="28"/>
      <c r="AA185" s="28"/>
      <c r="AB185" s="28"/>
      <c r="AC185" s="28"/>
      <c r="AD185" s="28"/>
      <c r="AE185" s="28"/>
      <c r="AF185" s="28"/>
      <c r="AG185" s="28"/>
      <c r="AH185" s="28"/>
      <c r="AI185" s="28"/>
      <c r="AJ185" s="28"/>
      <c r="AK185" s="28"/>
      <c r="AL185" s="106"/>
      <c r="AM185" s="28"/>
      <c r="AN185" s="28"/>
      <c r="AO185" s="28"/>
      <c r="AP185" s="28"/>
      <c r="AQ185" s="28"/>
      <c r="AR185" s="28"/>
      <c r="AS185" s="28"/>
      <c r="AT185" s="28"/>
      <c r="AU185" s="28"/>
      <c r="AV185" s="28"/>
      <c r="AW185" s="28"/>
      <c r="AX185" s="28"/>
      <c r="AY185" s="28"/>
      <c r="AZ185" s="69"/>
      <c r="BA185" s="28"/>
      <c r="BB185" s="28"/>
      <c r="BC185" s="28"/>
      <c r="BD185" s="28"/>
      <c r="BE185" s="28"/>
    </row>
    <row r="186" spans="2:57" ht="15.75" customHeight="1" x14ac:dyDescent="0.25">
      <c r="B186" s="28"/>
      <c r="C186" s="28"/>
      <c r="D186" s="28"/>
      <c r="E186" s="28"/>
      <c r="F186" s="28"/>
      <c r="G186" s="28"/>
      <c r="H186" s="28"/>
      <c r="I186" s="28"/>
      <c r="J186" s="28"/>
      <c r="K186" s="28"/>
      <c r="L186" s="28"/>
      <c r="M186" s="28"/>
      <c r="N186" s="28"/>
      <c r="O186" s="28"/>
      <c r="P186" s="28"/>
      <c r="Q186" s="28"/>
      <c r="R186" s="28"/>
      <c r="S186" s="28"/>
      <c r="T186" s="28"/>
      <c r="U186" s="28"/>
      <c r="V186" s="28"/>
      <c r="Z186" s="28"/>
      <c r="AA186" s="28"/>
      <c r="AB186" s="28"/>
      <c r="AC186" s="28"/>
      <c r="AD186" s="28"/>
      <c r="AE186" s="28"/>
      <c r="AF186" s="28"/>
      <c r="AG186" s="28"/>
      <c r="AH186" s="28"/>
      <c r="AI186" s="28"/>
      <c r="AJ186" s="28"/>
      <c r="AK186" s="28"/>
      <c r="AL186" s="106"/>
      <c r="AM186" s="215"/>
      <c r="AN186" s="215"/>
      <c r="AO186" s="215"/>
      <c r="AP186" s="215"/>
      <c r="AQ186" s="215"/>
      <c r="AR186" s="215"/>
      <c r="AS186" s="215"/>
      <c r="AT186" s="215"/>
      <c r="AU186" s="215"/>
      <c r="AV186" s="215"/>
      <c r="AW186" s="215"/>
      <c r="AX186" s="215"/>
      <c r="AY186" s="215"/>
      <c r="AZ186" s="28"/>
      <c r="BA186" s="28"/>
      <c r="BB186" s="28"/>
      <c r="BC186" s="28"/>
      <c r="BD186" s="28"/>
      <c r="BE186" s="28"/>
    </row>
    <row r="187" spans="2:57" ht="15.75" customHeight="1" x14ac:dyDescent="0.25">
      <c r="B187" s="152"/>
      <c r="C187" s="202"/>
      <c r="D187" s="152"/>
      <c r="E187" s="28"/>
      <c r="F187" s="28"/>
      <c r="G187" s="28"/>
      <c r="H187" s="28"/>
      <c r="I187" s="28"/>
      <c r="J187" s="28"/>
      <c r="K187" s="28"/>
      <c r="L187" s="28"/>
      <c r="M187" s="28"/>
      <c r="N187" s="28"/>
      <c r="O187" s="28"/>
      <c r="P187" s="28"/>
      <c r="Q187" s="28"/>
      <c r="R187" s="28"/>
      <c r="S187" s="28"/>
      <c r="T187" s="28"/>
      <c r="U187" s="28"/>
      <c r="V187" s="28"/>
      <c r="Z187" s="28"/>
      <c r="AA187" s="28"/>
      <c r="AB187" s="28"/>
      <c r="AC187" s="28"/>
      <c r="AD187" s="28"/>
      <c r="AE187" s="28"/>
      <c r="AF187" s="28"/>
      <c r="AG187" s="28"/>
      <c r="AH187" s="28"/>
      <c r="AI187" s="28"/>
      <c r="AJ187" s="28"/>
      <c r="AK187" s="28"/>
      <c r="AL187" s="69"/>
      <c r="AM187" s="216"/>
      <c r="AN187" s="69"/>
      <c r="AO187" s="69"/>
      <c r="AP187" s="69"/>
      <c r="AQ187" s="216"/>
      <c r="AR187" s="69"/>
      <c r="AS187" s="69"/>
      <c r="AT187" s="69"/>
      <c r="AU187" s="69"/>
      <c r="AV187" s="216"/>
      <c r="AW187" s="216"/>
      <c r="AX187" s="216"/>
      <c r="AY187" s="216"/>
      <c r="AZ187" s="28"/>
      <c r="BA187" s="28"/>
      <c r="BB187" s="28"/>
      <c r="BC187" s="28"/>
      <c r="BD187" s="28"/>
      <c r="BE187" s="28"/>
    </row>
    <row r="188" spans="2:57" ht="15.75" customHeight="1" x14ac:dyDescent="0.25">
      <c r="B188" s="152"/>
      <c r="C188" s="202"/>
      <c r="D188" s="152"/>
      <c r="E188" s="28"/>
      <c r="F188" s="28"/>
      <c r="G188" s="28"/>
      <c r="H188" s="28"/>
      <c r="I188" s="28"/>
      <c r="J188" s="28"/>
      <c r="K188" s="28"/>
      <c r="L188" s="28"/>
      <c r="M188" s="28"/>
      <c r="N188" s="28"/>
      <c r="O188" s="28"/>
      <c r="P188" s="28"/>
      <c r="Q188" s="28"/>
      <c r="R188" s="28"/>
      <c r="S188" s="28"/>
      <c r="T188" s="28"/>
      <c r="U188" s="28"/>
      <c r="V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row>
    <row r="189" spans="2:57" ht="15.75" customHeight="1" x14ac:dyDescent="0.25">
      <c r="B189" s="152"/>
      <c r="C189" s="202"/>
      <c r="D189" s="152"/>
      <c r="E189" s="28"/>
      <c r="F189" s="28"/>
      <c r="G189" s="28"/>
      <c r="H189" s="28"/>
      <c r="I189" s="28"/>
      <c r="J189" s="28"/>
      <c r="K189" s="28"/>
      <c r="L189" s="28"/>
      <c r="M189" s="28"/>
      <c r="N189" s="28"/>
      <c r="O189" s="28"/>
      <c r="P189" s="28"/>
      <c r="Q189" s="28"/>
      <c r="R189" s="28"/>
      <c r="S189" s="28"/>
      <c r="T189" s="28"/>
      <c r="U189" s="28"/>
      <c r="V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row>
    <row r="190" spans="2:57" ht="15.75" customHeight="1" x14ac:dyDescent="0.25">
      <c r="B190" s="152"/>
      <c r="C190" s="202"/>
      <c r="D190" s="152"/>
      <c r="E190" s="28"/>
      <c r="F190" s="28"/>
      <c r="G190" s="28"/>
      <c r="H190" s="28"/>
      <c r="I190" s="28"/>
      <c r="J190" s="28"/>
      <c r="K190" s="28"/>
      <c r="L190" s="28"/>
      <c r="M190" s="28"/>
      <c r="N190" s="28"/>
      <c r="O190" s="28"/>
      <c r="P190" s="28"/>
      <c r="Q190" s="28"/>
      <c r="R190" s="28"/>
      <c r="S190" s="28"/>
      <c r="T190" s="28"/>
      <c r="U190" s="28"/>
      <c r="V190" s="28"/>
      <c r="Z190" s="28"/>
      <c r="AA190" s="28"/>
      <c r="AB190" s="28"/>
      <c r="AC190" s="28"/>
      <c r="AD190" s="28"/>
      <c r="AE190" s="28"/>
      <c r="AF190" s="28"/>
      <c r="AG190" s="28"/>
      <c r="AH190" s="28"/>
      <c r="AI190" s="28"/>
      <c r="AJ190" s="28"/>
      <c r="AK190" s="28"/>
      <c r="AL190" s="28"/>
      <c r="AM190" s="72"/>
      <c r="AN190" s="72"/>
      <c r="AO190" s="72"/>
      <c r="AP190" s="72"/>
      <c r="AQ190" s="72"/>
      <c r="AR190" s="72"/>
      <c r="AS190" s="72"/>
      <c r="AT190" s="72"/>
      <c r="AU190" s="72"/>
      <c r="AV190" s="72"/>
      <c r="AW190" s="72"/>
      <c r="AX190" s="72"/>
      <c r="AY190" s="72"/>
      <c r="AZ190" s="28"/>
      <c r="BA190" s="28"/>
      <c r="BB190" s="28"/>
      <c r="BC190" s="28"/>
      <c r="BD190" s="28"/>
      <c r="BE190" s="28"/>
    </row>
    <row r="191" spans="2:57" ht="15.75" customHeight="1" x14ac:dyDescent="0.25">
      <c r="B191" s="152"/>
      <c r="C191" s="202"/>
      <c r="D191" s="152"/>
      <c r="E191" s="28"/>
      <c r="F191" s="28"/>
      <c r="G191" s="28"/>
      <c r="H191" s="28"/>
      <c r="I191" s="28"/>
      <c r="J191" s="28"/>
      <c r="K191" s="28"/>
      <c r="L191" s="28"/>
      <c r="M191" s="28"/>
      <c r="N191" s="28"/>
      <c r="O191" s="28"/>
      <c r="P191" s="28"/>
      <c r="Q191" s="28"/>
      <c r="R191" s="28"/>
      <c r="S191" s="28"/>
      <c r="T191" s="28"/>
      <c r="U191" s="28"/>
      <c r="V191" s="28"/>
      <c r="Z191" s="28"/>
      <c r="AA191" s="28"/>
      <c r="AB191" s="28"/>
      <c r="AC191" s="28"/>
      <c r="AD191" s="28"/>
      <c r="AE191" s="28"/>
      <c r="AF191" s="28"/>
      <c r="AG191" s="28"/>
      <c r="AH191" s="28"/>
      <c r="AI191" s="28"/>
      <c r="AJ191" s="28"/>
      <c r="AK191" s="28"/>
      <c r="AL191" s="28"/>
      <c r="AM191" s="72"/>
      <c r="AN191" s="72"/>
      <c r="AO191" s="72"/>
      <c r="AP191" s="72"/>
      <c r="AQ191" s="72"/>
      <c r="AR191" s="72"/>
      <c r="AS191" s="72"/>
      <c r="AT191" s="72"/>
      <c r="AU191" s="72"/>
      <c r="AV191" s="72"/>
      <c r="AW191" s="72"/>
      <c r="AX191" s="72"/>
      <c r="AY191" s="72"/>
      <c r="AZ191" s="28"/>
      <c r="BA191" s="28"/>
      <c r="BB191" s="28"/>
      <c r="BC191" s="28"/>
      <c r="BD191" s="28"/>
      <c r="BE191" s="28"/>
    </row>
    <row r="192" spans="2:57" ht="15.75" customHeight="1" x14ac:dyDescent="0.25">
      <c r="B192" s="152"/>
      <c r="C192" s="202"/>
      <c r="D192" s="152"/>
      <c r="E192" s="28"/>
      <c r="F192" s="28"/>
      <c r="G192" s="28"/>
      <c r="H192" s="28"/>
      <c r="I192" s="28"/>
      <c r="J192" s="28"/>
      <c r="K192" s="28"/>
      <c r="L192" s="28"/>
      <c r="M192" s="28"/>
      <c r="N192" s="28"/>
      <c r="O192" s="28"/>
      <c r="P192" s="28"/>
      <c r="Q192" s="28"/>
      <c r="R192" s="28"/>
      <c r="S192" s="28"/>
      <c r="T192" s="28"/>
      <c r="U192" s="28"/>
      <c r="V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row>
    <row r="193" spans="2:57" ht="20.25" customHeight="1" x14ac:dyDescent="0.25">
      <c r="B193" s="152"/>
      <c r="C193" s="202"/>
      <c r="D193" s="152"/>
      <c r="E193" s="28"/>
      <c r="F193" s="28"/>
      <c r="G193" s="28"/>
      <c r="H193" s="28"/>
      <c r="I193" s="28"/>
      <c r="J193" s="28"/>
      <c r="K193" s="28"/>
      <c r="L193" s="28"/>
      <c r="M193" s="28"/>
      <c r="N193" s="28"/>
      <c r="O193" s="28"/>
      <c r="P193" s="28"/>
      <c r="Q193" s="28"/>
      <c r="R193" s="28"/>
      <c r="S193" s="28"/>
      <c r="T193" s="28"/>
      <c r="U193" s="28"/>
      <c r="V193" s="28"/>
      <c r="Z193" s="28"/>
      <c r="AA193" s="28"/>
      <c r="AB193" s="28"/>
      <c r="AC193" s="28"/>
      <c r="AD193" s="28"/>
      <c r="AE193" s="28"/>
      <c r="AF193" s="28"/>
      <c r="AG193" s="28"/>
      <c r="AH193" s="28"/>
      <c r="AI193" s="28"/>
      <c r="AJ193" s="28"/>
      <c r="AK193" s="28"/>
      <c r="AL193" s="28"/>
      <c r="AM193" s="72"/>
      <c r="AN193" s="72"/>
      <c r="AO193" s="72"/>
      <c r="AP193" s="72"/>
      <c r="AQ193" s="72"/>
      <c r="AR193" s="72"/>
      <c r="AS193" s="72"/>
      <c r="AT193" s="72"/>
      <c r="AU193" s="72"/>
      <c r="AV193" s="72"/>
      <c r="AW193" s="72"/>
      <c r="AX193" s="72"/>
      <c r="AY193" s="72"/>
      <c r="AZ193" s="72"/>
      <c r="BA193" s="28"/>
      <c r="BB193" s="28"/>
      <c r="BC193" s="28"/>
      <c r="BD193" s="28"/>
      <c r="BE193" s="28"/>
    </row>
    <row r="194" spans="2:57" ht="14.25" customHeight="1" x14ac:dyDescent="0.25">
      <c r="B194" s="152"/>
      <c r="C194" s="202"/>
      <c r="D194" s="152"/>
      <c r="E194" s="28"/>
      <c r="F194" s="28"/>
      <c r="G194" s="28"/>
      <c r="H194" s="28"/>
      <c r="I194" s="28"/>
      <c r="J194" s="28"/>
      <c r="K194" s="28"/>
      <c r="L194" s="28"/>
      <c r="M194" s="28"/>
      <c r="N194" s="28"/>
      <c r="O194" s="28"/>
      <c r="P194" s="28"/>
      <c r="Q194" s="28"/>
      <c r="R194" s="28"/>
      <c r="S194" s="28"/>
      <c r="T194" s="28"/>
      <c r="U194" s="28"/>
      <c r="V194" s="28"/>
      <c r="Z194" s="28"/>
      <c r="AA194" s="28"/>
      <c r="AB194" s="28"/>
      <c r="AC194" s="28"/>
      <c r="AD194" s="28"/>
      <c r="AE194" s="28"/>
      <c r="AF194" s="28"/>
      <c r="AG194" s="28"/>
      <c r="AH194" s="28"/>
      <c r="AI194" s="28"/>
      <c r="AJ194" s="28"/>
      <c r="AK194" s="28"/>
      <c r="AL194" s="28"/>
      <c r="AM194" s="28"/>
      <c r="AN194" s="28"/>
      <c r="AO194" s="28"/>
      <c r="AP194" s="28"/>
      <c r="AQ194" s="28"/>
      <c r="AR194" s="28"/>
      <c r="AS194" s="217"/>
      <c r="AT194" s="28"/>
      <c r="AU194" s="28"/>
      <c r="AV194" s="28"/>
      <c r="AW194" s="217"/>
      <c r="AX194" s="218"/>
      <c r="AY194" s="218"/>
      <c r="AZ194" s="218"/>
      <c r="BA194" s="218"/>
      <c r="BB194" s="218"/>
      <c r="BC194" s="218"/>
      <c r="BD194" s="218"/>
      <c r="BE194" s="218"/>
    </row>
    <row r="195" spans="2:57" ht="15.75" customHeight="1" x14ac:dyDescent="0.25">
      <c r="B195" s="152"/>
      <c r="C195" s="202"/>
      <c r="D195" s="152"/>
      <c r="E195" s="28"/>
      <c r="F195" s="28"/>
      <c r="G195" s="28"/>
      <c r="H195" s="28"/>
      <c r="I195" s="28"/>
      <c r="J195" s="28"/>
      <c r="K195" s="28"/>
      <c r="L195" s="28"/>
      <c r="M195" s="28"/>
      <c r="N195" s="28"/>
      <c r="O195" s="28"/>
      <c r="P195" s="28"/>
      <c r="Q195" s="28"/>
      <c r="R195" s="28"/>
      <c r="S195" s="28"/>
      <c r="T195" s="28"/>
      <c r="U195" s="28"/>
      <c r="V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17"/>
      <c r="AW195" s="218"/>
      <c r="AX195" s="218"/>
      <c r="AY195" s="218"/>
      <c r="AZ195" s="218"/>
      <c r="BA195" s="218"/>
      <c r="BB195" s="218"/>
      <c r="BC195" s="218"/>
      <c r="BD195" s="218"/>
      <c r="BE195" s="218"/>
    </row>
    <row r="196" spans="2:57" ht="15.75" customHeight="1" x14ac:dyDescent="0.25">
      <c r="B196" s="152"/>
      <c r="C196" s="202"/>
      <c r="D196" s="152"/>
      <c r="E196" s="28"/>
      <c r="F196" s="28"/>
      <c r="G196" s="28"/>
      <c r="H196" s="28"/>
      <c r="I196" s="28"/>
      <c r="J196" s="28"/>
      <c r="K196" s="28"/>
      <c r="L196" s="28"/>
      <c r="M196" s="28"/>
      <c r="N196" s="28"/>
      <c r="O196" s="28"/>
      <c r="P196" s="28"/>
      <c r="Q196" s="28"/>
      <c r="R196" s="28"/>
      <c r="S196" s="28"/>
      <c r="T196" s="28"/>
      <c r="U196" s="28"/>
      <c r="V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row>
    <row r="197" spans="2:57" ht="15.75" customHeight="1" x14ac:dyDescent="0.25">
      <c r="B197" s="152"/>
      <c r="C197" s="202"/>
      <c r="D197" s="152"/>
      <c r="E197" s="28"/>
      <c r="F197" s="28"/>
      <c r="G197" s="28"/>
      <c r="H197" s="28"/>
      <c r="I197" s="28"/>
      <c r="J197" s="28"/>
      <c r="K197" s="28"/>
      <c r="L197" s="28"/>
      <c r="M197" s="28"/>
      <c r="N197" s="28"/>
      <c r="O197" s="28"/>
      <c r="P197" s="28"/>
      <c r="Q197" s="28"/>
      <c r="R197" s="28"/>
      <c r="S197" s="28"/>
      <c r="T197" s="28"/>
      <c r="U197" s="28"/>
      <c r="V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row>
    <row r="198" spans="2:57" ht="15.75" customHeight="1" x14ac:dyDescent="0.25">
      <c r="B198" s="152"/>
      <c r="C198" s="202"/>
      <c r="D198" s="152"/>
      <c r="E198" s="28"/>
      <c r="F198" s="28"/>
      <c r="G198" s="28"/>
      <c r="H198" s="28"/>
      <c r="I198" s="28"/>
      <c r="J198" s="28"/>
      <c r="K198" s="28"/>
      <c r="L198" s="28"/>
      <c r="M198" s="28"/>
      <c r="N198" s="28"/>
      <c r="O198" s="28"/>
      <c r="P198" s="28"/>
      <c r="Q198" s="28"/>
      <c r="R198" s="28"/>
      <c r="S198" s="28"/>
      <c r="T198" s="28"/>
      <c r="U198" s="28"/>
      <c r="V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row>
    <row r="199" spans="2:57" ht="15.75" customHeight="1" x14ac:dyDescent="0.25">
      <c r="B199" s="152"/>
      <c r="C199" s="202"/>
      <c r="D199" s="152"/>
      <c r="E199" s="28"/>
      <c r="F199" s="28"/>
      <c r="G199" s="28"/>
      <c r="H199" s="28"/>
      <c r="I199" s="28"/>
      <c r="J199" s="28"/>
      <c r="K199" s="28"/>
      <c r="L199" s="28"/>
      <c r="M199" s="28"/>
      <c r="N199" s="28"/>
      <c r="O199" s="28"/>
      <c r="P199" s="28"/>
      <c r="Q199" s="28"/>
      <c r="R199" s="28"/>
      <c r="S199" s="28"/>
      <c r="T199" s="28"/>
      <c r="U199" s="28"/>
      <c r="V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row>
    <row r="200" spans="2:57" ht="15.75" customHeight="1" x14ac:dyDescent="0.25">
      <c r="B200" s="152"/>
      <c r="C200" s="202"/>
      <c r="D200" s="152"/>
      <c r="E200" s="28"/>
      <c r="F200" s="28"/>
      <c r="G200" s="28"/>
      <c r="H200" s="28"/>
      <c r="I200" s="28"/>
      <c r="J200" s="28"/>
      <c r="K200" s="28"/>
      <c r="L200" s="28"/>
      <c r="M200" s="28"/>
      <c r="N200" s="28"/>
      <c r="O200" s="28"/>
      <c r="P200" s="28"/>
      <c r="Q200" s="28"/>
      <c r="R200" s="28"/>
      <c r="S200" s="28"/>
      <c r="T200" s="28"/>
      <c r="U200" s="28"/>
      <c r="V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row>
    <row r="201" spans="2:57" ht="15.75" customHeight="1" x14ac:dyDescent="0.25">
      <c r="B201" s="152"/>
      <c r="C201" s="202"/>
      <c r="D201" s="152"/>
      <c r="E201" s="28"/>
      <c r="F201" s="28"/>
      <c r="G201" s="28"/>
      <c r="H201" s="28"/>
      <c r="I201" s="28"/>
      <c r="J201" s="28"/>
      <c r="K201" s="28"/>
      <c r="L201" s="28"/>
      <c r="M201" s="28"/>
      <c r="N201" s="28"/>
      <c r="O201" s="28"/>
      <c r="P201" s="28"/>
      <c r="Q201" s="28"/>
      <c r="R201" s="28"/>
      <c r="S201" s="28"/>
      <c r="T201" s="28"/>
      <c r="U201" s="28"/>
      <c r="V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row>
    <row r="202" spans="2:57" ht="15.75" customHeight="1" x14ac:dyDescent="0.25">
      <c r="B202" s="152"/>
      <c r="C202" s="202"/>
      <c r="D202" s="152"/>
      <c r="E202" s="28"/>
      <c r="F202" s="28"/>
      <c r="G202" s="28"/>
      <c r="H202" s="28"/>
      <c r="I202" s="28"/>
      <c r="J202" s="28"/>
      <c r="K202" s="28"/>
      <c r="L202" s="28"/>
      <c r="M202" s="28"/>
      <c r="N202" s="28"/>
      <c r="O202" s="28"/>
      <c r="P202" s="28"/>
      <c r="Q202" s="28"/>
      <c r="R202" s="28"/>
      <c r="S202" s="28"/>
      <c r="T202" s="28"/>
      <c r="U202" s="28"/>
      <c r="V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row>
    <row r="203" spans="2:57" ht="15.75" customHeight="1" x14ac:dyDescent="0.25">
      <c r="B203" s="152"/>
      <c r="C203" s="202"/>
      <c r="D203" s="152"/>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row>
    <row r="204" spans="2:57" ht="15.75" customHeight="1" x14ac:dyDescent="0.25">
      <c r="B204" s="152"/>
      <c r="C204" s="202"/>
      <c r="D204" s="152"/>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row>
    <row r="205" spans="2:57" ht="15.75" customHeight="1" x14ac:dyDescent="0.25">
      <c r="B205" s="152"/>
      <c r="C205" s="202"/>
      <c r="D205" s="152"/>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row>
    <row r="206" spans="2:57" ht="15.75" customHeight="1" x14ac:dyDescent="0.25">
      <c r="B206" s="152"/>
      <c r="C206" s="202"/>
      <c r="D206" s="152"/>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row>
    <row r="207" spans="2:57" ht="15.75" customHeight="1" x14ac:dyDescent="0.25">
      <c r="B207" s="152"/>
      <c r="C207" s="202"/>
      <c r="D207" s="152"/>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row>
    <row r="208" spans="2:57" ht="15.75" customHeight="1" x14ac:dyDescent="0.25">
      <c r="B208" s="152"/>
      <c r="C208" s="202"/>
      <c r="D208" s="152"/>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row>
    <row r="209" spans="2:57" ht="15.75" customHeight="1" x14ac:dyDescent="0.25">
      <c r="B209" s="152"/>
      <c r="C209" s="202"/>
      <c r="D209" s="152"/>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row>
    <row r="210" spans="2:57" ht="15.75" customHeight="1" x14ac:dyDescent="0.25">
      <c r="B210" s="152"/>
      <c r="C210" s="202"/>
      <c r="D210" s="152"/>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row>
    <row r="211" spans="2:57" ht="15.75" customHeight="1" x14ac:dyDescent="0.25">
      <c r="B211" s="152"/>
      <c r="C211" s="202"/>
      <c r="D211" s="152"/>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row>
    <row r="212" spans="2:57" ht="15.75" customHeight="1" x14ac:dyDescent="0.25">
      <c r="B212" s="152"/>
      <c r="C212" s="202"/>
      <c r="D212" s="152"/>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row>
    <row r="213" spans="2:57" ht="15.75" customHeight="1" x14ac:dyDescent="0.25">
      <c r="B213" s="152"/>
      <c r="C213" s="202"/>
      <c r="D213" s="152"/>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row>
    <row r="214" spans="2:57" ht="15.75" customHeight="1" x14ac:dyDescent="0.25">
      <c r="K214" s="28"/>
      <c r="L214" s="28"/>
      <c r="M214" s="28"/>
      <c r="N214" s="28"/>
      <c r="O214" s="28"/>
      <c r="P214" s="28"/>
      <c r="Q214" s="28"/>
      <c r="R214" s="28"/>
      <c r="S214" s="28"/>
      <c r="T214" s="28"/>
      <c r="U214" s="28"/>
      <c r="V214" s="28"/>
      <c r="W214" s="28"/>
      <c r="X214" s="28"/>
      <c r="Y214" s="28"/>
      <c r="Z214" s="28"/>
      <c r="AA214" s="28"/>
      <c r="AB214" s="28"/>
      <c r="AC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row>
    <row r="215" spans="2:57" ht="15.75" customHeight="1" x14ac:dyDescent="0.25">
      <c r="K215" s="28"/>
      <c r="L215" s="28"/>
      <c r="M215" s="28"/>
      <c r="N215" s="28"/>
      <c r="O215" s="28"/>
      <c r="P215" s="28"/>
      <c r="Q215" s="28"/>
      <c r="R215" s="28"/>
      <c r="S215" s="28"/>
      <c r="T215" s="28"/>
      <c r="U215" s="28"/>
      <c r="V215" s="28"/>
      <c r="W215" s="28"/>
      <c r="X215" s="28"/>
      <c r="Y215" s="28"/>
      <c r="Z215" s="28"/>
      <c r="AA215" s="28"/>
      <c r="AB215" s="28"/>
      <c r="AC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row>
    <row r="216" spans="2:57" ht="15.75" customHeight="1" x14ac:dyDescent="0.25">
      <c r="K216" s="28"/>
      <c r="L216" s="28"/>
      <c r="M216" s="28"/>
      <c r="N216" s="28"/>
      <c r="O216" s="28"/>
      <c r="P216" s="28"/>
      <c r="Q216" s="28"/>
      <c r="R216" s="28"/>
      <c r="S216" s="28"/>
      <c r="T216" s="28"/>
      <c r="U216" s="28"/>
      <c r="V216" s="28"/>
      <c r="W216" s="28"/>
      <c r="X216" s="28"/>
      <c r="Y216" s="28"/>
      <c r="Z216" s="28"/>
      <c r="AA216" s="28"/>
      <c r="AB216" s="28"/>
      <c r="AC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row>
    <row r="217" spans="2:57" ht="15.75" customHeight="1" x14ac:dyDescent="0.25">
      <c r="K217" s="28"/>
      <c r="L217" s="28"/>
      <c r="M217" s="28"/>
      <c r="N217" s="28"/>
      <c r="O217" s="28"/>
      <c r="P217" s="28"/>
      <c r="Q217" s="28"/>
      <c r="R217" s="28"/>
      <c r="S217" s="28"/>
      <c r="T217" s="28"/>
      <c r="U217" s="28"/>
      <c r="V217" s="28"/>
      <c r="W217" s="28"/>
      <c r="X217" s="28"/>
      <c r="Y217" s="28"/>
      <c r="Z217" s="28"/>
      <c r="AA217" s="28"/>
      <c r="AB217" s="28"/>
      <c r="AC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row>
    <row r="218" spans="2:57" ht="15.75" customHeight="1" x14ac:dyDescent="0.25">
      <c r="K218" s="28"/>
      <c r="L218" s="28"/>
      <c r="M218" s="28"/>
      <c r="N218" s="28"/>
      <c r="O218" s="28"/>
      <c r="P218" s="28"/>
      <c r="Q218" s="28"/>
      <c r="R218" s="28"/>
      <c r="S218" s="28"/>
      <c r="T218" s="28"/>
      <c r="U218" s="28"/>
      <c r="V218" s="28"/>
      <c r="W218" s="28"/>
      <c r="X218" s="28"/>
      <c r="Y218" s="28"/>
      <c r="Z218" s="28"/>
      <c r="AA218" s="28"/>
      <c r="AB218" s="28"/>
      <c r="AC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row>
    <row r="219" spans="2:57" ht="15.75" customHeight="1" x14ac:dyDescent="0.25">
      <c r="K219" s="28"/>
      <c r="L219" s="28"/>
      <c r="M219" s="28"/>
      <c r="N219" s="28"/>
      <c r="O219" s="28"/>
      <c r="P219" s="28"/>
      <c r="Q219" s="28"/>
      <c r="R219" s="28"/>
      <c r="S219" s="28"/>
      <c r="T219" s="28"/>
      <c r="U219" s="28"/>
      <c r="V219" s="28"/>
      <c r="W219" s="28"/>
      <c r="X219" s="28"/>
      <c r="Y219" s="28"/>
      <c r="Z219" s="28"/>
      <c r="AA219" s="28"/>
      <c r="AB219" s="28"/>
      <c r="AC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row>
    <row r="220" spans="2:57" ht="15.75" customHeight="1" x14ac:dyDescent="0.25">
      <c r="K220" s="28"/>
      <c r="L220" s="28"/>
      <c r="M220" s="28"/>
      <c r="N220" s="28"/>
      <c r="O220" s="28"/>
      <c r="P220" s="28"/>
      <c r="Q220" s="28"/>
      <c r="R220" s="28"/>
      <c r="S220" s="28"/>
      <c r="T220" s="28"/>
      <c r="U220" s="28"/>
      <c r="V220" s="28"/>
      <c r="W220" s="28"/>
      <c r="X220" s="28"/>
      <c r="Y220" s="28"/>
      <c r="Z220" s="28"/>
      <c r="AA220" s="28"/>
      <c r="AB220" s="28"/>
      <c r="AC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row>
    <row r="221" spans="2:57" ht="15.75" customHeight="1" x14ac:dyDescent="0.25">
      <c r="K221" s="28"/>
      <c r="L221" s="28"/>
      <c r="M221" s="28"/>
      <c r="N221" s="28"/>
      <c r="O221" s="28"/>
      <c r="P221" s="28"/>
      <c r="Q221" s="28"/>
      <c r="R221" s="28"/>
      <c r="S221" s="28"/>
      <c r="T221" s="28"/>
      <c r="U221" s="28"/>
      <c r="V221" s="28"/>
      <c r="W221" s="28"/>
      <c r="X221" s="28"/>
      <c r="Y221" s="28"/>
      <c r="Z221" s="28"/>
      <c r="AA221" s="28"/>
      <c r="AB221" s="28"/>
      <c r="AC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row>
    <row r="222" spans="2:57" ht="15" customHeight="1" x14ac:dyDescent="0.25">
      <c r="K222" s="28"/>
      <c r="L222" s="28"/>
      <c r="M222" s="28"/>
      <c r="N222" s="28"/>
      <c r="O222" s="28"/>
      <c r="P222" s="28"/>
      <c r="Q222" s="28"/>
      <c r="R222" s="28"/>
      <c r="S222" s="28"/>
      <c r="T222" s="28"/>
      <c r="U222" s="28"/>
      <c r="V222" s="28"/>
      <c r="W222" s="28"/>
      <c r="X222" s="28"/>
      <c r="Y222" s="28"/>
      <c r="Z222" s="28"/>
      <c r="AA222" s="28"/>
      <c r="AB222" s="28"/>
      <c r="AC222" s="28"/>
      <c r="AJ222" s="208"/>
      <c r="AK222" s="208"/>
      <c r="AL222" s="208"/>
      <c r="AM222" s="208"/>
      <c r="AN222" s="208"/>
      <c r="AO222" s="208"/>
      <c r="AP222" s="208"/>
      <c r="AQ222" s="208"/>
      <c r="AR222" s="208"/>
      <c r="AS222" s="208"/>
      <c r="AT222" s="208"/>
      <c r="AU222" s="219"/>
      <c r="AV222" s="28"/>
      <c r="AW222" s="28"/>
      <c r="AX222" s="28"/>
      <c r="AY222" s="28"/>
      <c r="AZ222" s="28"/>
      <c r="BA222" s="28"/>
      <c r="BB222" s="28"/>
      <c r="BC222" s="28"/>
      <c r="BD222" s="28"/>
      <c r="BE222" s="28"/>
    </row>
    <row r="223" spans="2:57" ht="15.75" customHeight="1" x14ac:dyDescent="0.25">
      <c r="AU223" s="28"/>
      <c r="AV223" s="28"/>
      <c r="AW223" s="28"/>
      <c r="AX223" s="28"/>
      <c r="AY223" s="28"/>
      <c r="AZ223" s="28"/>
      <c r="BA223" s="28"/>
      <c r="BB223" s="28"/>
      <c r="BC223" s="28"/>
      <c r="BD223" s="28"/>
      <c r="BE223" s="28"/>
    </row>
    <row r="224" spans="2:57" ht="15.75" customHeight="1" x14ac:dyDescent="0.25">
      <c r="AU224" s="28"/>
      <c r="AV224" s="28"/>
      <c r="AW224" s="28"/>
      <c r="AX224" s="28"/>
      <c r="AY224" s="28"/>
      <c r="AZ224" s="28"/>
      <c r="BA224" s="28"/>
      <c r="BB224" s="28"/>
      <c r="BC224" s="28"/>
      <c r="BD224" s="28"/>
      <c r="BE224" s="28"/>
    </row>
    <row r="225" spans="47:57" ht="15.75" customHeight="1" x14ac:dyDescent="0.25">
      <c r="AU225" s="28"/>
      <c r="AV225" s="28"/>
      <c r="AW225" s="28"/>
      <c r="AX225" s="28"/>
      <c r="AY225" s="28"/>
      <c r="AZ225" s="28"/>
      <c r="BA225" s="28"/>
      <c r="BB225" s="28"/>
      <c r="BC225" s="28"/>
      <c r="BD225" s="28"/>
      <c r="BE225" s="28"/>
    </row>
    <row r="226" spans="47:57" ht="15.75" customHeight="1" x14ac:dyDescent="0.25">
      <c r="AU226" s="28"/>
      <c r="AV226" s="28"/>
      <c r="AW226" s="28"/>
      <c r="AX226" s="28"/>
      <c r="AY226" s="28"/>
      <c r="AZ226" s="28"/>
      <c r="BA226" s="28"/>
      <c r="BB226" s="28"/>
      <c r="BC226" s="28"/>
      <c r="BD226" s="28"/>
      <c r="BE226" s="28"/>
    </row>
    <row r="227" spans="47:57" ht="15.75" customHeight="1" x14ac:dyDescent="0.25">
      <c r="AU227" s="28"/>
      <c r="AV227" s="28"/>
      <c r="AW227" s="28"/>
      <c r="AX227" s="28"/>
      <c r="AY227" s="28"/>
      <c r="AZ227" s="28"/>
      <c r="BA227" s="28"/>
      <c r="BB227" s="28"/>
      <c r="BC227" s="28"/>
      <c r="BD227" s="28"/>
      <c r="BE227" s="28"/>
    </row>
    <row r="228" spans="47:57" ht="15.75" customHeight="1" x14ac:dyDescent="0.25">
      <c r="AU228" s="28"/>
      <c r="AV228" s="28"/>
      <c r="AW228" s="28"/>
      <c r="AX228" s="28"/>
      <c r="AY228" s="28"/>
      <c r="AZ228" s="28"/>
      <c r="BA228" s="28"/>
      <c r="BB228" s="28"/>
      <c r="BC228" s="28"/>
      <c r="BD228" s="28"/>
      <c r="BE228" s="28"/>
    </row>
    <row r="229" spans="47:57" ht="15.75" customHeight="1" x14ac:dyDescent="0.25">
      <c r="AU229" s="28"/>
      <c r="AV229" s="28"/>
      <c r="AW229" s="28"/>
      <c r="AX229" s="28"/>
      <c r="AY229" s="28"/>
      <c r="AZ229" s="28"/>
      <c r="BA229" s="28"/>
      <c r="BB229" s="28"/>
      <c r="BC229" s="28"/>
      <c r="BD229" s="28"/>
      <c r="BE229" s="28"/>
    </row>
    <row r="230" spans="47:57" ht="15.75" customHeight="1" x14ac:dyDescent="0.25">
      <c r="AU230" s="28"/>
      <c r="AV230" s="28"/>
      <c r="AW230" s="28"/>
      <c r="AX230" s="28"/>
      <c r="AY230" s="28"/>
      <c r="AZ230" s="28"/>
      <c r="BA230" s="28"/>
      <c r="BB230" s="28"/>
      <c r="BC230" s="28"/>
      <c r="BD230" s="28"/>
      <c r="BE230" s="28"/>
    </row>
    <row r="231" spans="47:57" ht="15.75" customHeight="1" x14ac:dyDescent="0.25">
      <c r="AU231" s="28"/>
      <c r="AV231" s="28"/>
      <c r="AW231" s="28"/>
      <c r="AX231" s="28"/>
      <c r="AY231" s="28"/>
      <c r="AZ231" s="28"/>
      <c r="BA231" s="28"/>
      <c r="BB231" s="28"/>
      <c r="BC231" s="28"/>
      <c r="BD231" s="28"/>
      <c r="BE231" s="28"/>
    </row>
    <row r="232" spans="47:57" ht="15.75" customHeight="1" x14ac:dyDescent="0.25">
      <c r="AU232" s="28"/>
      <c r="AV232" s="28"/>
      <c r="AW232" s="28"/>
      <c r="AX232" s="28"/>
      <c r="AY232" s="28"/>
      <c r="AZ232" s="28"/>
      <c r="BA232" s="28"/>
      <c r="BB232" s="28"/>
      <c r="BC232" s="28"/>
      <c r="BD232" s="28"/>
      <c r="BE232" s="28"/>
    </row>
    <row r="233" spans="47:57" ht="15.75" customHeight="1" x14ac:dyDescent="0.25">
      <c r="AU233" s="28"/>
      <c r="AV233" s="28"/>
      <c r="AW233" s="28"/>
      <c r="AX233" s="28"/>
      <c r="AY233" s="28"/>
      <c r="AZ233" s="28"/>
      <c r="BA233" s="28"/>
      <c r="BB233" s="28"/>
      <c r="BC233" s="28"/>
      <c r="BD233" s="28"/>
      <c r="BE233" s="28"/>
    </row>
    <row r="234" spans="47:57" ht="15.75" customHeight="1" x14ac:dyDescent="0.25">
      <c r="AU234" s="28"/>
      <c r="AV234" s="28"/>
      <c r="AW234" s="28"/>
      <c r="AX234" s="28"/>
      <c r="AY234" s="28"/>
      <c r="AZ234" s="28"/>
      <c r="BA234" s="28"/>
      <c r="BB234" s="28"/>
      <c r="BC234" s="28"/>
      <c r="BD234" s="28"/>
      <c r="BE234" s="28"/>
    </row>
    <row r="235" spans="47:57" ht="15.75" customHeight="1" x14ac:dyDescent="0.25">
      <c r="AU235" s="28"/>
      <c r="AV235" s="28"/>
      <c r="AW235" s="28"/>
      <c r="AX235" s="28"/>
      <c r="AY235" s="28"/>
      <c r="AZ235" s="28"/>
      <c r="BA235" s="28"/>
      <c r="BB235" s="28"/>
      <c r="BC235" s="28"/>
      <c r="BD235" s="28"/>
      <c r="BE235" s="28"/>
    </row>
    <row r="236" spans="47:57" ht="15.75" customHeight="1" x14ac:dyDescent="0.25">
      <c r="AU236" s="28"/>
      <c r="AV236" s="28"/>
      <c r="AW236" s="28"/>
      <c r="AX236" s="28"/>
      <c r="AY236" s="28"/>
      <c r="AZ236" s="28"/>
      <c r="BA236" s="28"/>
      <c r="BB236" s="28"/>
      <c r="BC236" s="28"/>
      <c r="BD236" s="28"/>
      <c r="BE236" s="28"/>
    </row>
    <row r="237" spans="47:57" ht="15.75" customHeight="1" x14ac:dyDescent="0.25">
      <c r="AU237" s="28"/>
      <c r="AV237" s="28"/>
      <c r="AW237" s="28"/>
      <c r="AX237" s="28"/>
      <c r="AY237" s="28"/>
      <c r="AZ237" s="28"/>
      <c r="BA237" s="28"/>
      <c r="BB237" s="28"/>
      <c r="BC237" s="28"/>
      <c r="BD237" s="28"/>
      <c r="BE237" s="28"/>
    </row>
    <row r="238" spans="47:57" ht="15.75" customHeight="1" x14ac:dyDescent="0.25">
      <c r="AU238" s="28"/>
      <c r="AV238" s="28"/>
      <c r="AW238" s="28"/>
      <c r="AX238" s="28"/>
      <c r="AY238" s="28"/>
      <c r="AZ238" s="28"/>
      <c r="BA238" s="28"/>
      <c r="BB238" s="28"/>
      <c r="BC238" s="28"/>
      <c r="BD238" s="28"/>
      <c r="BE238" s="28"/>
    </row>
    <row r="239" spans="47:57" ht="15.75" customHeight="1" x14ac:dyDescent="0.25">
      <c r="AU239" s="28"/>
      <c r="AV239" s="28"/>
      <c r="AW239" s="28"/>
      <c r="AX239" s="28"/>
      <c r="AY239" s="28"/>
      <c r="AZ239" s="28"/>
      <c r="BA239" s="28"/>
      <c r="BB239" s="28"/>
      <c r="BC239" s="28"/>
      <c r="BD239" s="28"/>
      <c r="BE239" s="28"/>
    </row>
    <row r="240" spans="47:57" ht="15.75" customHeight="1" x14ac:dyDescent="0.25">
      <c r="AU240" s="28"/>
      <c r="AV240" s="28"/>
      <c r="AW240" s="28"/>
      <c r="AX240" s="28"/>
      <c r="AY240" s="28"/>
      <c r="AZ240" s="28"/>
      <c r="BA240" s="28"/>
      <c r="BB240" s="28"/>
      <c r="BC240" s="28"/>
      <c r="BD240" s="28"/>
      <c r="BE240" s="28"/>
    </row>
    <row r="241" spans="2:57" ht="15.75" customHeight="1" x14ac:dyDescent="0.25">
      <c r="AU241" s="28"/>
      <c r="AV241" s="28"/>
      <c r="AW241" s="28"/>
      <c r="AX241" s="28"/>
      <c r="AY241" s="28"/>
      <c r="AZ241" s="28"/>
      <c r="BA241" s="28"/>
      <c r="BB241" s="28"/>
      <c r="BC241" s="28"/>
      <c r="BD241" s="28"/>
      <c r="BE241" s="28"/>
    </row>
    <row r="242" spans="2:57" ht="15.75" customHeight="1" x14ac:dyDescent="0.25">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row>
    <row r="243" spans="2:57" ht="15.75" customHeight="1" x14ac:dyDescent="0.25">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row>
    <row r="244" spans="2:57" ht="15.75" customHeight="1" x14ac:dyDescent="0.25">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row>
    <row r="245" spans="2:57" ht="15.75" customHeight="1" x14ac:dyDescent="0.25">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row>
    <row r="246" spans="2:57" ht="15.75" customHeight="1" x14ac:dyDescent="0.25">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row>
    <row r="247" spans="2:57" ht="15.75" customHeight="1" x14ac:dyDescent="0.25">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c r="BE247" s="28"/>
    </row>
    <row r="248" spans="2:57" ht="15.75" customHeight="1" x14ac:dyDescent="0.25">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c r="BE248" s="28"/>
    </row>
    <row r="249" spans="2:57" ht="15.75" customHeight="1" x14ac:dyDescent="0.25">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c r="BE249" s="28"/>
    </row>
    <row r="250" spans="2:57" ht="15.75" customHeight="1" x14ac:dyDescent="0.25">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c r="BE250" s="28"/>
    </row>
    <row r="251" spans="2:57" ht="15.75" customHeight="1" x14ac:dyDescent="0.25">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row>
    <row r="252" spans="2:57" ht="15.75" customHeight="1" x14ac:dyDescent="0.25">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row>
    <row r="253" spans="2:57" ht="15.75" customHeight="1" x14ac:dyDescent="0.25">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row>
    <row r="254" spans="2:57" ht="15.75" customHeight="1" x14ac:dyDescent="0.25">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row>
    <row r="255" spans="2:57" ht="15.75" customHeight="1" x14ac:dyDescent="0.25">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row>
    <row r="256" spans="2:57" ht="15.75" customHeight="1" x14ac:dyDescent="0.25">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row>
    <row r="257" spans="2:57" ht="15.75" customHeight="1" x14ac:dyDescent="0.25">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row>
    <row r="258" spans="2:57" ht="15.75" customHeight="1" x14ac:dyDescent="0.25">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row>
    <row r="259" spans="2:57" ht="15.75" customHeight="1" x14ac:dyDescent="0.25">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row>
    <row r="260" spans="2:57" ht="15.75" customHeight="1" x14ac:dyDescent="0.25">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row>
    <row r="261" spans="2:57" ht="15.75" customHeight="1" x14ac:dyDescent="0.25">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row>
    <row r="262" spans="2:57" ht="15.75" customHeight="1" x14ac:dyDescent="0.25">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row>
    <row r="263" spans="2:57" ht="15.75" customHeight="1" x14ac:dyDescent="0.25">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row>
    <row r="264" spans="2:57" ht="15.75" customHeight="1" x14ac:dyDescent="0.25">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row>
    <row r="265" spans="2:57" ht="15.75" customHeight="1" x14ac:dyDescent="0.25">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row>
    <row r="266" spans="2:57" ht="15.75" customHeight="1" x14ac:dyDescent="0.25">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row>
    <row r="267" spans="2:57" ht="15.75" customHeight="1" x14ac:dyDescent="0.25">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row>
    <row r="268" spans="2:57" ht="15.75" customHeight="1" x14ac:dyDescent="0.25">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row>
    <row r="269" spans="2:57" ht="15.75" customHeight="1" x14ac:dyDescent="0.25">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row>
    <row r="270" spans="2:57" ht="15.75" customHeight="1" x14ac:dyDescent="0.25">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row>
    <row r="271" spans="2:57" ht="15.75" customHeight="1" x14ac:dyDescent="0.25">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row>
    <row r="272" spans="2:57" ht="15.75" customHeight="1" x14ac:dyDescent="0.25">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row>
    <row r="273" spans="2:57" ht="15.75" customHeight="1" x14ac:dyDescent="0.25">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row>
    <row r="274" spans="2:57" ht="15.75" customHeight="1" x14ac:dyDescent="0.25">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row>
    <row r="275" spans="2:57" ht="15.75" customHeight="1" x14ac:dyDescent="0.25">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row>
    <row r="276" spans="2:57" ht="15.75" customHeight="1" x14ac:dyDescent="0.25">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row>
    <row r="277" spans="2:57" ht="15.75" customHeight="1" x14ac:dyDescent="0.25">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row>
    <row r="278" spans="2:57" ht="15.75" customHeight="1" x14ac:dyDescent="0.25">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row>
    <row r="279" spans="2:57" ht="15.75" customHeight="1" x14ac:dyDescent="0.25">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c r="BE279" s="28"/>
    </row>
    <row r="280" spans="2:57" ht="15.75" customHeight="1" x14ac:dyDescent="0.25">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row>
    <row r="281" spans="2:57" ht="15.75" customHeight="1" x14ac:dyDescent="0.25">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c r="BE281" s="28"/>
    </row>
    <row r="282" spans="2:57" ht="15.75" customHeight="1" x14ac:dyDescent="0.25">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row>
    <row r="283" spans="2:57" ht="15.75" customHeight="1" x14ac:dyDescent="0.25">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row>
    <row r="284" spans="2:57" ht="15.75" customHeight="1" x14ac:dyDescent="0.25">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row>
    <row r="285" spans="2:57" ht="15.75" customHeight="1" x14ac:dyDescent="0.25">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c r="BE285" s="28"/>
    </row>
    <row r="286" spans="2:57" ht="15.75" customHeight="1" x14ac:dyDescent="0.25">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row>
    <row r="287" spans="2:57" ht="15.75" customHeight="1" x14ac:dyDescent="0.25">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c r="BE287" s="28"/>
    </row>
    <row r="288" spans="2:57" ht="15.75" customHeight="1" x14ac:dyDescent="0.25">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row>
    <row r="289" spans="2:57" ht="15.75" customHeight="1" x14ac:dyDescent="0.25">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c r="BE289" s="28"/>
    </row>
    <row r="290" spans="2:57" ht="15.75" customHeight="1" x14ac:dyDescent="0.25">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row>
    <row r="291" spans="2:57" ht="15.75" customHeight="1" x14ac:dyDescent="0.25">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c r="BE291" s="28"/>
    </row>
    <row r="292" spans="2:57" ht="15.75" customHeight="1" x14ac:dyDescent="0.25">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row>
    <row r="293" spans="2:57" ht="15.75" customHeight="1" x14ac:dyDescent="0.25">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8"/>
    </row>
    <row r="294" spans="2:57" ht="15.75" customHeight="1" x14ac:dyDescent="0.25">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row>
    <row r="295" spans="2:57" ht="15.75" customHeight="1" x14ac:dyDescent="0.25">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c r="BE295" s="28"/>
    </row>
    <row r="296" spans="2:57" ht="15.75" customHeight="1" x14ac:dyDescent="0.25">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row>
    <row r="297" spans="2:57" ht="15.75" customHeight="1" x14ac:dyDescent="0.25">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8"/>
    </row>
    <row r="298" spans="2:57" ht="15.75" customHeight="1" x14ac:dyDescent="0.25">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row>
    <row r="299" spans="2:57" ht="15.75" customHeight="1" x14ac:dyDescent="0.25">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c r="BE299" s="28"/>
    </row>
    <row r="300" spans="2:57" ht="15.75" customHeight="1" x14ac:dyDescent="0.25">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row>
    <row r="301" spans="2:57" ht="15.75" customHeight="1" x14ac:dyDescent="0.25">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c r="BE301" s="28"/>
    </row>
    <row r="302" spans="2:57" ht="15.75" customHeight="1" x14ac:dyDescent="0.25">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row>
    <row r="303" spans="2:57" ht="15.75" customHeight="1" x14ac:dyDescent="0.25">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c r="BE303" s="28"/>
    </row>
    <row r="304" spans="2:57" ht="15.75" customHeight="1" x14ac:dyDescent="0.25">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row>
    <row r="305" spans="2:57" ht="15.75" customHeight="1" x14ac:dyDescent="0.25">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8"/>
    </row>
    <row r="306" spans="2:57" ht="15.75" customHeight="1" x14ac:dyDescent="0.25">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row>
    <row r="307" spans="2:57" ht="15.75" customHeight="1" x14ac:dyDescent="0.25">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8"/>
    </row>
    <row r="308" spans="2:57" ht="15.75" customHeight="1" x14ac:dyDescent="0.25">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row>
    <row r="309" spans="2:57" ht="15.75" customHeight="1" x14ac:dyDescent="0.25">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c r="BE309" s="28"/>
    </row>
    <row r="310" spans="2:57" ht="15.75" customHeight="1" x14ac:dyDescent="0.25">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row>
    <row r="311" spans="2:57" ht="15.75" customHeight="1" x14ac:dyDescent="0.25">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c r="BE311" s="28"/>
    </row>
    <row r="312" spans="2:57" ht="15.75" customHeight="1" x14ac:dyDescent="0.25">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row>
    <row r="313" spans="2:57" ht="15.75" customHeight="1" x14ac:dyDescent="0.25">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c r="BE313" s="28"/>
    </row>
    <row r="314" spans="2:57" ht="15.75" customHeight="1" x14ac:dyDescent="0.25">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row>
    <row r="315" spans="2:57" ht="15.75" customHeight="1" x14ac:dyDescent="0.25">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c r="BE315" s="28"/>
    </row>
    <row r="316" spans="2:57" ht="15.75" customHeight="1" x14ac:dyDescent="0.25">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row>
    <row r="317" spans="2:57" ht="15.75" customHeight="1" x14ac:dyDescent="0.25">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c r="BE317" s="28"/>
    </row>
    <row r="318" spans="2:57" ht="15.75" customHeight="1" x14ac:dyDescent="0.25">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row>
    <row r="319" spans="2:57" ht="15.75" customHeight="1" x14ac:dyDescent="0.25">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c r="BE319" s="28"/>
    </row>
    <row r="320" spans="2:57" ht="15.75" customHeight="1" x14ac:dyDescent="0.25">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row>
    <row r="321" spans="2:57" ht="15.75" customHeight="1" x14ac:dyDescent="0.25">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c r="BE321" s="28"/>
    </row>
    <row r="322" spans="2:57" ht="15.75" customHeight="1" x14ac:dyDescent="0.25">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row>
    <row r="323" spans="2:57" ht="15.75" customHeight="1" x14ac:dyDescent="0.25">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c r="BE323" s="28"/>
    </row>
    <row r="324" spans="2:57" ht="15.75" customHeight="1" x14ac:dyDescent="0.25">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row>
    <row r="325" spans="2:57" ht="15.75" customHeight="1" x14ac:dyDescent="0.25">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c r="BE325" s="28"/>
    </row>
    <row r="326" spans="2:57" ht="15.75" customHeight="1" x14ac:dyDescent="0.25">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row>
    <row r="327" spans="2:57" ht="15.75" customHeight="1" x14ac:dyDescent="0.25">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c r="BE327" s="28"/>
    </row>
    <row r="328" spans="2:57" ht="15.75" customHeight="1" x14ac:dyDescent="0.25">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row>
    <row r="329" spans="2:57" ht="15.75" customHeight="1" x14ac:dyDescent="0.25">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c r="BE329" s="28"/>
    </row>
    <row r="330" spans="2:57" ht="15.75" customHeight="1" x14ac:dyDescent="0.25">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row>
    <row r="331" spans="2:57" ht="15.75" customHeight="1" x14ac:dyDescent="0.25">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c r="BE331" s="28"/>
    </row>
    <row r="332" spans="2:57" ht="15.75" customHeight="1" x14ac:dyDescent="0.25">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row>
    <row r="333" spans="2:57" ht="15.75" customHeight="1" x14ac:dyDescent="0.25">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row>
    <row r="334" spans="2:57" ht="15.75" customHeight="1" x14ac:dyDescent="0.25">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row>
    <row r="335" spans="2:57" ht="15.75" customHeight="1" x14ac:dyDescent="0.25">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c r="BE335" s="28"/>
    </row>
    <row r="336" spans="2:57" ht="15.75" customHeight="1" x14ac:dyDescent="0.25">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row>
    <row r="337" spans="2:57" ht="15.75" customHeight="1" x14ac:dyDescent="0.25">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c r="BE337" s="28"/>
    </row>
    <row r="338" spans="2:57" ht="15.75" customHeight="1" x14ac:dyDescent="0.25">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row>
    <row r="339" spans="2:57" ht="15.75" customHeight="1" x14ac:dyDescent="0.25">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c r="BE339" s="28"/>
    </row>
    <row r="340" spans="2:57" ht="15.75" customHeight="1" x14ac:dyDescent="0.25">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row>
    <row r="341" spans="2:57" ht="15.75" customHeight="1" x14ac:dyDescent="0.25">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c r="BE341" s="28"/>
    </row>
    <row r="342" spans="2:57" ht="15.75" customHeight="1" x14ac:dyDescent="0.25">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row>
    <row r="343" spans="2:57" ht="15.75" customHeight="1" x14ac:dyDescent="0.25">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c r="BE343" s="28"/>
    </row>
    <row r="344" spans="2:57" ht="15.75" customHeight="1" x14ac:dyDescent="0.25">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row>
    <row r="345" spans="2:57" ht="15.75" customHeight="1" x14ac:dyDescent="0.25">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c r="BE345" s="28"/>
    </row>
    <row r="346" spans="2:57" ht="15.75" customHeight="1" x14ac:dyDescent="0.25">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row>
    <row r="347" spans="2:57" ht="15.75" customHeight="1" x14ac:dyDescent="0.25">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c r="BE347" s="28"/>
    </row>
    <row r="348" spans="2:57" ht="15.75" customHeight="1" x14ac:dyDescent="0.25">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row>
    <row r="349" spans="2:57" ht="15.75" customHeight="1" x14ac:dyDescent="0.25">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c r="BE349" s="28"/>
    </row>
    <row r="350" spans="2:57" ht="15.75" customHeight="1" x14ac:dyDescent="0.25">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row>
    <row r="351" spans="2:57" ht="15.75" customHeight="1" x14ac:dyDescent="0.25">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c r="BE351" s="28"/>
    </row>
    <row r="352" spans="2:57" ht="15.75" customHeight="1" x14ac:dyDescent="0.25">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row>
    <row r="353" spans="2:57" ht="15.75" customHeight="1" x14ac:dyDescent="0.25">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c r="BE353" s="28"/>
    </row>
    <row r="354" spans="2:57" ht="15.75" customHeight="1" x14ac:dyDescent="0.25">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row>
    <row r="355" spans="2:57" ht="15.75" customHeight="1" x14ac:dyDescent="0.25">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c r="BE355" s="28"/>
    </row>
    <row r="356" spans="2:57" ht="15.75" customHeight="1" x14ac:dyDescent="0.25">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row>
    <row r="357" spans="2:57" ht="15.75" customHeight="1" x14ac:dyDescent="0.25">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c r="BE357" s="28"/>
    </row>
    <row r="358" spans="2:57" ht="15.75" customHeight="1" x14ac:dyDescent="0.25">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row>
    <row r="359" spans="2:57" ht="15.75" customHeight="1" x14ac:dyDescent="0.25">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c r="BE359" s="28"/>
    </row>
    <row r="360" spans="2:57" ht="15.75" customHeight="1" x14ac:dyDescent="0.25">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row>
    <row r="361" spans="2:57" ht="15.75" customHeight="1" x14ac:dyDescent="0.25">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c r="BE361" s="28"/>
    </row>
    <row r="362" spans="2:57" ht="15.75" customHeight="1" x14ac:dyDescent="0.25">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row>
    <row r="363" spans="2:57" ht="15.75" customHeight="1" x14ac:dyDescent="0.25">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c r="BE363" s="28"/>
    </row>
    <row r="364" spans="2:57" ht="15.75" customHeight="1" x14ac:dyDescent="0.25">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row>
    <row r="365" spans="2:57" ht="15.75" customHeight="1" x14ac:dyDescent="0.25">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c r="BE365" s="28"/>
    </row>
    <row r="366" spans="2:57" ht="15.75" customHeight="1" x14ac:dyDescent="0.25">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row>
    <row r="367" spans="2:57" ht="15.75" customHeight="1" x14ac:dyDescent="0.25">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c r="BE367" s="28"/>
    </row>
    <row r="368" spans="2:57" ht="15.75" customHeight="1" x14ac:dyDescent="0.25">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row>
    <row r="369" spans="2:57" ht="15.75" customHeight="1" x14ac:dyDescent="0.25">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c r="BE369" s="28"/>
    </row>
    <row r="370" spans="2:57" ht="15.75" customHeight="1" x14ac:dyDescent="0.25">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row>
    <row r="371" spans="2:57" ht="15.75" customHeight="1" x14ac:dyDescent="0.25">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c r="BE371" s="28"/>
    </row>
    <row r="372" spans="2:57" ht="15.75" customHeight="1" x14ac:dyDescent="0.25">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row>
    <row r="373" spans="2:57" ht="15.75" customHeight="1" x14ac:dyDescent="0.25">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c r="BE373" s="28"/>
    </row>
    <row r="374" spans="2:57" ht="15.75" customHeight="1" x14ac:dyDescent="0.25">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row>
    <row r="375" spans="2:57" ht="15.75" customHeight="1" x14ac:dyDescent="0.25">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c r="BE375" s="28"/>
    </row>
    <row r="376" spans="2:57" ht="15.75" customHeight="1" x14ac:dyDescent="0.25">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row>
    <row r="377" spans="2:57" ht="15.75" customHeight="1" x14ac:dyDescent="0.25">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c r="BE377" s="28"/>
    </row>
    <row r="378" spans="2:57" ht="15.75" customHeight="1" x14ac:dyDescent="0.25">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row>
    <row r="379" spans="2:57" ht="15.75" customHeight="1" x14ac:dyDescent="0.25">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c r="BD379" s="28"/>
      <c r="BE379" s="28"/>
    </row>
    <row r="380" spans="2:57" ht="15.75" customHeight="1" x14ac:dyDescent="0.25">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c r="BE380" s="28"/>
    </row>
    <row r="381" spans="2:57" ht="15.75" customHeight="1" x14ac:dyDescent="0.25">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c r="BD381" s="28"/>
      <c r="BE381" s="28"/>
    </row>
    <row r="382" spans="2:57" ht="15.75" customHeight="1" x14ac:dyDescent="0.25">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8"/>
    </row>
    <row r="383" spans="2:57" ht="15.75" customHeight="1" x14ac:dyDescent="0.25">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c r="BD383" s="28"/>
      <c r="BE383" s="28"/>
    </row>
    <row r="384" spans="2:57" ht="15.75" customHeight="1" x14ac:dyDescent="0.25">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c r="BE384" s="28"/>
    </row>
    <row r="385" spans="2:57" ht="15.75" customHeight="1" x14ac:dyDescent="0.25">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c r="BE385" s="28"/>
    </row>
    <row r="386" spans="2:57" ht="15.75" customHeight="1" x14ac:dyDescent="0.25">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c r="BE386" s="28"/>
    </row>
    <row r="387" spans="2:57" ht="15.75" customHeight="1" x14ac:dyDescent="0.25">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c r="BE387" s="28"/>
    </row>
    <row r="388" spans="2:57" ht="15.75" customHeight="1" x14ac:dyDescent="0.25">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c r="BE388" s="28"/>
    </row>
    <row r="389" spans="2:57" ht="15.75" customHeight="1" x14ac:dyDescent="0.25">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c r="BE389" s="28"/>
    </row>
    <row r="390" spans="2:57" ht="15.75" customHeight="1" x14ac:dyDescent="0.25">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c r="BE390" s="28"/>
    </row>
    <row r="391" spans="2:57" ht="15.75" customHeight="1" x14ac:dyDescent="0.25">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c r="BD391" s="28"/>
      <c r="BE391" s="28"/>
    </row>
    <row r="392" spans="2:57" ht="15.75" customHeight="1" x14ac:dyDescent="0.25">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row>
    <row r="393" spans="2:57" ht="15.75" customHeight="1" x14ac:dyDescent="0.25">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c r="BD393" s="28"/>
      <c r="BE393" s="28"/>
    </row>
    <row r="394" spans="2:57" ht="15.75" customHeight="1" x14ac:dyDescent="0.25">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c r="BE394" s="28"/>
    </row>
    <row r="395" spans="2:57" ht="15.75" customHeight="1" x14ac:dyDescent="0.25">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c r="BE395" s="28"/>
    </row>
    <row r="396" spans="2:57" ht="15.75" customHeight="1" x14ac:dyDescent="0.25">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c r="BE396" s="28"/>
    </row>
    <row r="397" spans="2:57" ht="15.75" customHeight="1" x14ac:dyDescent="0.25">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c r="BD397" s="28"/>
      <c r="BE397" s="28"/>
    </row>
    <row r="398" spans="2:57" ht="15.75" customHeight="1" x14ac:dyDescent="0.25">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c r="BE398" s="28"/>
    </row>
    <row r="399" spans="2:57" ht="15.75" customHeight="1" x14ac:dyDescent="0.25">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c r="BD399" s="28"/>
      <c r="BE399" s="28"/>
    </row>
    <row r="400" spans="2:57" ht="15.75" customHeight="1" x14ac:dyDescent="0.25">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c r="BE400" s="28"/>
    </row>
    <row r="401" spans="2:57" ht="15.75" customHeight="1" x14ac:dyDescent="0.25">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c r="BD401" s="28"/>
      <c r="BE401" s="28"/>
    </row>
    <row r="402" spans="2:57" ht="15.75" customHeight="1" x14ac:dyDescent="0.25">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c r="BE402" s="28"/>
    </row>
    <row r="403" spans="2:57" ht="15.75" customHeight="1" x14ac:dyDescent="0.25">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c r="BD403" s="28"/>
      <c r="BE403" s="28"/>
    </row>
    <row r="404" spans="2:57" ht="15.75" customHeight="1" x14ac:dyDescent="0.25">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c r="BE404" s="28"/>
    </row>
    <row r="405" spans="2:57" ht="15.75" customHeight="1" x14ac:dyDescent="0.25">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c r="BD405" s="28"/>
      <c r="BE405" s="28"/>
    </row>
    <row r="406" spans="2:57" ht="15.75" customHeight="1" x14ac:dyDescent="0.25">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8"/>
    </row>
    <row r="407" spans="2:57" ht="15.75" customHeight="1" x14ac:dyDescent="0.25">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c r="BD407" s="28"/>
      <c r="BE407" s="28"/>
    </row>
    <row r="408" spans="2:57" ht="15.75" customHeight="1" x14ac:dyDescent="0.25">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c r="BE408" s="28"/>
    </row>
    <row r="409" spans="2:57" ht="15.75" customHeight="1" x14ac:dyDescent="0.25">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c r="BD409" s="28"/>
      <c r="BE409" s="28"/>
    </row>
    <row r="410" spans="2:57" ht="15.75" customHeight="1" x14ac:dyDescent="0.25">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c r="BE410" s="28"/>
    </row>
    <row r="411" spans="2:57" ht="15.75" customHeight="1" x14ac:dyDescent="0.25">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c r="BD411" s="28"/>
      <c r="BE411" s="28"/>
    </row>
    <row r="412" spans="2:57" ht="15.75" customHeight="1" x14ac:dyDescent="0.25">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c r="BE412" s="28"/>
    </row>
    <row r="413" spans="2:57" ht="15.75" customHeight="1" x14ac:dyDescent="0.25">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c r="BD413" s="28"/>
      <c r="BE413" s="28"/>
    </row>
    <row r="414" spans="2:57" ht="15.75" customHeight="1" x14ac:dyDescent="0.25">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c r="BE414" s="28"/>
    </row>
    <row r="415" spans="2:57" ht="15.75" customHeight="1" x14ac:dyDescent="0.25">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c r="BE415" s="28"/>
    </row>
    <row r="416" spans="2:57" ht="15.75" customHeight="1" x14ac:dyDescent="0.25">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c r="BE416" s="28"/>
    </row>
    <row r="417" spans="2:57" ht="15.75" customHeight="1" x14ac:dyDescent="0.25">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c r="BE417" s="28"/>
    </row>
    <row r="418" spans="2:57" ht="15.75" customHeight="1" x14ac:dyDescent="0.25">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c r="BE418" s="28"/>
    </row>
    <row r="419" spans="2:57" ht="15.75" customHeight="1" x14ac:dyDescent="0.25">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c r="BD419" s="28"/>
      <c r="BE419" s="28"/>
    </row>
    <row r="420" spans="2:57" ht="15.75" customHeight="1" x14ac:dyDescent="0.25">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c r="BE420" s="28"/>
    </row>
    <row r="421" spans="2:57" ht="15.75" customHeight="1" x14ac:dyDescent="0.25">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c r="BD421" s="28"/>
      <c r="BE421" s="28"/>
    </row>
    <row r="422" spans="2:57" ht="15.75" customHeight="1" x14ac:dyDescent="0.25">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c r="BE422" s="28"/>
    </row>
    <row r="423" spans="2:57" ht="15.75" customHeight="1" x14ac:dyDescent="0.25">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c r="BE423" s="28"/>
    </row>
    <row r="424" spans="2:57" ht="15.75" customHeight="1" x14ac:dyDescent="0.25">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c r="BE424" s="28"/>
    </row>
    <row r="425" spans="2:57" ht="15.75" customHeight="1" x14ac:dyDescent="0.25">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c r="BE425" s="28"/>
    </row>
    <row r="426" spans="2:57" ht="15.75" customHeight="1" x14ac:dyDescent="0.25">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c r="BE426" s="28"/>
    </row>
    <row r="427" spans="2:57" ht="15.75" customHeight="1" x14ac:dyDescent="0.25">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c r="BD427" s="28"/>
      <c r="BE427" s="28"/>
    </row>
    <row r="428" spans="2:57" ht="15.75" customHeight="1" x14ac:dyDescent="0.25">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row>
    <row r="429" spans="2:57" ht="15.75" customHeight="1" x14ac:dyDescent="0.25">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c r="BD429" s="28"/>
      <c r="BE429" s="28"/>
    </row>
    <row r="430" spans="2:57" ht="15.75" customHeight="1" x14ac:dyDescent="0.25">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8"/>
    </row>
    <row r="431" spans="2:57" ht="15.75" customHeight="1" x14ac:dyDescent="0.25">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c r="BD431" s="28"/>
      <c r="BE431" s="28"/>
    </row>
    <row r="432" spans="2:57" ht="15.75" customHeight="1" x14ac:dyDescent="0.25">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c r="BE432" s="28"/>
    </row>
    <row r="433" spans="2:57" ht="15.75" customHeight="1" x14ac:dyDescent="0.25">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c r="BD433" s="28"/>
      <c r="BE433" s="28"/>
    </row>
    <row r="434" spans="2:57" ht="15.75" customHeight="1" x14ac:dyDescent="0.25">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c r="BE434" s="28"/>
    </row>
    <row r="435" spans="2:57" ht="15.75" customHeight="1" x14ac:dyDescent="0.25">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c r="BD435" s="28"/>
      <c r="BE435" s="28"/>
    </row>
    <row r="436" spans="2:57" ht="15.75" customHeight="1" x14ac:dyDescent="0.25">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c r="BE436" s="28"/>
    </row>
    <row r="437" spans="2:57" ht="15.75" customHeight="1" x14ac:dyDescent="0.25">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c r="BE437" s="28"/>
    </row>
    <row r="438" spans="2:57" ht="15.75" customHeight="1" x14ac:dyDescent="0.25">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c r="BE438" s="28"/>
    </row>
    <row r="439" spans="2:57" ht="15.75" customHeight="1" x14ac:dyDescent="0.25">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c r="BD439" s="28"/>
      <c r="BE439" s="28"/>
    </row>
    <row r="440" spans="2:57" ht="15.75" customHeight="1" x14ac:dyDescent="0.25">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c r="BE440" s="28"/>
    </row>
    <row r="441" spans="2:57" ht="15.75" customHeight="1" x14ac:dyDescent="0.25">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c r="BD441" s="28"/>
      <c r="BE441" s="28"/>
    </row>
    <row r="442" spans="2:57" ht="15.75" customHeight="1" x14ac:dyDescent="0.25">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c r="BE442" s="28"/>
    </row>
    <row r="443" spans="2:57" ht="15.75" customHeight="1" x14ac:dyDescent="0.25">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c r="BD443" s="28"/>
      <c r="BE443" s="28"/>
    </row>
    <row r="444" spans="2:57" ht="15.75" customHeight="1" x14ac:dyDescent="0.25">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row>
    <row r="445" spans="2:57" ht="15.75" customHeight="1" x14ac:dyDescent="0.25">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c r="BD445" s="28"/>
      <c r="BE445" s="28"/>
    </row>
    <row r="446" spans="2:57" ht="15.75" customHeight="1" x14ac:dyDescent="0.25">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8"/>
    </row>
    <row r="447" spans="2:57" ht="15.75" customHeight="1" x14ac:dyDescent="0.25">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c r="BD447" s="28"/>
      <c r="BE447" s="28"/>
    </row>
    <row r="448" spans="2:57" ht="15.75" customHeight="1" x14ac:dyDescent="0.25">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c r="BE448" s="28"/>
    </row>
    <row r="449" spans="2:57" ht="15.75" customHeight="1" x14ac:dyDescent="0.25">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c r="BE449" s="28"/>
    </row>
    <row r="450" spans="2:57" ht="15.75" customHeight="1" x14ac:dyDescent="0.25">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8"/>
    </row>
    <row r="451" spans="2:57" ht="15.75" customHeight="1" x14ac:dyDescent="0.25">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c r="BD451" s="28"/>
      <c r="BE451" s="28"/>
    </row>
    <row r="452" spans="2:57" ht="15.75" customHeight="1" x14ac:dyDescent="0.25">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c r="BE452" s="28"/>
    </row>
    <row r="453" spans="2:57" ht="15.75" customHeight="1" x14ac:dyDescent="0.25">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c r="BD453" s="28"/>
      <c r="BE453" s="28"/>
    </row>
    <row r="454" spans="2:57" ht="15.75" customHeight="1" x14ac:dyDescent="0.25">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row>
    <row r="455" spans="2:57" ht="15.75" customHeight="1" x14ac:dyDescent="0.25">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c r="BE455" s="28"/>
    </row>
    <row r="456" spans="2:57" ht="15.75" customHeight="1" x14ac:dyDescent="0.25">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8"/>
    </row>
    <row r="457" spans="2:57" ht="15.75" customHeight="1" x14ac:dyDescent="0.25">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c r="BE457" s="28"/>
    </row>
    <row r="458" spans="2:57" ht="15.75" customHeight="1" x14ac:dyDescent="0.25">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row>
    <row r="459" spans="2:57" ht="15.75" customHeight="1" x14ac:dyDescent="0.25">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c r="BE459" s="28"/>
    </row>
    <row r="460" spans="2:57" ht="15.75" customHeight="1" x14ac:dyDescent="0.25">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8"/>
    </row>
    <row r="461" spans="2:57" ht="15.75" customHeight="1" x14ac:dyDescent="0.25">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c r="BE461" s="28"/>
    </row>
    <row r="462" spans="2:57" ht="15.75" customHeight="1" x14ac:dyDescent="0.25">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c r="BE462" s="28"/>
    </row>
    <row r="463" spans="2:57" ht="15.75" customHeight="1" x14ac:dyDescent="0.25">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c r="BE463" s="28"/>
    </row>
    <row r="464" spans="2:57" ht="15.75" customHeight="1" x14ac:dyDescent="0.25">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c r="BE464" s="28"/>
    </row>
    <row r="465" spans="2:57" ht="15.75" customHeight="1" x14ac:dyDescent="0.25">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c r="BD465" s="28"/>
      <c r="BE465" s="28"/>
    </row>
    <row r="466" spans="2:57" ht="15.75" customHeight="1" x14ac:dyDescent="0.25">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c r="BE466" s="28"/>
    </row>
    <row r="467" spans="2:57" ht="15.75" customHeight="1" x14ac:dyDescent="0.25">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c r="BE467" s="28"/>
    </row>
    <row r="468" spans="2:57" ht="15.75" customHeight="1" x14ac:dyDescent="0.25">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8"/>
    </row>
    <row r="469" spans="2:57" ht="15.75" customHeight="1" x14ac:dyDescent="0.25">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c r="BE469" s="28"/>
    </row>
    <row r="470" spans="2:57" ht="15.75" customHeight="1" x14ac:dyDescent="0.25">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c r="BE470" s="28"/>
    </row>
    <row r="471" spans="2:57" ht="15.75" customHeight="1" x14ac:dyDescent="0.25">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c r="BE471" s="28"/>
    </row>
    <row r="472" spans="2:57" ht="15.75" customHeight="1" x14ac:dyDescent="0.25">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c r="BE472" s="28"/>
    </row>
    <row r="473" spans="2:57" ht="15.75" customHeight="1" x14ac:dyDescent="0.25">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c r="BD473" s="28"/>
      <c r="BE473" s="28"/>
    </row>
    <row r="474" spans="2:57" ht="15.75" customHeight="1" x14ac:dyDescent="0.25">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c r="BE474" s="28"/>
    </row>
    <row r="475" spans="2:57" ht="15.75" customHeight="1" x14ac:dyDescent="0.25">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c r="BE475" s="28"/>
    </row>
    <row r="476" spans="2:57" ht="15.75" customHeight="1" x14ac:dyDescent="0.25">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8"/>
    </row>
    <row r="477" spans="2:57" ht="15.75" customHeight="1" x14ac:dyDescent="0.25">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c r="BE477" s="28"/>
    </row>
    <row r="478" spans="2:57" ht="15.75" customHeight="1" x14ac:dyDescent="0.25">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c r="BE478" s="28"/>
    </row>
    <row r="479" spans="2:57" ht="15.75" customHeight="1" x14ac:dyDescent="0.25">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c r="BE479" s="28"/>
    </row>
    <row r="480" spans="2:57" ht="15.75" customHeight="1" x14ac:dyDescent="0.25">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c r="BE480" s="28"/>
    </row>
    <row r="481" spans="2:57" ht="15.75" customHeight="1" x14ac:dyDescent="0.25">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c r="BD481" s="28"/>
      <c r="BE481" s="28"/>
    </row>
    <row r="482" spans="2:57" ht="15.75" customHeight="1" x14ac:dyDescent="0.25">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c r="BE482" s="28"/>
    </row>
    <row r="483" spans="2:57" ht="15.75" customHeight="1" x14ac:dyDescent="0.25">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c r="BD483" s="28"/>
      <c r="BE483" s="28"/>
    </row>
    <row r="484" spans="2:57" ht="15.75" customHeight="1" x14ac:dyDescent="0.25">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c r="BD484" s="28"/>
      <c r="BE484" s="28"/>
    </row>
    <row r="485" spans="2:57" ht="15.75" customHeight="1" x14ac:dyDescent="0.25">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c r="AN485" s="28"/>
      <c r="AO485" s="28"/>
      <c r="AP485" s="28"/>
      <c r="AQ485" s="28"/>
      <c r="AR485" s="28"/>
      <c r="AS485" s="28"/>
      <c r="AT485" s="28"/>
      <c r="AU485" s="28"/>
      <c r="AV485" s="28"/>
      <c r="AW485" s="28"/>
      <c r="AX485" s="28"/>
      <c r="AY485" s="28"/>
      <c r="AZ485" s="28"/>
      <c r="BA485" s="28"/>
      <c r="BB485" s="28"/>
      <c r="BC485" s="28"/>
      <c r="BD485" s="28"/>
      <c r="BE485" s="28"/>
    </row>
    <row r="486" spans="2:57" ht="15.75" customHeight="1" x14ac:dyDescent="0.25">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c r="BD486" s="28"/>
      <c r="BE486" s="28"/>
    </row>
    <row r="487" spans="2:57" ht="15.75" customHeight="1" x14ac:dyDescent="0.25">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c r="AN487" s="28"/>
      <c r="AO487" s="28"/>
      <c r="AP487" s="28"/>
      <c r="AQ487" s="28"/>
      <c r="AR487" s="28"/>
      <c r="AS487" s="28"/>
      <c r="AT487" s="28"/>
      <c r="AU487" s="28"/>
      <c r="AV487" s="28"/>
      <c r="AW487" s="28"/>
      <c r="AX487" s="28"/>
      <c r="AY487" s="28"/>
      <c r="AZ487" s="28"/>
      <c r="BA487" s="28"/>
      <c r="BB487" s="28"/>
      <c r="BC487" s="28"/>
      <c r="BD487" s="28"/>
      <c r="BE487" s="28"/>
    </row>
    <row r="488" spans="2:57" ht="15.75" customHeight="1" x14ac:dyDescent="0.25">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c r="BD488" s="28"/>
      <c r="BE488" s="28"/>
    </row>
    <row r="489" spans="2:57" ht="15.75" customHeight="1" x14ac:dyDescent="0.25">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c r="AN489" s="28"/>
      <c r="AO489" s="28"/>
      <c r="AP489" s="28"/>
      <c r="AQ489" s="28"/>
      <c r="AR489" s="28"/>
      <c r="AS489" s="28"/>
      <c r="AT489" s="28"/>
      <c r="AU489" s="28"/>
      <c r="AV489" s="28"/>
      <c r="AW489" s="28"/>
      <c r="AX489" s="28"/>
      <c r="AY489" s="28"/>
      <c r="AZ489" s="28"/>
      <c r="BA489" s="28"/>
      <c r="BB489" s="28"/>
      <c r="BC489" s="28"/>
      <c r="BD489" s="28"/>
      <c r="BE489" s="28"/>
    </row>
    <row r="490" spans="2:57" ht="15.75" customHeight="1" x14ac:dyDescent="0.25">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c r="BD490" s="28"/>
      <c r="BE490" s="28"/>
    </row>
    <row r="491" spans="2:57" ht="15.75" customHeight="1" x14ac:dyDescent="0.25">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c r="AN491" s="28"/>
      <c r="AO491" s="28"/>
      <c r="AP491" s="28"/>
      <c r="AQ491" s="28"/>
      <c r="AR491" s="28"/>
      <c r="AS491" s="28"/>
      <c r="AT491" s="28"/>
      <c r="AU491" s="28"/>
      <c r="AV491" s="28"/>
      <c r="AW491" s="28"/>
      <c r="AX491" s="28"/>
      <c r="AY491" s="28"/>
      <c r="AZ491" s="28"/>
      <c r="BA491" s="28"/>
      <c r="BB491" s="28"/>
      <c r="BC491" s="28"/>
      <c r="BD491" s="28"/>
      <c r="BE491" s="28"/>
    </row>
    <row r="492" spans="2:57" ht="15.75" customHeight="1" x14ac:dyDescent="0.25">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c r="BD492" s="28"/>
      <c r="BE492" s="28"/>
    </row>
    <row r="493" spans="2:57" ht="15.75" customHeight="1" x14ac:dyDescent="0.25">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c r="AN493" s="28"/>
      <c r="AO493" s="28"/>
      <c r="AP493" s="28"/>
      <c r="AQ493" s="28"/>
      <c r="AR493" s="28"/>
      <c r="AS493" s="28"/>
      <c r="AT493" s="28"/>
      <c r="AU493" s="28"/>
      <c r="AV493" s="28"/>
      <c r="AW493" s="28"/>
      <c r="AX493" s="28"/>
      <c r="AY493" s="28"/>
      <c r="AZ493" s="28"/>
      <c r="BA493" s="28"/>
      <c r="BB493" s="28"/>
      <c r="BC493" s="28"/>
      <c r="BD493" s="28"/>
      <c r="BE493" s="28"/>
    </row>
    <row r="494" spans="2:57" ht="15.75" customHeight="1" x14ac:dyDescent="0.25">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c r="BD494" s="28"/>
      <c r="BE494" s="28"/>
    </row>
    <row r="495" spans="2:57" ht="15.75" customHeight="1" x14ac:dyDescent="0.25">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c r="AN495" s="28"/>
      <c r="AO495" s="28"/>
      <c r="AP495" s="28"/>
      <c r="AQ495" s="28"/>
      <c r="AR495" s="28"/>
      <c r="AS495" s="28"/>
      <c r="AT495" s="28"/>
      <c r="AU495" s="28"/>
      <c r="AV495" s="28"/>
      <c r="AW495" s="28"/>
      <c r="AX495" s="28"/>
      <c r="AY495" s="28"/>
      <c r="AZ495" s="28"/>
      <c r="BA495" s="28"/>
      <c r="BB495" s="28"/>
      <c r="BC495" s="28"/>
      <c r="BD495" s="28"/>
      <c r="BE495" s="28"/>
    </row>
    <row r="496" spans="2:57" ht="15.75" customHeight="1" x14ac:dyDescent="0.25">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c r="BE496" s="28"/>
    </row>
    <row r="497" spans="2:57" ht="15.75" customHeight="1" x14ac:dyDescent="0.25">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c r="AN497" s="28"/>
      <c r="AO497" s="28"/>
      <c r="AP497" s="28"/>
      <c r="AQ497" s="28"/>
      <c r="AR497" s="28"/>
      <c r="AS497" s="28"/>
      <c r="AT497" s="28"/>
      <c r="AU497" s="28"/>
      <c r="AV497" s="28"/>
      <c r="AW497" s="28"/>
      <c r="AX497" s="28"/>
      <c r="AY497" s="28"/>
      <c r="AZ497" s="28"/>
      <c r="BA497" s="28"/>
      <c r="BB497" s="28"/>
      <c r="BC497" s="28"/>
      <c r="BD497" s="28"/>
      <c r="BE497" s="28"/>
    </row>
    <row r="498" spans="2:57" ht="15.75" customHeight="1" x14ac:dyDescent="0.25">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c r="BD498" s="28"/>
      <c r="BE498" s="28"/>
    </row>
    <row r="499" spans="2:57" ht="15.75" customHeight="1" x14ac:dyDescent="0.25">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c r="AN499" s="28"/>
      <c r="AO499" s="28"/>
      <c r="AP499" s="28"/>
      <c r="AQ499" s="28"/>
      <c r="AR499" s="28"/>
      <c r="AS499" s="28"/>
      <c r="AT499" s="28"/>
      <c r="AU499" s="28"/>
      <c r="AV499" s="28"/>
      <c r="AW499" s="28"/>
      <c r="AX499" s="28"/>
      <c r="AY499" s="28"/>
      <c r="AZ499" s="28"/>
      <c r="BA499" s="28"/>
      <c r="BB499" s="28"/>
      <c r="BC499" s="28"/>
      <c r="BD499" s="28"/>
      <c r="BE499" s="28"/>
    </row>
    <row r="500" spans="2:57" ht="15.75" customHeight="1" x14ac:dyDescent="0.25">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c r="BD500" s="28"/>
      <c r="BE500" s="28"/>
    </row>
    <row r="501" spans="2:57" ht="15.75" customHeight="1" x14ac:dyDescent="0.25">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c r="AN501" s="28"/>
      <c r="AO501" s="28"/>
      <c r="AP501" s="28"/>
      <c r="AQ501" s="28"/>
      <c r="AR501" s="28"/>
      <c r="AS501" s="28"/>
      <c r="AT501" s="28"/>
      <c r="AU501" s="28"/>
      <c r="AV501" s="28"/>
      <c r="AW501" s="28"/>
      <c r="AX501" s="28"/>
      <c r="AY501" s="28"/>
      <c r="AZ501" s="28"/>
      <c r="BA501" s="28"/>
      <c r="BB501" s="28"/>
      <c r="BC501" s="28"/>
      <c r="BD501" s="28"/>
      <c r="BE501" s="28"/>
    </row>
    <row r="502" spans="2:57" ht="15.75" customHeight="1" x14ac:dyDescent="0.25">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c r="BD502" s="28"/>
      <c r="BE502" s="28"/>
    </row>
    <row r="503" spans="2:57" ht="15.75" customHeight="1" x14ac:dyDescent="0.25">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c r="AN503" s="28"/>
      <c r="AO503" s="28"/>
      <c r="AP503" s="28"/>
      <c r="AQ503" s="28"/>
      <c r="AR503" s="28"/>
      <c r="AS503" s="28"/>
      <c r="AT503" s="28"/>
      <c r="AU503" s="28"/>
      <c r="AV503" s="28"/>
      <c r="AW503" s="28"/>
      <c r="AX503" s="28"/>
      <c r="AY503" s="28"/>
      <c r="AZ503" s="28"/>
      <c r="BA503" s="28"/>
      <c r="BB503" s="28"/>
      <c r="BC503" s="28"/>
      <c r="BD503" s="28"/>
      <c r="BE503" s="28"/>
    </row>
    <row r="504" spans="2:57" ht="15.75" customHeight="1" x14ac:dyDescent="0.25">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c r="BD504" s="28"/>
      <c r="BE504" s="28"/>
    </row>
    <row r="505" spans="2:57" ht="15.75" customHeight="1" x14ac:dyDescent="0.25">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c r="AN505" s="28"/>
      <c r="AO505" s="28"/>
      <c r="AP505" s="28"/>
      <c r="AQ505" s="28"/>
      <c r="AR505" s="28"/>
      <c r="AS505" s="28"/>
      <c r="AT505" s="28"/>
      <c r="AU505" s="28"/>
      <c r="AV505" s="28"/>
      <c r="AW505" s="28"/>
      <c r="AX505" s="28"/>
      <c r="AY505" s="28"/>
      <c r="AZ505" s="28"/>
      <c r="BA505" s="28"/>
      <c r="BB505" s="28"/>
      <c r="BC505" s="28"/>
      <c r="BD505" s="28"/>
      <c r="BE505" s="28"/>
    </row>
    <row r="506" spans="2:57" ht="15.75" customHeight="1" x14ac:dyDescent="0.25">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c r="BD506" s="28"/>
      <c r="BE506" s="28"/>
    </row>
    <row r="507" spans="2:57" ht="15.75" customHeight="1" x14ac:dyDescent="0.25">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c r="AN507" s="28"/>
      <c r="AO507" s="28"/>
      <c r="AP507" s="28"/>
      <c r="AQ507" s="28"/>
      <c r="AR507" s="28"/>
      <c r="AS507" s="28"/>
      <c r="AT507" s="28"/>
      <c r="AU507" s="28"/>
      <c r="AV507" s="28"/>
      <c r="AW507" s="28"/>
      <c r="AX507" s="28"/>
      <c r="AY507" s="28"/>
      <c r="AZ507" s="28"/>
      <c r="BA507" s="28"/>
      <c r="BB507" s="28"/>
      <c r="BC507" s="28"/>
      <c r="BD507" s="28"/>
      <c r="BE507" s="28"/>
    </row>
    <row r="508" spans="2:57" ht="15.75" customHeight="1" x14ac:dyDescent="0.25">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c r="BE508" s="28"/>
    </row>
    <row r="509" spans="2:57" ht="15.75" customHeight="1" x14ac:dyDescent="0.25">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c r="AN509" s="28"/>
      <c r="AO509" s="28"/>
      <c r="AP509" s="28"/>
      <c r="AQ509" s="28"/>
      <c r="AR509" s="28"/>
      <c r="AS509" s="28"/>
      <c r="AT509" s="28"/>
      <c r="AU509" s="28"/>
      <c r="AV509" s="28"/>
      <c r="AW509" s="28"/>
      <c r="AX509" s="28"/>
      <c r="AY509" s="28"/>
      <c r="AZ509" s="28"/>
      <c r="BA509" s="28"/>
      <c r="BB509" s="28"/>
      <c r="BC509" s="28"/>
      <c r="BD509" s="28"/>
      <c r="BE509" s="28"/>
    </row>
    <row r="510" spans="2:57" ht="15.75" customHeight="1" x14ac:dyDescent="0.25">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c r="BD510" s="28"/>
      <c r="BE510" s="28"/>
    </row>
    <row r="511" spans="2:57" ht="15.75" customHeight="1" x14ac:dyDescent="0.25">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c r="AN511" s="28"/>
      <c r="AO511" s="28"/>
      <c r="AP511" s="28"/>
      <c r="AQ511" s="28"/>
      <c r="AR511" s="28"/>
      <c r="AS511" s="28"/>
      <c r="AT511" s="28"/>
      <c r="AU511" s="28"/>
      <c r="AV511" s="28"/>
      <c r="AW511" s="28"/>
      <c r="AX511" s="28"/>
      <c r="AY511" s="28"/>
      <c r="AZ511" s="28"/>
      <c r="BA511" s="28"/>
      <c r="BB511" s="28"/>
      <c r="BC511" s="28"/>
      <c r="BD511" s="28"/>
      <c r="BE511" s="28"/>
    </row>
    <row r="512" spans="2:57" ht="15.75" customHeight="1" x14ac:dyDescent="0.25">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c r="BD512" s="28"/>
      <c r="BE512" s="28"/>
    </row>
    <row r="513" spans="2:57" ht="15.75" customHeight="1" x14ac:dyDescent="0.25">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c r="AT513" s="28"/>
      <c r="AU513" s="28"/>
      <c r="AV513" s="28"/>
      <c r="AW513" s="28"/>
      <c r="AX513" s="28"/>
      <c r="AY513" s="28"/>
      <c r="AZ513" s="28"/>
      <c r="BA513" s="28"/>
      <c r="BB513" s="28"/>
      <c r="BC513" s="28"/>
      <c r="BD513" s="28"/>
      <c r="BE513" s="28"/>
    </row>
    <row r="514" spans="2:57" ht="15.75" customHeight="1" x14ac:dyDescent="0.25">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c r="BD514" s="28"/>
      <c r="BE514" s="28"/>
    </row>
    <row r="515" spans="2:57" ht="15.75" customHeight="1" x14ac:dyDescent="0.25">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c r="AN515" s="28"/>
      <c r="AO515" s="28"/>
      <c r="AP515" s="28"/>
      <c r="AQ515" s="28"/>
      <c r="AR515" s="28"/>
      <c r="AS515" s="28"/>
      <c r="AT515" s="28"/>
      <c r="AU515" s="28"/>
      <c r="AV515" s="28"/>
      <c r="AW515" s="28"/>
      <c r="AX515" s="28"/>
      <c r="AY515" s="28"/>
      <c r="AZ515" s="28"/>
      <c r="BA515" s="28"/>
      <c r="BB515" s="28"/>
      <c r="BC515" s="28"/>
      <c r="BD515" s="28"/>
      <c r="BE515" s="28"/>
    </row>
    <row r="516" spans="2:57" ht="15.75" customHeight="1" x14ac:dyDescent="0.25">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c r="BD516" s="28"/>
      <c r="BE516" s="28"/>
    </row>
    <row r="517" spans="2:57" ht="15.75" customHeight="1" x14ac:dyDescent="0.25">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c r="AT517" s="28"/>
      <c r="AU517" s="28"/>
      <c r="AV517" s="28"/>
      <c r="AW517" s="28"/>
      <c r="AX517" s="28"/>
      <c r="AY517" s="28"/>
      <c r="AZ517" s="28"/>
      <c r="BA517" s="28"/>
      <c r="BB517" s="28"/>
      <c r="BC517" s="28"/>
      <c r="BD517" s="28"/>
      <c r="BE517" s="28"/>
    </row>
    <row r="518" spans="2:57" ht="15.75" customHeight="1" x14ac:dyDescent="0.25">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c r="BD518" s="28"/>
      <c r="BE518" s="28"/>
    </row>
    <row r="519" spans="2:57" ht="15.75" customHeight="1" x14ac:dyDescent="0.25">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c r="AT519" s="28"/>
      <c r="AU519" s="28"/>
      <c r="AV519" s="28"/>
      <c r="AW519" s="28"/>
      <c r="AX519" s="28"/>
      <c r="AY519" s="28"/>
      <c r="AZ519" s="28"/>
      <c r="BA519" s="28"/>
      <c r="BB519" s="28"/>
      <c r="BC519" s="28"/>
      <c r="BD519" s="28"/>
      <c r="BE519" s="28"/>
    </row>
    <row r="520" spans="2:57" ht="15.75" customHeight="1" x14ac:dyDescent="0.25">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c r="BD520" s="28"/>
      <c r="BE520" s="28"/>
    </row>
    <row r="521" spans="2:57" ht="15.75" customHeight="1" x14ac:dyDescent="0.25">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c r="AN521" s="28"/>
      <c r="AO521" s="28"/>
      <c r="AP521" s="28"/>
      <c r="AQ521" s="28"/>
      <c r="AR521" s="28"/>
      <c r="AS521" s="28"/>
      <c r="AT521" s="28"/>
      <c r="AU521" s="28"/>
      <c r="AV521" s="28"/>
      <c r="AW521" s="28"/>
      <c r="AX521" s="28"/>
      <c r="AY521" s="28"/>
      <c r="AZ521" s="28"/>
      <c r="BA521" s="28"/>
      <c r="BB521" s="28"/>
      <c r="BC521" s="28"/>
      <c r="BD521" s="28"/>
      <c r="BE521" s="28"/>
    </row>
    <row r="522" spans="2:57" ht="15.75" customHeight="1" x14ac:dyDescent="0.25">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c r="BD522" s="28"/>
      <c r="BE522" s="28"/>
    </row>
    <row r="523" spans="2:57" ht="15.75" customHeight="1" x14ac:dyDescent="0.25">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c r="AN523" s="28"/>
      <c r="AO523" s="28"/>
      <c r="AP523" s="28"/>
      <c r="AQ523" s="28"/>
      <c r="AR523" s="28"/>
      <c r="AS523" s="28"/>
      <c r="AT523" s="28"/>
      <c r="AU523" s="28"/>
      <c r="AV523" s="28"/>
      <c r="AW523" s="28"/>
      <c r="AX523" s="28"/>
      <c r="AY523" s="28"/>
      <c r="AZ523" s="28"/>
      <c r="BA523" s="28"/>
      <c r="BB523" s="28"/>
      <c r="BC523" s="28"/>
      <c r="BD523" s="28"/>
      <c r="BE523" s="28"/>
    </row>
    <row r="524" spans="2:57" ht="15.75" customHeight="1" x14ac:dyDescent="0.25">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c r="BD524" s="28"/>
      <c r="BE524" s="28"/>
    </row>
    <row r="525" spans="2:57" ht="15.75" customHeight="1" x14ac:dyDescent="0.25">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c r="AN525" s="28"/>
      <c r="AO525" s="28"/>
      <c r="AP525" s="28"/>
      <c r="AQ525" s="28"/>
      <c r="AR525" s="28"/>
      <c r="AS525" s="28"/>
      <c r="AT525" s="28"/>
      <c r="AU525" s="28"/>
      <c r="AV525" s="28"/>
      <c r="AW525" s="28"/>
      <c r="AX525" s="28"/>
      <c r="AY525" s="28"/>
      <c r="AZ525" s="28"/>
      <c r="BA525" s="28"/>
      <c r="BB525" s="28"/>
      <c r="BC525" s="28"/>
      <c r="BD525" s="28"/>
      <c r="BE525" s="28"/>
    </row>
    <row r="526" spans="2:57" ht="15.75" customHeight="1" x14ac:dyDescent="0.25">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c r="BD526" s="28"/>
      <c r="BE526" s="28"/>
    </row>
    <row r="527" spans="2:57" ht="15.75" customHeight="1" x14ac:dyDescent="0.25">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c r="AN527" s="28"/>
      <c r="AO527" s="28"/>
      <c r="AP527" s="28"/>
      <c r="AQ527" s="28"/>
      <c r="AR527" s="28"/>
      <c r="AS527" s="28"/>
      <c r="AT527" s="28"/>
      <c r="AU527" s="28"/>
      <c r="AV527" s="28"/>
      <c r="AW527" s="28"/>
      <c r="AX527" s="28"/>
      <c r="AY527" s="28"/>
      <c r="AZ527" s="28"/>
      <c r="BA527" s="28"/>
      <c r="BB527" s="28"/>
      <c r="BC527" s="28"/>
      <c r="BD527" s="28"/>
      <c r="BE527" s="28"/>
    </row>
    <row r="528" spans="2:57" ht="15.75" customHeight="1" x14ac:dyDescent="0.25">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c r="BD528" s="28"/>
      <c r="BE528" s="28"/>
    </row>
    <row r="529" spans="2:57" ht="15.75" customHeight="1" x14ac:dyDescent="0.25">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c r="AN529" s="28"/>
      <c r="AO529" s="28"/>
      <c r="AP529" s="28"/>
      <c r="AQ529" s="28"/>
      <c r="AR529" s="28"/>
      <c r="AS529" s="28"/>
      <c r="AT529" s="28"/>
      <c r="AU529" s="28"/>
      <c r="AV529" s="28"/>
      <c r="AW529" s="28"/>
      <c r="AX529" s="28"/>
      <c r="AY529" s="28"/>
      <c r="AZ529" s="28"/>
      <c r="BA529" s="28"/>
      <c r="BB529" s="28"/>
      <c r="BC529" s="28"/>
      <c r="BD529" s="28"/>
      <c r="BE529" s="28"/>
    </row>
    <row r="530" spans="2:57" ht="15.75" customHeight="1" x14ac:dyDescent="0.25">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c r="BD530" s="28"/>
      <c r="BE530" s="28"/>
    </row>
    <row r="531" spans="2:57" ht="15.75" customHeight="1" x14ac:dyDescent="0.25">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c r="AN531" s="28"/>
      <c r="AO531" s="28"/>
      <c r="AP531" s="28"/>
      <c r="AQ531" s="28"/>
      <c r="AR531" s="28"/>
      <c r="AS531" s="28"/>
      <c r="AT531" s="28"/>
      <c r="AU531" s="28"/>
      <c r="AV531" s="28"/>
      <c r="AW531" s="28"/>
      <c r="AX531" s="28"/>
      <c r="AY531" s="28"/>
      <c r="AZ531" s="28"/>
      <c r="BA531" s="28"/>
      <c r="BB531" s="28"/>
      <c r="BC531" s="28"/>
      <c r="BD531" s="28"/>
      <c r="BE531" s="28"/>
    </row>
    <row r="532" spans="2:57" ht="15.75" customHeight="1" x14ac:dyDescent="0.25">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c r="BD532" s="28"/>
      <c r="BE532" s="28"/>
    </row>
    <row r="533" spans="2:57" ht="15.75" customHeight="1" x14ac:dyDescent="0.25">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c r="AN533" s="28"/>
      <c r="AO533" s="28"/>
      <c r="AP533" s="28"/>
      <c r="AQ533" s="28"/>
      <c r="AR533" s="28"/>
      <c r="AS533" s="28"/>
      <c r="AT533" s="28"/>
      <c r="AU533" s="28"/>
      <c r="AV533" s="28"/>
      <c r="AW533" s="28"/>
      <c r="AX533" s="28"/>
      <c r="AY533" s="28"/>
      <c r="AZ533" s="28"/>
      <c r="BA533" s="28"/>
      <c r="BB533" s="28"/>
      <c r="BC533" s="28"/>
      <c r="BD533" s="28"/>
      <c r="BE533" s="28"/>
    </row>
    <row r="534" spans="2:57" ht="15.75" customHeight="1" x14ac:dyDescent="0.25">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c r="BD534" s="28"/>
      <c r="BE534" s="28"/>
    </row>
    <row r="535" spans="2:57" ht="15.75" customHeight="1" x14ac:dyDescent="0.25">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c r="AN535" s="28"/>
      <c r="AO535" s="28"/>
      <c r="AP535" s="28"/>
      <c r="AQ535" s="28"/>
      <c r="AR535" s="28"/>
      <c r="AS535" s="28"/>
      <c r="AT535" s="28"/>
      <c r="AU535" s="28"/>
      <c r="AV535" s="28"/>
      <c r="AW535" s="28"/>
      <c r="AX535" s="28"/>
      <c r="AY535" s="28"/>
      <c r="AZ535" s="28"/>
      <c r="BA535" s="28"/>
      <c r="BB535" s="28"/>
      <c r="BC535" s="28"/>
      <c r="BD535" s="28"/>
      <c r="BE535" s="28"/>
    </row>
    <row r="536" spans="2:57" ht="15.75" customHeight="1" x14ac:dyDescent="0.25">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c r="BD536" s="28"/>
      <c r="BE536" s="28"/>
    </row>
    <row r="537" spans="2:57" ht="15.75" customHeight="1" x14ac:dyDescent="0.25">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c r="AN537" s="28"/>
      <c r="AO537" s="28"/>
      <c r="AP537" s="28"/>
      <c r="AQ537" s="28"/>
      <c r="AR537" s="28"/>
      <c r="AS537" s="28"/>
      <c r="AT537" s="28"/>
      <c r="AU537" s="28"/>
      <c r="AV537" s="28"/>
      <c r="AW537" s="28"/>
      <c r="AX537" s="28"/>
      <c r="AY537" s="28"/>
      <c r="AZ537" s="28"/>
      <c r="BA537" s="28"/>
      <c r="BB537" s="28"/>
      <c r="BC537" s="28"/>
      <c r="BD537" s="28"/>
      <c r="BE537" s="28"/>
    </row>
    <row r="538" spans="2:57" ht="15.75" customHeight="1" x14ac:dyDescent="0.25">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c r="BD538" s="28"/>
      <c r="BE538" s="28"/>
    </row>
    <row r="539" spans="2:57" ht="15.75" customHeight="1" x14ac:dyDescent="0.25">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c r="AN539" s="28"/>
      <c r="AO539" s="28"/>
      <c r="AP539" s="28"/>
      <c r="AQ539" s="28"/>
      <c r="AR539" s="28"/>
      <c r="AS539" s="28"/>
      <c r="AT539" s="28"/>
      <c r="AU539" s="28"/>
      <c r="AV539" s="28"/>
      <c r="AW539" s="28"/>
      <c r="AX539" s="28"/>
      <c r="AY539" s="28"/>
      <c r="AZ539" s="28"/>
      <c r="BA539" s="28"/>
      <c r="BB539" s="28"/>
      <c r="BC539" s="28"/>
      <c r="BD539" s="28"/>
      <c r="BE539" s="28"/>
    </row>
    <row r="540" spans="2:57" ht="15.75" customHeight="1" x14ac:dyDescent="0.25">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c r="BD540" s="28"/>
      <c r="BE540" s="28"/>
    </row>
    <row r="541" spans="2:57" ht="15.75" customHeight="1" x14ac:dyDescent="0.25">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c r="AT541" s="28"/>
      <c r="AU541" s="28"/>
      <c r="AV541" s="28"/>
      <c r="AW541" s="28"/>
      <c r="AX541" s="28"/>
      <c r="AY541" s="28"/>
      <c r="AZ541" s="28"/>
      <c r="BA541" s="28"/>
      <c r="BB541" s="28"/>
      <c r="BC541" s="28"/>
      <c r="BD541" s="28"/>
      <c r="BE541" s="28"/>
    </row>
    <row r="542" spans="2:57" ht="15.75" customHeight="1" x14ac:dyDescent="0.25">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c r="BD542" s="28"/>
      <c r="BE542" s="28"/>
    </row>
    <row r="543" spans="2:57" ht="15.75" customHeight="1" x14ac:dyDescent="0.25">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c r="AT543" s="28"/>
      <c r="AU543" s="28"/>
      <c r="AV543" s="28"/>
      <c r="AW543" s="28"/>
      <c r="AX543" s="28"/>
      <c r="AY543" s="28"/>
      <c r="AZ543" s="28"/>
      <c r="BA543" s="28"/>
      <c r="BB543" s="28"/>
      <c r="BC543" s="28"/>
      <c r="BD543" s="28"/>
      <c r="BE543" s="28"/>
    </row>
    <row r="544" spans="2:57" ht="15.75" customHeight="1" x14ac:dyDescent="0.25">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c r="BD544" s="28"/>
      <c r="BE544" s="28"/>
    </row>
    <row r="545" spans="2:57" ht="15.75" customHeight="1" x14ac:dyDescent="0.25">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c r="AN545" s="28"/>
      <c r="AO545" s="28"/>
      <c r="AP545" s="28"/>
      <c r="AQ545" s="28"/>
      <c r="AR545" s="28"/>
      <c r="AS545" s="28"/>
      <c r="AT545" s="28"/>
      <c r="AU545" s="28"/>
      <c r="AV545" s="28"/>
      <c r="AW545" s="28"/>
      <c r="AX545" s="28"/>
      <c r="AY545" s="28"/>
      <c r="AZ545" s="28"/>
      <c r="BA545" s="28"/>
      <c r="BB545" s="28"/>
      <c r="BC545" s="28"/>
      <c r="BD545" s="28"/>
      <c r="BE545" s="28"/>
    </row>
    <row r="546" spans="2:57" ht="15.75" customHeight="1" x14ac:dyDescent="0.25">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c r="BD546" s="28"/>
      <c r="BE546" s="28"/>
    </row>
    <row r="547" spans="2:57" ht="15.75" customHeight="1" x14ac:dyDescent="0.25">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c r="AN547" s="28"/>
      <c r="AO547" s="28"/>
      <c r="AP547" s="28"/>
      <c r="AQ547" s="28"/>
      <c r="AR547" s="28"/>
      <c r="AS547" s="28"/>
      <c r="AT547" s="28"/>
      <c r="AU547" s="28"/>
      <c r="AV547" s="28"/>
      <c r="AW547" s="28"/>
      <c r="AX547" s="28"/>
      <c r="AY547" s="28"/>
      <c r="AZ547" s="28"/>
      <c r="BA547" s="28"/>
      <c r="BB547" s="28"/>
      <c r="BC547" s="28"/>
      <c r="BD547" s="28"/>
      <c r="BE547" s="28"/>
    </row>
    <row r="548" spans="2:57" ht="15.75" customHeight="1" x14ac:dyDescent="0.25">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c r="BD548" s="28"/>
      <c r="BE548" s="28"/>
    </row>
    <row r="549" spans="2:57" ht="15.75" customHeight="1" x14ac:dyDescent="0.25">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c r="AN549" s="28"/>
      <c r="AO549" s="28"/>
      <c r="AP549" s="28"/>
      <c r="AQ549" s="28"/>
      <c r="AR549" s="28"/>
      <c r="AS549" s="28"/>
      <c r="AT549" s="28"/>
      <c r="AU549" s="28"/>
      <c r="AV549" s="28"/>
      <c r="AW549" s="28"/>
      <c r="AX549" s="28"/>
      <c r="AY549" s="28"/>
      <c r="AZ549" s="28"/>
      <c r="BA549" s="28"/>
      <c r="BB549" s="28"/>
      <c r="BC549" s="28"/>
      <c r="BD549" s="28"/>
      <c r="BE549" s="28"/>
    </row>
    <row r="550" spans="2:57" ht="15.75" customHeight="1" x14ac:dyDescent="0.25">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c r="BD550" s="28"/>
      <c r="BE550" s="28"/>
    </row>
    <row r="551" spans="2:57" ht="15.75" customHeight="1" x14ac:dyDescent="0.25">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c r="AN551" s="28"/>
      <c r="AO551" s="28"/>
      <c r="AP551" s="28"/>
      <c r="AQ551" s="28"/>
      <c r="AR551" s="28"/>
      <c r="AS551" s="28"/>
      <c r="AT551" s="28"/>
      <c r="AU551" s="28"/>
      <c r="AV551" s="28"/>
      <c r="AW551" s="28"/>
      <c r="AX551" s="28"/>
      <c r="AY551" s="28"/>
      <c r="AZ551" s="28"/>
      <c r="BA551" s="28"/>
      <c r="BB551" s="28"/>
      <c r="BC551" s="28"/>
      <c r="BD551" s="28"/>
      <c r="BE551" s="28"/>
    </row>
    <row r="552" spans="2:57" ht="15.75" customHeight="1" x14ac:dyDescent="0.25">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c r="BD552" s="28"/>
      <c r="BE552" s="28"/>
    </row>
    <row r="553" spans="2:57" ht="15.75" customHeight="1" x14ac:dyDescent="0.25">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28"/>
      <c r="AQ553" s="28"/>
      <c r="AR553" s="28"/>
      <c r="AS553" s="28"/>
      <c r="AT553" s="28"/>
      <c r="AU553" s="28"/>
      <c r="AV553" s="28"/>
      <c r="AW553" s="28"/>
      <c r="AX553" s="28"/>
      <c r="AY553" s="28"/>
      <c r="AZ553" s="28"/>
      <c r="BA553" s="28"/>
      <c r="BB553" s="28"/>
      <c r="BC553" s="28"/>
      <c r="BD553" s="28"/>
      <c r="BE553" s="28"/>
    </row>
    <row r="554" spans="2:57" ht="15.75" customHeight="1" x14ac:dyDescent="0.25">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c r="BD554" s="28"/>
      <c r="BE554" s="28"/>
    </row>
    <row r="555" spans="2:57" ht="15.75" customHeight="1" x14ac:dyDescent="0.25">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c r="AT555" s="28"/>
      <c r="AU555" s="28"/>
      <c r="AV555" s="28"/>
      <c r="AW555" s="28"/>
      <c r="AX555" s="28"/>
      <c r="AY555" s="28"/>
      <c r="AZ555" s="28"/>
      <c r="BA555" s="28"/>
      <c r="BB555" s="28"/>
      <c r="BC555" s="28"/>
      <c r="BD555" s="28"/>
      <c r="BE555" s="28"/>
    </row>
    <row r="556" spans="2:57" ht="15.75" customHeight="1" x14ac:dyDescent="0.25">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c r="BD556" s="28"/>
      <c r="BE556" s="28"/>
    </row>
    <row r="557" spans="2:57" ht="15.75" customHeight="1" x14ac:dyDescent="0.25">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c r="AN557" s="28"/>
      <c r="AO557" s="28"/>
      <c r="AP557" s="28"/>
      <c r="AQ557" s="28"/>
      <c r="AR557" s="28"/>
      <c r="AS557" s="28"/>
      <c r="AT557" s="28"/>
      <c r="AU557" s="28"/>
      <c r="AV557" s="28"/>
      <c r="AW557" s="28"/>
      <c r="AX557" s="28"/>
      <c r="AY557" s="28"/>
      <c r="AZ557" s="28"/>
      <c r="BA557" s="28"/>
      <c r="BB557" s="28"/>
      <c r="BC557" s="28"/>
      <c r="BD557" s="28"/>
      <c r="BE557" s="28"/>
    </row>
    <row r="558" spans="2:57" ht="15.75" customHeight="1" x14ac:dyDescent="0.25">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c r="BD558" s="28"/>
      <c r="BE558" s="28"/>
    </row>
    <row r="559" spans="2:57" ht="15.75" customHeight="1" x14ac:dyDescent="0.25">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c r="AT559" s="28"/>
      <c r="AU559" s="28"/>
      <c r="AV559" s="28"/>
      <c r="AW559" s="28"/>
      <c r="AX559" s="28"/>
      <c r="AY559" s="28"/>
      <c r="AZ559" s="28"/>
      <c r="BA559" s="28"/>
      <c r="BB559" s="28"/>
      <c r="BC559" s="28"/>
      <c r="BD559" s="28"/>
      <c r="BE559" s="28"/>
    </row>
    <row r="560" spans="2:57" ht="15.75" customHeight="1" x14ac:dyDescent="0.25">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c r="BD560" s="28"/>
      <c r="BE560" s="28"/>
    </row>
    <row r="561" spans="2:57" ht="15.75" customHeight="1" x14ac:dyDescent="0.25">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c r="AN561" s="28"/>
      <c r="AO561" s="28"/>
      <c r="AP561" s="28"/>
      <c r="AQ561" s="28"/>
      <c r="AR561" s="28"/>
      <c r="AS561" s="28"/>
      <c r="AT561" s="28"/>
      <c r="AU561" s="28"/>
      <c r="AV561" s="28"/>
      <c r="AW561" s="28"/>
      <c r="AX561" s="28"/>
      <c r="AY561" s="28"/>
      <c r="AZ561" s="28"/>
      <c r="BA561" s="28"/>
      <c r="BB561" s="28"/>
      <c r="BC561" s="28"/>
      <c r="BD561" s="28"/>
      <c r="BE561" s="28"/>
    </row>
    <row r="562" spans="2:57" ht="15.75" customHeight="1" x14ac:dyDescent="0.25">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c r="BD562" s="28"/>
      <c r="BE562" s="28"/>
    </row>
    <row r="563" spans="2:57" ht="15.75" customHeight="1" x14ac:dyDescent="0.25">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c r="AN563" s="28"/>
      <c r="AO563" s="28"/>
      <c r="AP563" s="28"/>
      <c r="AQ563" s="28"/>
      <c r="AR563" s="28"/>
      <c r="AS563" s="28"/>
      <c r="AT563" s="28"/>
      <c r="AU563" s="28"/>
      <c r="AV563" s="28"/>
      <c r="AW563" s="28"/>
      <c r="AX563" s="28"/>
      <c r="AY563" s="28"/>
      <c r="AZ563" s="28"/>
      <c r="BA563" s="28"/>
      <c r="BB563" s="28"/>
      <c r="BC563" s="28"/>
      <c r="BD563" s="28"/>
      <c r="BE563" s="28"/>
    </row>
    <row r="564" spans="2:57" ht="15.75" customHeight="1" x14ac:dyDescent="0.25">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c r="BD564" s="28"/>
      <c r="BE564" s="28"/>
    </row>
    <row r="565" spans="2:57" ht="15.75" customHeight="1" x14ac:dyDescent="0.25">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c r="AN565" s="28"/>
      <c r="AO565" s="28"/>
      <c r="AP565" s="28"/>
      <c r="AQ565" s="28"/>
      <c r="AR565" s="28"/>
      <c r="AS565" s="28"/>
      <c r="AT565" s="28"/>
      <c r="AU565" s="28"/>
      <c r="AV565" s="28"/>
      <c r="AW565" s="28"/>
      <c r="AX565" s="28"/>
      <c r="AY565" s="28"/>
      <c r="AZ565" s="28"/>
      <c r="BA565" s="28"/>
      <c r="BB565" s="28"/>
      <c r="BC565" s="28"/>
      <c r="BD565" s="28"/>
      <c r="BE565" s="28"/>
    </row>
    <row r="566" spans="2:57" ht="15.75" customHeight="1" x14ac:dyDescent="0.25">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c r="BD566" s="28"/>
      <c r="BE566" s="28"/>
    </row>
    <row r="567" spans="2:57" ht="15.75" customHeight="1" x14ac:dyDescent="0.25">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c r="AN567" s="28"/>
      <c r="AO567" s="28"/>
      <c r="AP567" s="28"/>
      <c r="AQ567" s="28"/>
      <c r="AR567" s="28"/>
      <c r="AS567" s="28"/>
      <c r="AT567" s="28"/>
      <c r="AU567" s="28"/>
      <c r="AV567" s="28"/>
      <c r="AW567" s="28"/>
      <c r="AX567" s="28"/>
      <c r="AY567" s="28"/>
      <c r="AZ567" s="28"/>
      <c r="BA567" s="28"/>
      <c r="BB567" s="28"/>
      <c r="BC567" s="28"/>
      <c r="BD567" s="28"/>
      <c r="BE567" s="28"/>
    </row>
    <row r="568" spans="2:57" ht="15.75" customHeight="1" x14ac:dyDescent="0.25">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c r="BD568" s="28"/>
      <c r="BE568" s="28"/>
    </row>
    <row r="569" spans="2:57" ht="15.75" customHeight="1" x14ac:dyDescent="0.25">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c r="AN569" s="28"/>
      <c r="AO569" s="28"/>
      <c r="AP569" s="28"/>
      <c r="AQ569" s="28"/>
      <c r="AR569" s="28"/>
      <c r="AS569" s="28"/>
      <c r="AT569" s="28"/>
      <c r="AU569" s="28"/>
      <c r="AV569" s="28"/>
      <c r="AW569" s="28"/>
      <c r="AX569" s="28"/>
      <c r="AY569" s="28"/>
      <c r="AZ569" s="28"/>
      <c r="BA569" s="28"/>
      <c r="BB569" s="28"/>
      <c r="BC569" s="28"/>
      <c r="BD569" s="28"/>
      <c r="BE569" s="28"/>
    </row>
    <row r="570" spans="2:57" ht="15.75" customHeight="1" x14ac:dyDescent="0.25">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c r="BD570" s="28"/>
      <c r="BE570" s="28"/>
    </row>
    <row r="571" spans="2:57" ht="15.75" customHeight="1" x14ac:dyDescent="0.25">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c r="AN571" s="28"/>
      <c r="AO571" s="28"/>
      <c r="AP571" s="28"/>
      <c r="AQ571" s="28"/>
      <c r="AR571" s="28"/>
      <c r="AS571" s="28"/>
      <c r="AT571" s="28"/>
      <c r="AU571" s="28"/>
      <c r="AV571" s="28"/>
      <c r="AW571" s="28"/>
      <c r="AX571" s="28"/>
      <c r="AY571" s="28"/>
      <c r="AZ571" s="28"/>
      <c r="BA571" s="28"/>
      <c r="BB571" s="28"/>
      <c r="BC571" s="28"/>
      <c r="BD571" s="28"/>
      <c r="BE571" s="28"/>
    </row>
    <row r="572" spans="2:57" ht="15.75" customHeight="1" x14ac:dyDescent="0.25">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c r="BD572" s="28"/>
      <c r="BE572" s="28"/>
    </row>
    <row r="573" spans="2:57" ht="15.75" customHeight="1" x14ac:dyDescent="0.25">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c r="AN573" s="28"/>
      <c r="AO573" s="28"/>
      <c r="AP573" s="28"/>
      <c r="AQ573" s="28"/>
      <c r="AR573" s="28"/>
      <c r="AS573" s="28"/>
      <c r="AT573" s="28"/>
      <c r="AU573" s="28"/>
      <c r="AV573" s="28"/>
      <c r="AW573" s="28"/>
      <c r="AX573" s="28"/>
      <c r="AY573" s="28"/>
      <c r="AZ573" s="28"/>
      <c r="BA573" s="28"/>
      <c r="BB573" s="28"/>
      <c r="BC573" s="28"/>
      <c r="BD573" s="28"/>
      <c r="BE573" s="28"/>
    </row>
    <row r="574" spans="2:57" ht="15.75" customHeight="1" x14ac:dyDescent="0.25">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c r="BD574" s="28"/>
      <c r="BE574" s="28"/>
    </row>
    <row r="575" spans="2:57" ht="15.75" customHeight="1" x14ac:dyDescent="0.25">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c r="AN575" s="28"/>
      <c r="AO575" s="28"/>
      <c r="AP575" s="28"/>
      <c r="AQ575" s="28"/>
      <c r="AR575" s="28"/>
      <c r="AS575" s="28"/>
      <c r="AT575" s="28"/>
      <c r="AU575" s="28"/>
      <c r="AV575" s="28"/>
      <c r="AW575" s="28"/>
      <c r="AX575" s="28"/>
      <c r="AY575" s="28"/>
      <c r="AZ575" s="28"/>
      <c r="BA575" s="28"/>
      <c r="BB575" s="28"/>
      <c r="BC575" s="28"/>
      <c r="BD575" s="28"/>
      <c r="BE575" s="28"/>
    </row>
    <row r="576" spans="2:57" ht="15.75" customHeight="1" x14ac:dyDescent="0.25">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c r="BD576" s="28"/>
      <c r="BE576" s="28"/>
    </row>
    <row r="577" spans="2:57" ht="15.75" customHeight="1" x14ac:dyDescent="0.25">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c r="AN577" s="28"/>
      <c r="AO577" s="28"/>
      <c r="AP577" s="28"/>
      <c r="AQ577" s="28"/>
      <c r="AR577" s="28"/>
      <c r="AS577" s="28"/>
      <c r="AT577" s="28"/>
      <c r="AU577" s="28"/>
      <c r="AV577" s="28"/>
      <c r="AW577" s="28"/>
      <c r="AX577" s="28"/>
      <c r="AY577" s="28"/>
      <c r="AZ577" s="28"/>
      <c r="BA577" s="28"/>
      <c r="BB577" s="28"/>
      <c r="BC577" s="28"/>
      <c r="BD577" s="28"/>
      <c r="BE577" s="28"/>
    </row>
    <row r="578" spans="2:57" ht="15.75" customHeight="1" x14ac:dyDescent="0.25">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c r="BD578" s="28"/>
      <c r="BE578" s="28"/>
    </row>
    <row r="579" spans="2:57" ht="15.75" customHeight="1" x14ac:dyDescent="0.25">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c r="AN579" s="28"/>
      <c r="AO579" s="28"/>
      <c r="AP579" s="28"/>
      <c r="AQ579" s="28"/>
      <c r="AR579" s="28"/>
      <c r="AS579" s="28"/>
      <c r="AT579" s="28"/>
      <c r="AU579" s="28"/>
      <c r="AV579" s="28"/>
      <c r="AW579" s="28"/>
      <c r="AX579" s="28"/>
      <c r="AY579" s="28"/>
      <c r="AZ579" s="28"/>
      <c r="BA579" s="28"/>
      <c r="BB579" s="28"/>
      <c r="BC579" s="28"/>
      <c r="BD579" s="28"/>
      <c r="BE579" s="28"/>
    </row>
    <row r="580" spans="2:57" ht="15.75" customHeight="1" x14ac:dyDescent="0.25">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c r="BD580" s="28"/>
      <c r="BE580" s="28"/>
    </row>
    <row r="581" spans="2:57" ht="15.75" customHeight="1" x14ac:dyDescent="0.25">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28"/>
      <c r="AU581" s="28"/>
      <c r="AV581" s="28"/>
      <c r="AW581" s="28"/>
      <c r="AX581" s="28"/>
      <c r="AY581" s="28"/>
      <c r="AZ581" s="28"/>
      <c r="BA581" s="28"/>
      <c r="BB581" s="28"/>
      <c r="BC581" s="28"/>
      <c r="BD581" s="28"/>
      <c r="BE581" s="28"/>
    </row>
    <row r="582" spans="2:57" ht="15.75" customHeight="1" x14ac:dyDescent="0.25">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c r="BD582" s="28"/>
      <c r="BE582" s="28"/>
    </row>
    <row r="583" spans="2:57" ht="15.75" customHeight="1" x14ac:dyDescent="0.25">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c r="AT583" s="28"/>
      <c r="AU583" s="28"/>
      <c r="AV583" s="28"/>
      <c r="AW583" s="28"/>
      <c r="AX583" s="28"/>
      <c r="AY583" s="28"/>
      <c r="AZ583" s="28"/>
      <c r="BA583" s="28"/>
      <c r="BB583" s="28"/>
      <c r="BC583" s="28"/>
      <c r="BD583" s="28"/>
      <c r="BE583" s="28"/>
    </row>
    <row r="584" spans="2:57" ht="15.75" customHeight="1" x14ac:dyDescent="0.25">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c r="BD584" s="28"/>
      <c r="BE584" s="28"/>
    </row>
    <row r="585" spans="2:57" ht="15.75" customHeight="1" x14ac:dyDescent="0.25">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c r="AN585" s="28"/>
      <c r="AO585" s="28"/>
      <c r="AP585" s="28"/>
      <c r="AQ585" s="28"/>
      <c r="AR585" s="28"/>
      <c r="AS585" s="28"/>
      <c r="AT585" s="28"/>
      <c r="AU585" s="28"/>
      <c r="AV585" s="28"/>
      <c r="AW585" s="28"/>
      <c r="AX585" s="28"/>
      <c r="AY585" s="28"/>
      <c r="AZ585" s="28"/>
      <c r="BA585" s="28"/>
      <c r="BB585" s="28"/>
      <c r="BC585" s="28"/>
      <c r="BD585" s="28"/>
      <c r="BE585" s="28"/>
    </row>
    <row r="586" spans="2:57" ht="15.75" customHeight="1" x14ac:dyDescent="0.25">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c r="BD586" s="28"/>
      <c r="BE586" s="28"/>
    </row>
    <row r="587" spans="2:57" ht="15.75" customHeight="1" x14ac:dyDescent="0.25">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c r="AN587" s="28"/>
      <c r="AO587" s="28"/>
      <c r="AP587" s="28"/>
      <c r="AQ587" s="28"/>
      <c r="AR587" s="28"/>
      <c r="AS587" s="28"/>
      <c r="AT587" s="28"/>
      <c r="AU587" s="28"/>
      <c r="AV587" s="28"/>
      <c r="AW587" s="28"/>
      <c r="AX587" s="28"/>
      <c r="AY587" s="28"/>
      <c r="AZ587" s="28"/>
      <c r="BA587" s="28"/>
      <c r="BB587" s="28"/>
      <c r="BC587" s="28"/>
      <c r="BD587" s="28"/>
      <c r="BE587" s="28"/>
    </row>
    <row r="588" spans="2:57" ht="15.75" customHeight="1" x14ac:dyDescent="0.25">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c r="BE588" s="28"/>
    </row>
    <row r="589" spans="2:57" ht="15.75" customHeight="1" x14ac:dyDescent="0.25">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c r="AN589" s="28"/>
      <c r="AO589" s="28"/>
      <c r="AP589" s="28"/>
      <c r="AQ589" s="28"/>
      <c r="AR589" s="28"/>
      <c r="AS589" s="28"/>
      <c r="AT589" s="28"/>
      <c r="AU589" s="28"/>
      <c r="AV589" s="28"/>
      <c r="AW589" s="28"/>
      <c r="AX589" s="28"/>
      <c r="AY589" s="28"/>
      <c r="AZ589" s="28"/>
      <c r="BA589" s="28"/>
      <c r="BB589" s="28"/>
      <c r="BC589" s="28"/>
      <c r="BD589" s="28"/>
      <c r="BE589" s="28"/>
    </row>
    <row r="590" spans="2:57" ht="15.75" customHeight="1" x14ac:dyDescent="0.25">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c r="BE590" s="28"/>
    </row>
    <row r="591" spans="2:57" ht="15.75" customHeight="1" x14ac:dyDescent="0.25">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c r="AN591" s="28"/>
      <c r="AO591" s="28"/>
      <c r="AP591" s="28"/>
      <c r="AQ591" s="28"/>
      <c r="AR591" s="28"/>
      <c r="AS591" s="28"/>
      <c r="AT591" s="28"/>
      <c r="AU591" s="28"/>
      <c r="AV591" s="28"/>
      <c r="AW591" s="28"/>
      <c r="AX591" s="28"/>
      <c r="AY591" s="28"/>
      <c r="AZ591" s="28"/>
      <c r="BA591" s="28"/>
      <c r="BB591" s="28"/>
      <c r="BC591" s="28"/>
      <c r="BD591" s="28"/>
      <c r="BE591" s="28"/>
    </row>
    <row r="592" spans="2:57" ht="15.75" customHeight="1" x14ac:dyDescent="0.25">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c r="BD592" s="28"/>
      <c r="BE592" s="28"/>
    </row>
    <row r="593" spans="2:57" ht="15.75" customHeight="1" x14ac:dyDescent="0.25">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c r="AN593" s="28"/>
      <c r="AO593" s="28"/>
      <c r="AP593" s="28"/>
      <c r="AQ593" s="28"/>
      <c r="AR593" s="28"/>
      <c r="AS593" s="28"/>
      <c r="AT593" s="28"/>
      <c r="AU593" s="28"/>
      <c r="AV593" s="28"/>
      <c r="AW593" s="28"/>
      <c r="AX593" s="28"/>
      <c r="AY593" s="28"/>
      <c r="AZ593" s="28"/>
      <c r="BA593" s="28"/>
      <c r="BB593" s="28"/>
      <c r="BC593" s="28"/>
      <c r="BD593" s="28"/>
      <c r="BE593" s="28"/>
    </row>
    <row r="594" spans="2:57" ht="15.75" customHeight="1" x14ac:dyDescent="0.25">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c r="BD594" s="28"/>
      <c r="BE594" s="28"/>
    </row>
    <row r="595" spans="2:57" ht="15.75" customHeight="1" x14ac:dyDescent="0.25">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c r="AN595" s="28"/>
      <c r="AO595" s="28"/>
      <c r="AP595" s="28"/>
      <c r="AQ595" s="28"/>
      <c r="AR595" s="28"/>
      <c r="AS595" s="28"/>
      <c r="AT595" s="28"/>
      <c r="AU595" s="28"/>
      <c r="AV595" s="28"/>
      <c r="AW595" s="28"/>
      <c r="AX595" s="28"/>
      <c r="AY595" s="28"/>
      <c r="AZ595" s="28"/>
      <c r="BA595" s="28"/>
      <c r="BB595" s="28"/>
      <c r="BC595" s="28"/>
      <c r="BD595" s="28"/>
      <c r="BE595" s="28"/>
    </row>
    <row r="596" spans="2:57" ht="15.75" customHeight="1" x14ac:dyDescent="0.25">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c r="BD596" s="28"/>
      <c r="BE596" s="28"/>
    </row>
    <row r="597" spans="2:57" ht="15.75" customHeight="1" x14ac:dyDescent="0.25">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c r="AN597" s="28"/>
      <c r="AO597" s="28"/>
      <c r="AP597" s="28"/>
      <c r="AQ597" s="28"/>
      <c r="AR597" s="28"/>
      <c r="AS597" s="28"/>
      <c r="AT597" s="28"/>
      <c r="AU597" s="28"/>
      <c r="AV597" s="28"/>
      <c r="AW597" s="28"/>
      <c r="AX597" s="28"/>
      <c r="AY597" s="28"/>
      <c r="AZ597" s="28"/>
      <c r="BA597" s="28"/>
      <c r="BB597" s="28"/>
      <c r="BC597" s="28"/>
      <c r="BD597" s="28"/>
      <c r="BE597" s="28"/>
    </row>
    <row r="598" spans="2:57" ht="15.75" customHeight="1" x14ac:dyDescent="0.25">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c r="BD598" s="28"/>
      <c r="BE598" s="28"/>
    </row>
    <row r="599" spans="2:57" ht="15.75" customHeight="1" x14ac:dyDescent="0.25">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c r="AN599" s="28"/>
      <c r="AO599" s="28"/>
      <c r="AP599" s="28"/>
      <c r="AQ599" s="28"/>
      <c r="AR599" s="28"/>
      <c r="AS599" s="28"/>
      <c r="AT599" s="28"/>
      <c r="AU599" s="28"/>
      <c r="AV599" s="28"/>
      <c r="AW599" s="28"/>
      <c r="AX599" s="28"/>
      <c r="AY599" s="28"/>
      <c r="AZ599" s="28"/>
      <c r="BA599" s="28"/>
      <c r="BB599" s="28"/>
      <c r="BC599" s="28"/>
      <c r="BD599" s="28"/>
      <c r="BE599" s="28"/>
    </row>
    <row r="600" spans="2:57" ht="15.75" customHeight="1" x14ac:dyDescent="0.25">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c r="BD600" s="28"/>
      <c r="BE600" s="28"/>
    </row>
    <row r="601" spans="2:57" ht="15.75" customHeight="1" x14ac:dyDescent="0.25">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c r="AN601" s="28"/>
      <c r="AO601" s="28"/>
      <c r="AP601" s="28"/>
      <c r="AQ601" s="28"/>
      <c r="AR601" s="28"/>
      <c r="AS601" s="28"/>
      <c r="AT601" s="28"/>
      <c r="AU601" s="28"/>
      <c r="AV601" s="28"/>
      <c r="AW601" s="28"/>
      <c r="AX601" s="28"/>
      <c r="AY601" s="28"/>
      <c r="AZ601" s="28"/>
      <c r="BA601" s="28"/>
      <c r="BB601" s="28"/>
      <c r="BC601" s="28"/>
      <c r="BD601" s="28"/>
      <c r="BE601" s="28"/>
    </row>
    <row r="602" spans="2:57" ht="15.75" customHeight="1" x14ac:dyDescent="0.25">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c r="BD602" s="28"/>
      <c r="BE602" s="28"/>
    </row>
    <row r="603" spans="2:57" ht="15.75" customHeight="1" x14ac:dyDescent="0.25">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c r="AN603" s="28"/>
      <c r="AO603" s="28"/>
      <c r="AP603" s="28"/>
      <c r="AQ603" s="28"/>
      <c r="AR603" s="28"/>
      <c r="AS603" s="28"/>
      <c r="AT603" s="28"/>
      <c r="AU603" s="28"/>
      <c r="AV603" s="28"/>
      <c r="AW603" s="28"/>
      <c r="AX603" s="28"/>
      <c r="AY603" s="28"/>
      <c r="AZ603" s="28"/>
      <c r="BA603" s="28"/>
      <c r="BB603" s="28"/>
      <c r="BC603" s="28"/>
      <c r="BD603" s="28"/>
      <c r="BE603" s="28"/>
    </row>
    <row r="604" spans="2:57" ht="15.75" customHeight="1" x14ac:dyDescent="0.25">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c r="BD604" s="28"/>
      <c r="BE604" s="28"/>
    </row>
    <row r="605" spans="2:57" ht="15.75" customHeight="1" x14ac:dyDescent="0.25">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c r="AN605" s="28"/>
      <c r="AO605" s="28"/>
      <c r="AP605" s="28"/>
      <c r="AQ605" s="28"/>
      <c r="AR605" s="28"/>
      <c r="AS605" s="28"/>
      <c r="AT605" s="28"/>
      <c r="AU605" s="28"/>
      <c r="AV605" s="28"/>
      <c r="AW605" s="28"/>
      <c r="AX605" s="28"/>
      <c r="AY605" s="28"/>
      <c r="AZ605" s="28"/>
      <c r="BA605" s="28"/>
      <c r="BB605" s="28"/>
      <c r="BC605" s="28"/>
      <c r="BD605" s="28"/>
      <c r="BE605" s="28"/>
    </row>
    <row r="606" spans="2:57" ht="15.75" customHeight="1" x14ac:dyDescent="0.25">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c r="BD606" s="28"/>
      <c r="BE606" s="28"/>
    </row>
    <row r="607" spans="2:57" ht="15.75" customHeight="1" x14ac:dyDescent="0.25">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c r="AN607" s="28"/>
      <c r="AO607" s="28"/>
      <c r="AP607" s="28"/>
      <c r="AQ607" s="28"/>
      <c r="AR607" s="28"/>
      <c r="AS607" s="28"/>
      <c r="AT607" s="28"/>
      <c r="AU607" s="28"/>
      <c r="AV607" s="28"/>
      <c r="AW607" s="28"/>
      <c r="AX607" s="28"/>
      <c r="AY607" s="28"/>
      <c r="AZ607" s="28"/>
      <c r="BA607" s="28"/>
      <c r="BB607" s="28"/>
      <c r="BC607" s="28"/>
      <c r="BD607" s="28"/>
      <c r="BE607" s="28"/>
    </row>
    <row r="608" spans="2:57" ht="15.75" customHeight="1" x14ac:dyDescent="0.25">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c r="BD608" s="28"/>
      <c r="BE608" s="28"/>
    </row>
    <row r="609" spans="2:57" ht="15.75" customHeight="1" x14ac:dyDescent="0.25">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c r="AN609" s="28"/>
      <c r="AO609" s="28"/>
      <c r="AP609" s="28"/>
      <c r="AQ609" s="28"/>
      <c r="AR609" s="28"/>
      <c r="AS609" s="28"/>
      <c r="AT609" s="28"/>
      <c r="AU609" s="28"/>
      <c r="AV609" s="28"/>
      <c r="AW609" s="28"/>
      <c r="AX609" s="28"/>
      <c r="AY609" s="28"/>
      <c r="AZ609" s="28"/>
      <c r="BA609" s="28"/>
      <c r="BB609" s="28"/>
      <c r="BC609" s="28"/>
      <c r="BD609" s="28"/>
      <c r="BE609" s="28"/>
    </row>
    <row r="610" spans="2:57" ht="15.75" customHeight="1" x14ac:dyDescent="0.25">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c r="BD610" s="28"/>
      <c r="BE610" s="28"/>
    </row>
    <row r="611" spans="2:57" ht="15.75" customHeight="1" x14ac:dyDescent="0.25">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c r="AN611" s="28"/>
      <c r="AO611" s="28"/>
      <c r="AP611" s="28"/>
      <c r="AQ611" s="28"/>
      <c r="AR611" s="28"/>
      <c r="AS611" s="28"/>
      <c r="AT611" s="28"/>
      <c r="AU611" s="28"/>
      <c r="AV611" s="28"/>
      <c r="AW611" s="28"/>
      <c r="AX611" s="28"/>
      <c r="AY611" s="28"/>
      <c r="AZ611" s="28"/>
      <c r="BA611" s="28"/>
      <c r="BB611" s="28"/>
      <c r="BC611" s="28"/>
      <c r="BD611" s="28"/>
      <c r="BE611" s="28"/>
    </row>
    <row r="612" spans="2:57" ht="15.75" customHeight="1" x14ac:dyDescent="0.25">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c r="BD612" s="28"/>
      <c r="BE612" s="28"/>
    </row>
    <row r="613" spans="2:57" ht="15.75" customHeight="1" x14ac:dyDescent="0.25">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c r="AN613" s="28"/>
      <c r="AO613" s="28"/>
      <c r="AP613" s="28"/>
      <c r="AQ613" s="28"/>
      <c r="AR613" s="28"/>
      <c r="AS613" s="28"/>
      <c r="AT613" s="28"/>
      <c r="AU613" s="28"/>
      <c r="AV613" s="28"/>
      <c r="AW613" s="28"/>
      <c r="AX613" s="28"/>
      <c r="AY613" s="28"/>
      <c r="AZ613" s="28"/>
      <c r="BA613" s="28"/>
      <c r="BB613" s="28"/>
      <c r="BC613" s="28"/>
      <c r="BD613" s="28"/>
      <c r="BE613" s="28"/>
    </row>
    <row r="614" spans="2:57" ht="15.75" customHeight="1" x14ac:dyDescent="0.25">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c r="BD614" s="28"/>
      <c r="BE614" s="28"/>
    </row>
    <row r="615" spans="2:57" ht="15.75" customHeight="1" x14ac:dyDescent="0.25">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c r="AN615" s="28"/>
      <c r="AO615" s="28"/>
      <c r="AP615" s="28"/>
      <c r="AQ615" s="28"/>
      <c r="AR615" s="28"/>
      <c r="AS615" s="28"/>
      <c r="AT615" s="28"/>
      <c r="AU615" s="28"/>
      <c r="AV615" s="28"/>
      <c r="AW615" s="28"/>
      <c r="AX615" s="28"/>
      <c r="AY615" s="28"/>
      <c r="AZ615" s="28"/>
      <c r="BA615" s="28"/>
      <c r="BB615" s="28"/>
      <c r="BC615" s="28"/>
      <c r="BD615" s="28"/>
      <c r="BE615" s="28"/>
    </row>
    <row r="616" spans="2:57" ht="15.75" customHeight="1" x14ac:dyDescent="0.25">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c r="BD616" s="28"/>
      <c r="BE616" s="28"/>
    </row>
    <row r="617" spans="2:57" ht="15.75" customHeight="1" x14ac:dyDescent="0.25">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c r="AN617" s="28"/>
      <c r="AO617" s="28"/>
      <c r="AP617" s="28"/>
      <c r="AQ617" s="28"/>
      <c r="AR617" s="28"/>
      <c r="AS617" s="28"/>
      <c r="AT617" s="28"/>
      <c r="AU617" s="28"/>
      <c r="AV617" s="28"/>
      <c r="AW617" s="28"/>
      <c r="AX617" s="28"/>
      <c r="AY617" s="28"/>
      <c r="AZ617" s="28"/>
      <c r="BA617" s="28"/>
      <c r="BB617" s="28"/>
      <c r="BC617" s="28"/>
      <c r="BD617" s="28"/>
      <c r="BE617" s="28"/>
    </row>
    <row r="618" spans="2:57" ht="15.75" customHeight="1" x14ac:dyDescent="0.25">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c r="BD618" s="28"/>
      <c r="BE618" s="28"/>
    </row>
    <row r="619" spans="2:57" ht="15.75" customHeight="1" x14ac:dyDescent="0.25">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c r="AN619" s="28"/>
      <c r="AO619" s="28"/>
      <c r="AP619" s="28"/>
      <c r="AQ619" s="28"/>
      <c r="AR619" s="28"/>
      <c r="AS619" s="28"/>
      <c r="AT619" s="28"/>
      <c r="AU619" s="28"/>
      <c r="AV619" s="28"/>
      <c r="AW619" s="28"/>
      <c r="AX619" s="28"/>
      <c r="AY619" s="28"/>
      <c r="AZ619" s="28"/>
      <c r="BA619" s="28"/>
      <c r="BB619" s="28"/>
      <c r="BC619" s="28"/>
      <c r="BD619" s="28"/>
      <c r="BE619" s="28"/>
    </row>
    <row r="620" spans="2:57" ht="15.75" customHeight="1" x14ac:dyDescent="0.25">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c r="BD620" s="28"/>
      <c r="BE620" s="28"/>
    </row>
    <row r="621" spans="2:57" ht="15.75" customHeight="1" x14ac:dyDescent="0.25">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c r="AN621" s="28"/>
      <c r="AO621" s="28"/>
      <c r="AP621" s="28"/>
      <c r="AQ621" s="28"/>
      <c r="AR621" s="28"/>
      <c r="AS621" s="28"/>
      <c r="AT621" s="28"/>
      <c r="AU621" s="28"/>
      <c r="AV621" s="28"/>
      <c r="AW621" s="28"/>
      <c r="AX621" s="28"/>
      <c r="AY621" s="28"/>
      <c r="AZ621" s="28"/>
      <c r="BA621" s="28"/>
      <c r="BB621" s="28"/>
      <c r="BC621" s="28"/>
      <c r="BD621" s="28"/>
      <c r="BE621" s="28"/>
    </row>
    <row r="622" spans="2:57" ht="15.75" customHeight="1" x14ac:dyDescent="0.25">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c r="BD622" s="28"/>
      <c r="BE622" s="28"/>
    </row>
    <row r="623" spans="2:57" ht="15.75" customHeight="1" x14ac:dyDescent="0.25">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c r="AN623" s="28"/>
      <c r="AO623" s="28"/>
      <c r="AP623" s="28"/>
      <c r="AQ623" s="28"/>
      <c r="AR623" s="28"/>
      <c r="AS623" s="28"/>
      <c r="AT623" s="28"/>
      <c r="AU623" s="28"/>
      <c r="AV623" s="28"/>
      <c r="AW623" s="28"/>
      <c r="AX623" s="28"/>
      <c r="AY623" s="28"/>
      <c r="AZ623" s="28"/>
      <c r="BA623" s="28"/>
      <c r="BB623" s="28"/>
      <c r="BC623" s="28"/>
      <c r="BD623" s="28"/>
      <c r="BE623" s="28"/>
    </row>
    <row r="624" spans="2:57" ht="15.75" customHeight="1" x14ac:dyDescent="0.25">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c r="BD624" s="28"/>
      <c r="BE624" s="28"/>
    </row>
    <row r="625" spans="2:57" ht="15.75" customHeight="1" x14ac:dyDescent="0.25">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c r="AN625" s="28"/>
      <c r="AO625" s="28"/>
      <c r="AP625" s="28"/>
      <c r="AQ625" s="28"/>
      <c r="AR625" s="28"/>
      <c r="AS625" s="28"/>
      <c r="AT625" s="28"/>
      <c r="AU625" s="28"/>
      <c r="AV625" s="28"/>
      <c r="AW625" s="28"/>
      <c r="AX625" s="28"/>
      <c r="AY625" s="28"/>
      <c r="AZ625" s="28"/>
      <c r="BA625" s="28"/>
      <c r="BB625" s="28"/>
      <c r="BC625" s="28"/>
      <c r="BD625" s="28"/>
      <c r="BE625" s="28"/>
    </row>
    <row r="626" spans="2:57" ht="15.75" customHeight="1" x14ac:dyDescent="0.25">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c r="BD626" s="28"/>
      <c r="BE626" s="28"/>
    </row>
    <row r="627" spans="2:57" ht="15.75" customHeight="1" x14ac:dyDescent="0.25">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c r="AN627" s="28"/>
      <c r="AO627" s="28"/>
      <c r="AP627" s="28"/>
      <c r="AQ627" s="28"/>
      <c r="AR627" s="28"/>
      <c r="AS627" s="28"/>
      <c r="AT627" s="28"/>
      <c r="AU627" s="28"/>
      <c r="AV627" s="28"/>
      <c r="AW627" s="28"/>
      <c r="AX627" s="28"/>
      <c r="AY627" s="28"/>
      <c r="AZ627" s="28"/>
      <c r="BA627" s="28"/>
      <c r="BB627" s="28"/>
      <c r="BC627" s="28"/>
      <c r="BD627" s="28"/>
      <c r="BE627" s="28"/>
    </row>
    <row r="628" spans="2:57" ht="15.75" customHeight="1" x14ac:dyDescent="0.25">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c r="BD628" s="28"/>
      <c r="BE628" s="28"/>
    </row>
    <row r="629" spans="2:57" ht="15.75" customHeight="1" x14ac:dyDescent="0.25">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c r="AN629" s="28"/>
      <c r="AO629" s="28"/>
      <c r="AP629" s="28"/>
      <c r="AQ629" s="28"/>
      <c r="AR629" s="28"/>
      <c r="AS629" s="28"/>
      <c r="AT629" s="28"/>
      <c r="AU629" s="28"/>
      <c r="AV629" s="28"/>
      <c r="AW629" s="28"/>
      <c r="AX629" s="28"/>
      <c r="AY629" s="28"/>
      <c r="AZ629" s="28"/>
      <c r="BA629" s="28"/>
      <c r="BB629" s="28"/>
      <c r="BC629" s="28"/>
      <c r="BD629" s="28"/>
      <c r="BE629" s="28"/>
    </row>
    <row r="630" spans="2:57" ht="15.75" customHeight="1" x14ac:dyDescent="0.25">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c r="BD630" s="28"/>
      <c r="BE630" s="28"/>
    </row>
    <row r="631" spans="2:57" ht="15.75" customHeight="1" x14ac:dyDescent="0.25">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c r="AN631" s="28"/>
      <c r="AO631" s="28"/>
      <c r="AP631" s="28"/>
      <c r="AQ631" s="28"/>
      <c r="AR631" s="28"/>
      <c r="AS631" s="28"/>
      <c r="AT631" s="28"/>
      <c r="AU631" s="28"/>
      <c r="AV631" s="28"/>
      <c r="AW631" s="28"/>
      <c r="AX631" s="28"/>
      <c r="AY631" s="28"/>
      <c r="AZ631" s="28"/>
      <c r="BA631" s="28"/>
      <c r="BB631" s="28"/>
      <c r="BC631" s="28"/>
      <c r="BD631" s="28"/>
      <c r="BE631" s="28"/>
    </row>
    <row r="632" spans="2:57" ht="15.75" customHeight="1" x14ac:dyDescent="0.25">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c r="BD632" s="28"/>
      <c r="BE632" s="28"/>
    </row>
    <row r="633" spans="2:57" ht="15.75" customHeight="1" x14ac:dyDescent="0.25">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c r="AN633" s="28"/>
      <c r="AO633" s="28"/>
      <c r="AP633" s="28"/>
      <c r="AQ633" s="28"/>
      <c r="AR633" s="28"/>
      <c r="AS633" s="28"/>
      <c r="AT633" s="28"/>
      <c r="AU633" s="28"/>
      <c r="AV633" s="28"/>
      <c r="AW633" s="28"/>
      <c r="AX633" s="28"/>
      <c r="AY633" s="28"/>
      <c r="AZ633" s="28"/>
      <c r="BA633" s="28"/>
      <c r="BB633" s="28"/>
      <c r="BC633" s="28"/>
      <c r="BD633" s="28"/>
      <c r="BE633" s="28"/>
    </row>
    <row r="634" spans="2:57" ht="15.75" customHeight="1" x14ac:dyDescent="0.25">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c r="BD634" s="28"/>
      <c r="BE634" s="28"/>
    </row>
    <row r="635" spans="2:57" ht="15.75" customHeight="1" x14ac:dyDescent="0.25">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c r="AN635" s="28"/>
      <c r="AO635" s="28"/>
      <c r="AP635" s="28"/>
      <c r="AQ635" s="28"/>
      <c r="AR635" s="28"/>
      <c r="AS635" s="28"/>
      <c r="AT635" s="28"/>
      <c r="AU635" s="28"/>
      <c r="AV635" s="28"/>
      <c r="AW635" s="28"/>
      <c r="AX635" s="28"/>
      <c r="AY635" s="28"/>
      <c r="AZ635" s="28"/>
      <c r="BA635" s="28"/>
      <c r="BB635" s="28"/>
      <c r="BC635" s="28"/>
      <c r="BD635" s="28"/>
      <c r="BE635" s="28"/>
    </row>
    <row r="636" spans="2:57" ht="15.75" customHeight="1" x14ac:dyDescent="0.25">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c r="BD636" s="28"/>
      <c r="BE636" s="28"/>
    </row>
    <row r="637" spans="2:57" ht="15.75" customHeight="1" x14ac:dyDescent="0.25">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c r="AN637" s="28"/>
      <c r="AO637" s="28"/>
      <c r="AP637" s="28"/>
      <c r="AQ637" s="28"/>
      <c r="AR637" s="28"/>
      <c r="AS637" s="28"/>
      <c r="AT637" s="28"/>
      <c r="AU637" s="28"/>
      <c r="AV637" s="28"/>
      <c r="AW637" s="28"/>
      <c r="AX637" s="28"/>
      <c r="AY637" s="28"/>
      <c r="AZ637" s="28"/>
      <c r="BA637" s="28"/>
      <c r="BB637" s="28"/>
      <c r="BC637" s="28"/>
      <c r="BD637" s="28"/>
      <c r="BE637" s="28"/>
    </row>
    <row r="638" spans="2:57" ht="15.75" customHeight="1" x14ac:dyDescent="0.25">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c r="BD638" s="28"/>
      <c r="BE638" s="28"/>
    </row>
    <row r="639" spans="2:57" ht="15.75" customHeight="1" x14ac:dyDescent="0.25">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c r="AN639" s="28"/>
      <c r="AO639" s="28"/>
      <c r="AP639" s="28"/>
      <c r="AQ639" s="28"/>
      <c r="AR639" s="28"/>
      <c r="AS639" s="28"/>
      <c r="AT639" s="28"/>
      <c r="AU639" s="28"/>
      <c r="AV639" s="28"/>
      <c r="AW639" s="28"/>
      <c r="AX639" s="28"/>
      <c r="AY639" s="28"/>
      <c r="AZ639" s="28"/>
      <c r="BA639" s="28"/>
      <c r="BB639" s="28"/>
      <c r="BC639" s="28"/>
      <c r="BD639" s="28"/>
      <c r="BE639" s="28"/>
    </row>
    <row r="640" spans="2:57" ht="15.75" customHeight="1" x14ac:dyDescent="0.25">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c r="BD640" s="28"/>
      <c r="BE640" s="28"/>
    </row>
    <row r="641" spans="2:57" ht="15.75" customHeight="1" x14ac:dyDescent="0.25">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c r="AN641" s="28"/>
      <c r="AO641" s="28"/>
      <c r="AP641" s="28"/>
      <c r="AQ641" s="28"/>
      <c r="AR641" s="28"/>
      <c r="AS641" s="28"/>
      <c r="AT641" s="28"/>
      <c r="AU641" s="28"/>
      <c r="AV641" s="28"/>
      <c r="AW641" s="28"/>
      <c r="AX641" s="28"/>
      <c r="AY641" s="28"/>
      <c r="AZ641" s="28"/>
      <c r="BA641" s="28"/>
      <c r="BB641" s="28"/>
      <c r="BC641" s="28"/>
      <c r="BD641" s="28"/>
      <c r="BE641" s="28"/>
    </row>
    <row r="642" spans="2:57" ht="15.75" customHeight="1" x14ac:dyDescent="0.25">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c r="BD642" s="28"/>
      <c r="BE642" s="28"/>
    </row>
    <row r="643" spans="2:57" ht="15.75" customHeight="1" x14ac:dyDescent="0.25">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c r="AN643" s="28"/>
      <c r="AO643" s="28"/>
      <c r="AP643" s="28"/>
      <c r="AQ643" s="28"/>
      <c r="AR643" s="28"/>
      <c r="AS643" s="28"/>
      <c r="AT643" s="28"/>
      <c r="AU643" s="28"/>
      <c r="AV643" s="28"/>
      <c r="AW643" s="28"/>
      <c r="AX643" s="28"/>
      <c r="AY643" s="28"/>
      <c r="AZ643" s="28"/>
      <c r="BA643" s="28"/>
      <c r="BB643" s="28"/>
      <c r="BC643" s="28"/>
      <c r="BD643" s="28"/>
      <c r="BE643" s="28"/>
    </row>
    <row r="644" spans="2:57" ht="15.75" customHeight="1" x14ac:dyDescent="0.25">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c r="BD644" s="28"/>
      <c r="BE644" s="28"/>
    </row>
    <row r="645" spans="2:57" ht="15.75" customHeight="1" x14ac:dyDescent="0.25">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c r="AN645" s="28"/>
      <c r="AO645" s="28"/>
      <c r="AP645" s="28"/>
      <c r="AQ645" s="28"/>
      <c r="AR645" s="28"/>
      <c r="AS645" s="28"/>
      <c r="AT645" s="28"/>
      <c r="AU645" s="28"/>
      <c r="AV645" s="28"/>
      <c r="AW645" s="28"/>
      <c r="AX645" s="28"/>
      <c r="AY645" s="28"/>
      <c r="AZ645" s="28"/>
      <c r="BA645" s="28"/>
      <c r="BB645" s="28"/>
      <c r="BC645" s="28"/>
      <c r="BD645" s="28"/>
      <c r="BE645" s="28"/>
    </row>
    <row r="646" spans="2:57" ht="15.75" customHeight="1" x14ac:dyDescent="0.25">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c r="BD646" s="28"/>
      <c r="BE646" s="28"/>
    </row>
    <row r="647" spans="2:57" ht="15.75" customHeight="1" x14ac:dyDescent="0.25">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c r="AN647" s="28"/>
      <c r="AO647" s="28"/>
      <c r="AP647" s="28"/>
      <c r="AQ647" s="28"/>
      <c r="AR647" s="28"/>
      <c r="AS647" s="28"/>
      <c r="AT647" s="28"/>
      <c r="AU647" s="28"/>
      <c r="AV647" s="28"/>
      <c r="AW647" s="28"/>
      <c r="AX647" s="28"/>
      <c r="AY647" s="28"/>
      <c r="AZ647" s="28"/>
      <c r="BA647" s="28"/>
      <c r="BB647" s="28"/>
      <c r="BC647" s="28"/>
      <c r="BD647" s="28"/>
      <c r="BE647" s="28"/>
    </row>
    <row r="648" spans="2:57" ht="15.75" customHeight="1" x14ac:dyDescent="0.25">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c r="BD648" s="28"/>
      <c r="BE648" s="28"/>
    </row>
    <row r="649" spans="2:57" ht="15.75" customHeight="1" x14ac:dyDescent="0.25">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c r="AN649" s="28"/>
      <c r="AO649" s="28"/>
      <c r="AP649" s="28"/>
      <c r="AQ649" s="28"/>
      <c r="AR649" s="28"/>
      <c r="AS649" s="28"/>
      <c r="AT649" s="28"/>
      <c r="AU649" s="28"/>
      <c r="AV649" s="28"/>
      <c r="AW649" s="28"/>
      <c r="AX649" s="28"/>
      <c r="AY649" s="28"/>
      <c r="AZ649" s="28"/>
      <c r="BA649" s="28"/>
      <c r="BB649" s="28"/>
      <c r="BC649" s="28"/>
      <c r="BD649" s="28"/>
      <c r="BE649" s="28"/>
    </row>
    <row r="650" spans="2:57" ht="15.75" customHeight="1" x14ac:dyDescent="0.25">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c r="BD650" s="28"/>
      <c r="BE650" s="28"/>
    </row>
    <row r="651" spans="2:57" ht="15.75" customHeight="1" x14ac:dyDescent="0.25">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c r="AN651" s="28"/>
      <c r="AO651" s="28"/>
      <c r="AP651" s="28"/>
      <c r="AQ651" s="28"/>
      <c r="AR651" s="28"/>
      <c r="AS651" s="28"/>
      <c r="AT651" s="28"/>
      <c r="AU651" s="28"/>
      <c r="AV651" s="28"/>
      <c r="AW651" s="28"/>
      <c r="AX651" s="28"/>
      <c r="AY651" s="28"/>
      <c r="AZ651" s="28"/>
      <c r="BA651" s="28"/>
      <c r="BB651" s="28"/>
      <c r="BC651" s="28"/>
      <c r="BD651" s="28"/>
      <c r="BE651" s="28"/>
    </row>
    <row r="652" spans="2:57" ht="15.75" customHeight="1" x14ac:dyDescent="0.25">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c r="BD652" s="28"/>
      <c r="BE652" s="28"/>
    </row>
    <row r="653" spans="2:57" ht="15.75" customHeight="1" x14ac:dyDescent="0.25">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c r="AN653" s="28"/>
      <c r="AO653" s="28"/>
      <c r="AP653" s="28"/>
      <c r="AQ653" s="28"/>
      <c r="AR653" s="28"/>
      <c r="AS653" s="28"/>
      <c r="AT653" s="28"/>
      <c r="AU653" s="28"/>
      <c r="AV653" s="28"/>
      <c r="AW653" s="28"/>
      <c r="AX653" s="28"/>
      <c r="AY653" s="28"/>
      <c r="AZ653" s="28"/>
      <c r="BA653" s="28"/>
      <c r="BB653" s="28"/>
      <c r="BC653" s="28"/>
      <c r="BD653" s="28"/>
      <c r="BE653" s="28"/>
    </row>
    <row r="654" spans="2:57" ht="15.75" customHeight="1" x14ac:dyDescent="0.25">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c r="BD654" s="28"/>
      <c r="BE654" s="28"/>
    </row>
    <row r="655" spans="2:57" ht="15.75" customHeight="1" x14ac:dyDescent="0.25">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c r="AN655" s="28"/>
      <c r="AO655" s="28"/>
      <c r="AP655" s="28"/>
      <c r="AQ655" s="28"/>
      <c r="AR655" s="28"/>
      <c r="AS655" s="28"/>
      <c r="AT655" s="28"/>
      <c r="AU655" s="28"/>
      <c r="AV655" s="28"/>
      <c r="AW655" s="28"/>
      <c r="AX655" s="28"/>
      <c r="AY655" s="28"/>
      <c r="AZ655" s="28"/>
      <c r="BA655" s="28"/>
      <c r="BB655" s="28"/>
      <c r="BC655" s="28"/>
      <c r="BD655" s="28"/>
      <c r="BE655" s="28"/>
    </row>
    <row r="656" spans="2:57" ht="15.75" customHeight="1" x14ac:dyDescent="0.25">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c r="BD656" s="28"/>
      <c r="BE656" s="28"/>
    </row>
    <row r="657" spans="2:57" ht="15.75" customHeight="1" x14ac:dyDescent="0.25">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c r="AN657" s="28"/>
      <c r="AO657" s="28"/>
      <c r="AP657" s="28"/>
      <c r="AQ657" s="28"/>
      <c r="AR657" s="28"/>
      <c r="AS657" s="28"/>
      <c r="AT657" s="28"/>
      <c r="AU657" s="28"/>
      <c r="AV657" s="28"/>
      <c r="AW657" s="28"/>
      <c r="AX657" s="28"/>
      <c r="AY657" s="28"/>
      <c r="AZ657" s="28"/>
      <c r="BA657" s="28"/>
      <c r="BB657" s="28"/>
      <c r="BC657" s="28"/>
      <c r="BD657" s="28"/>
      <c r="BE657" s="28"/>
    </row>
    <row r="658" spans="2:57" ht="15.75" customHeight="1" x14ac:dyDescent="0.25">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c r="BD658" s="28"/>
      <c r="BE658" s="28"/>
    </row>
    <row r="659" spans="2:57" ht="15.75" customHeight="1" x14ac:dyDescent="0.25">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c r="AN659" s="28"/>
      <c r="AO659" s="28"/>
      <c r="AP659" s="28"/>
      <c r="AQ659" s="28"/>
      <c r="AR659" s="28"/>
      <c r="AS659" s="28"/>
      <c r="AT659" s="28"/>
      <c r="AU659" s="28"/>
      <c r="AV659" s="28"/>
      <c r="AW659" s="28"/>
      <c r="AX659" s="28"/>
      <c r="AY659" s="28"/>
      <c r="AZ659" s="28"/>
      <c r="BA659" s="28"/>
      <c r="BB659" s="28"/>
      <c r="BC659" s="28"/>
      <c r="BD659" s="28"/>
      <c r="BE659" s="28"/>
    </row>
    <row r="660" spans="2:57" ht="15.75" customHeight="1" x14ac:dyDescent="0.25">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c r="BD660" s="28"/>
      <c r="BE660" s="28"/>
    </row>
    <row r="661" spans="2:57" ht="15.75" customHeight="1" x14ac:dyDescent="0.25">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c r="AN661" s="28"/>
      <c r="AO661" s="28"/>
      <c r="AP661" s="28"/>
      <c r="AQ661" s="28"/>
      <c r="AR661" s="28"/>
      <c r="AS661" s="28"/>
      <c r="AT661" s="28"/>
      <c r="AU661" s="28"/>
      <c r="AV661" s="28"/>
      <c r="AW661" s="28"/>
      <c r="AX661" s="28"/>
      <c r="AY661" s="28"/>
      <c r="AZ661" s="28"/>
      <c r="BA661" s="28"/>
      <c r="BB661" s="28"/>
      <c r="BC661" s="28"/>
      <c r="BD661" s="28"/>
      <c r="BE661" s="28"/>
    </row>
    <row r="662" spans="2:57" ht="15.75" customHeight="1" x14ac:dyDescent="0.25">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c r="BD662" s="28"/>
      <c r="BE662" s="28"/>
    </row>
    <row r="663" spans="2:57" ht="15.75" customHeight="1" x14ac:dyDescent="0.25">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c r="AN663" s="28"/>
      <c r="AO663" s="28"/>
      <c r="AP663" s="28"/>
      <c r="AQ663" s="28"/>
      <c r="AR663" s="28"/>
      <c r="AS663" s="28"/>
      <c r="AT663" s="28"/>
      <c r="AU663" s="28"/>
      <c r="AV663" s="28"/>
      <c r="AW663" s="28"/>
      <c r="AX663" s="28"/>
      <c r="AY663" s="28"/>
      <c r="AZ663" s="28"/>
      <c r="BA663" s="28"/>
      <c r="BB663" s="28"/>
      <c r="BC663" s="28"/>
      <c r="BD663" s="28"/>
      <c r="BE663" s="28"/>
    </row>
    <row r="664" spans="2:57" ht="15.75" customHeight="1" x14ac:dyDescent="0.25">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c r="BD664" s="28"/>
      <c r="BE664" s="28"/>
    </row>
    <row r="665" spans="2:57" ht="15.75" customHeight="1" x14ac:dyDescent="0.25">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c r="AN665" s="28"/>
      <c r="AO665" s="28"/>
      <c r="AP665" s="28"/>
      <c r="AQ665" s="28"/>
      <c r="AR665" s="28"/>
      <c r="AS665" s="28"/>
      <c r="AT665" s="28"/>
      <c r="AU665" s="28"/>
      <c r="AV665" s="28"/>
      <c r="AW665" s="28"/>
      <c r="AX665" s="28"/>
      <c r="AY665" s="28"/>
      <c r="AZ665" s="28"/>
      <c r="BA665" s="28"/>
      <c r="BB665" s="28"/>
      <c r="BC665" s="28"/>
      <c r="BD665" s="28"/>
      <c r="BE665" s="28"/>
    </row>
    <row r="666" spans="2:57" ht="15.75" customHeight="1" x14ac:dyDescent="0.25">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c r="BD666" s="28"/>
      <c r="BE666" s="28"/>
    </row>
    <row r="667" spans="2:57" ht="15.75" customHeight="1" x14ac:dyDescent="0.25">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c r="AN667" s="28"/>
      <c r="AO667" s="28"/>
      <c r="AP667" s="28"/>
      <c r="AQ667" s="28"/>
      <c r="AR667" s="28"/>
      <c r="AS667" s="28"/>
      <c r="AT667" s="28"/>
      <c r="AU667" s="28"/>
      <c r="AV667" s="28"/>
      <c r="AW667" s="28"/>
      <c r="AX667" s="28"/>
      <c r="AY667" s="28"/>
      <c r="AZ667" s="28"/>
      <c r="BA667" s="28"/>
      <c r="BB667" s="28"/>
      <c r="BC667" s="28"/>
      <c r="BD667" s="28"/>
      <c r="BE667" s="28"/>
    </row>
    <row r="668" spans="2:57" ht="15.75" customHeight="1" x14ac:dyDescent="0.25">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c r="BD668" s="28"/>
      <c r="BE668" s="28"/>
    </row>
    <row r="669" spans="2:57" ht="15.75" customHeight="1" x14ac:dyDescent="0.25">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c r="AT669" s="28"/>
      <c r="AU669" s="28"/>
      <c r="AV669" s="28"/>
      <c r="AW669" s="28"/>
      <c r="AX669" s="28"/>
      <c r="AY669" s="28"/>
      <c r="AZ669" s="28"/>
      <c r="BA669" s="28"/>
      <c r="BB669" s="28"/>
      <c r="BC669" s="28"/>
      <c r="BD669" s="28"/>
      <c r="BE669" s="28"/>
    </row>
    <row r="670" spans="2:57" ht="15.75" customHeight="1" x14ac:dyDescent="0.25">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c r="BD670" s="28"/>
      <c r="BE670" s="28"/>
    </row>
    <row r="671" spans="2:57" ht="15.75" customHeight="1" x14ac:dyDescent="0.25">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c r="AN671" s="28"/>
      <c r="AO671" s="28"/>
      <c r="AP671" s="28"/>
      <c r="AQ671" s="28"/>
      <c r="AR671" s="28"/>
      <c r="AS671" s="28"/>
      <c r="AT671" s="28"/>
      <c r="AU671" s="28"/>
      <c r="AV671" s="28"/>
      <c r="AW671" s="28"/>
      <c r="AX671" s="28"/>
      <c r="AY671" s="28"/>
      <c r="AZ671" s="28"/>
      <c r="BA671" s="28"/>
      <c r="BB671" s="28"/>
      <c r="BC671" s="28"/>
      <c r="BD671" s="28"/>
      <c r="BE671" s="28"/>
    </row>
    <row r="672" spans="2:57" ht="15.75" customHeight="1" x14ac:dyDescent="0.25">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c r="BD672" s="28"/>
      <c r="BE672" s="28"/>
    </row>
    <row r="673" spans="2:57" ht="15.75" customHeight="1" x14ac:dyDescent="0.25">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c r="AN673" s="28"/>
      <c r="AO673" s="28"/>
      <c r="AP673" s="28"/>
      <c r="AQ673" s="28"/>
      <c r="AR673" s="28"/>
      <c r="AS673" s="28"/>
      <c r="AT673" s="28"/>
      <c r="AU673" s="28"/>
      <c r="AV673" s="28"/>
      <c r="AW673" s="28"/>
      <c r="AX673" s="28"/>
      <c r="AY673" s="28"/>
      <c r="AZ673" s="28"/>
      <c r="BA673" s="28"/>
      <c r="BB673" s="28"/>
      <c r="BC673" s="28"/>
      <c r="BD673" s="28"/>
      <c r="BE673" s="28"/>
    </row>
    <row r="674" spans="2:57" ht="15.75" customHeight="1" x14ac:dyDescent="0.25">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c r="BD674" s="28"/>
      <c r="BE674" s="28"/>
    </row>
    <row r="675" spans="2:57" ht="15.75" customHeight="1" x14ac:dyDescent="0.25">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c r="AN675" s="28"/>
      <c r="AO675" s="28"/>
      <c r="AP675" s="28"/>
      <c r="AQ675" s="28"/>
      <c r="AR675" s="28"/>
      <c r="AS675" s="28"/>
      <c r="AT675" s="28"/>
      <c r="AU675" s="28"/>
      <c r="AV675" s="28"/>
      <c r="AW675" s="28"/>
      <c r="AX675" s="28"/>
      <c r="AY675" s="28"/>
      <c r="AZ675" s="28"/>
      <c r="BA675" s="28"/>
      <c r="BB675" s="28"/>
      <c r="BC675" s="28"/>
      <c r="BD675" s="28"/>
      <c r="BE675" s="28"/>
    </row>
    <row r="676" spans="2:57" ht="15.75" customHeight="1" x14ac:dyDescent="0.25">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c r="BD676" s="28"/>
      <c r="BE676" s="28"/>
    </row>
    <row r="677" spans="2:57" ht="15.75" customHeight="1" x14ac:dyDescent="0.25">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c r="AN677" s="28"/>
      <c r="AO677" s="28"/>
      <c r="AP677" s="28"/>
      <c r="AQ677" s="28"/>
      <c r="AR677" s="28"/>
      <c r="AS677" s="28"/>
      <c r="AT677" s="28"/>
      <c r="AU677" s="28"/>
      <c r="AV677" s="28"/>
      <c r="AW677" s="28"/>
      <c r="AX677" s="28"/>
      <c r="AY677" s="28"/>
      <c r="AZ677" s="28"/>
      <c r="BA677" s="28"/>
      <c r="BB677" s="28"/>
      <c r="BC677" s="28"/>
      <c r="BD677" s="28"/>
      <c r="BE677" s="28"/>
    </row>
    <row r="678" spans="2:57" ht="15.75" customHeight="1" x14ac:dyDescent="0.25">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c r="BD678" s="28"/>
      <c r="BE678" s="28"/>
    </row>
    <row r="679" spans="2:57" ht="15.75" customHeight="1" x14ac:dyDescent="0.25">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c r="AN679" s="28"/>
      <c r="AO679" s="28"/>
      <c r="AP679" s="28"/>
      <c r="AQ679" s="28"/>
      <c r="AR679" s="28"/>
      <c r="AS679" s="28"/>
      <c r="AT679" s="28"/>
      <c r="AU679" s="28"/>
      <c r="AV679" s="28"/>
      <c r="AW679" s="28"/>
      <c r="AX679" s="28"/>
      <c r="AY679" s="28"/>
      <c r="AZ679" s="28"/>
      <c r="BA679" s="28"/>
      <c r="BB679" s="28"/>
      <c r="BC679" s="28"/>
      <c r="BD679" s="28"/>
      <c r="BE679" s="28"/>
    </row>
    <row r="680" spans="2:57" ht="15.75" customHeight="1" x14ac:dyDescent="0.25">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c r="BD680" s="28"/>
      <c r="BE680" s="28"/>
    </row>
    <row r="681" spans="2:57" ht="15.75" customHeight="1" x14ac:dyDescent="0.25">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c r="AN681" s="28"/>
      <c r="AO681" s="28"/>
      <c r="AP681" s="28"/>
      <c r="AQ681" s="28"/>
      <c r="AR681" s="28"/>
      <c r="AS681" s="28"/>
      <c r="AT681" s="28"/>
      <c r="AU681" s="28"/>
      <c r="AV681" s="28"/>
      <c r="AW681" s="28"/>
      <c r="AX681" s="28"/>
      <c r="AY681" s="28"/>
      <c r="AZ681" s="28"/>
      <c r="BA681" s="28"/>
      <c r="BB681" s="28"/>
      <c r="BC681" s="28"/>
      <c r="BD681" s="28"/>
      <c r="BE681" s="28"/>
    </row>
    <row r="682" spans="2:57" ht="15.75" customHeight="1" x14ac:dyDescent="0.25">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c r="BD682" s="28"/>
      <c r="BE682" s="28"/>
    </row>
    <row r="683" spans="2:57" ht="15.75" customHeight="1" x14ac:dyDescent="0.25">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c r="AN683" s="28"/>
      <c r="AO683" s="28"/>
      <c r="AP683" s="28"/>
      <c r="AQ683" s="28"/>
      <c r="AR683" s="28"/>
      <c r="AS683" s="28"/>
      <c r="AT683" s="28"/>
      <c r="AU683" s="28"/>
      <c r="AV683" s="28"/>
      <c r="AW683" s="28"/>
      <c r="AX683" s="28"/>
      <c r="AY683" s="28"/>
      <c r="AZ683" s="28"/>
      <c r="BA683" s="28"/>
      <c r="BB683" s="28"/>
      <c r="BC683" s="28"/>
      <c r="BD683" s="28"/>
      <c r="BE683" s="28"/>
    </row>
    <row r="684" spans="2:57" ht="15.75" customHeight="1" x14ac:dyDescent="0.25">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c r="BD684" s="28"/>
      <c r="BE684" s="28"/>
    </row>
    <row r="685" spans="2:57" ht="15.75" customHeight="1" x14ac:dyDescent="0.25">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28"/>
      <c r="AT685" s="28"/>
      <c r="AU685" s="28"/>
      <c r="AV685" s="28"/>
      <c r="AW685" s="28"/>
      <c r="AX685" s="28"/>
      <c r="AY685" s="28"/>
      <c r="AZ685" s="28"/>
      <c r="BA685" s="28"/>
      <c r="BB685" s="28"/>
      <c r="BC685" s="28"/>
      <c r="BD685" s="28"/>
      <c r="BE685" s="28"/>
    </row>
    <row r="686" spans="2:57" ht="15.75" customHeight="1" x14ac:dyDescent="0.25">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c r="BE686" s="28"/>
    </row>
    <row r="687" spans="2:57" ht="15.75" customHeight="1" x14ac:dyDescent="0.25">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c r="AN687" s="28"/>
      <c r="AO687" s="28"/>
      <c r="AP687" s="28"/>
      <c r="AQ687" s="28"/>
      <c r="AR687" s="28"/>
      <c r="AS687" s="28"/>
      <c r="AT687" s="28"/>
      <c r="AU687" s="28"/>
      <c r="AV687" s="28"/>
      <c r="AW687" s="28"/>
      <c r="AX687" s="28"/>
      <c r="AY687" s="28"/>
      <c r="AZ687" s="28"/>
      <c r="BA687" s="28"/>
      <c r="BB687" s="28"/>
      <c r="BC687" s="28"/>
      <c r="BD687" s="28"/>
      <c r="BE687" s="28"/>
    </row>
    <row r="688" spans="2:57" ht="15.75" customHeight="1" x14ac:dyDescent="0.25">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c r="BD688" s="28"/>
      <c r="BE688" s="28"/>
    </row>
    <row r="689" spans="2:57" ht="15.75" customHeight="1" x14ac:dyDescent="0.25">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c r="AN689" s="28"/>
      <c r="AO689" s="28"/>
      <c r="AP689" s="28"/>
      <c r="AQ689" s="28"/>
      <c r="AR689" s="28"/>
      <c r="AS689" s="28"/>
      <c r="AT689" s="28"/>
      <c r="AU689" s="28"/>
      <c r="AV689" s="28"/>
      <c r="AW689" s="28"/>
      <c r="AX689" s="28"/>
      <c r="AY689" s="28"/>
      <c r="AZ689" s="28"/>
      <c r="BA689" s="28"/>
      <c r="BB689" s="28"/>
      <c r="BC689" s="28"/>
      <c r="BD689" s="28"/>
      <c r="BE689" s="28"/>
    </row>
    <row r="690" spans="2:57" ht="15.75" customHeight="1" x14ac:dyDescent="0.25">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c r="BD690" s="28"/>
      <c r="BE690" s="28"/>
    </row>
    <row r="691" spans="2:57" ht="15.75" customHeight="1" x14ac:dyDescent="0.25">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c r="AN691" s="28"/>
      <c r="AO691" s="28"/>
      <c r="AP691" s="28"/>
      <c r="AQ691" s="28"/>
      <c r="AR691" s="28"/>
      <c r="AS691" s="28"/>
      <c r="AT691" s="28"/>
      <c r="AU691" s="28"/>
      <c r="AV691" s="28"/>
      <c r="AW691" s="28"/>
      <c r="AX691" s="28"/>
      <c r="AY691" s="28"/>
      <c r="AZ691" s="28"/>
      <c r="BA691" s="28"/>
      <c r="BB691" s="28"/>
      <c r="BC691" s="28"/>
      <c r="BD691" s="28"/>
      <c r="BE691" s="28"/>
    </row>
    <row r="692" spans="2:57" ht="15.75" customHeight="1" x14ac:dyDescent="0.25">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c r="BD692" s="28"/>
      <c r="BE692" s="28"/>
    </row>
    <row r="693" spans="2:57" ht="15.75" customHeight="1" x14ac:dyDescent="0.25">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c r="AN693" s="28"/>
      <c r="AO693" s="28"/>
      <c r="AP693" s="28"/>
      <c r="AQ693" s="28"/>
      <c r="AR693" s="28"/>
      <c r="AS693" s="28"/>
      <c r="AT693" s="28"/>
      <c r="AU693" s="28"/>
      <c r="AV693" s="28"/>
      <c r="AW693" s="28"/>
      <c r="AX693" s="28"/>
      <c r="AY693" s="28"/>
      <c r="AZ693" s="28"/>
      <c r="BA693" s="28"/>
      <c r="BB693" s="28"/>
      <c r="BC693" s="28"/>
      <c r="BD693" s="28"/>
      <c r="BE693" s="28"/>
    </row>
    <row r="694" spans="2:57" ht="15.75" customHeight="1" x14ac:dyDescent="0.25">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c r="BD694" s="28"/>
      <c r="BE694" s="28"/>
    </row>
    <row r="695" spans="2:57" ht="15.75" customHeight="1" x14ac:dyDescent="0.25">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c r="AN695" s="28"/>
      <c r="AO695" s="28"/>
      <c r="AP695" s="28"/>
      <c r="AQ695" s="28"/>
      <c r="AR695" s="28"/>
      <c r="AS695" s="28"/>
      <c r="AT695" s="28"/>
      <c r="AU695" s="28"/>
      <c r="AV695" s="28"/>
      <c r="AW695" s="28"/>
      <c r="AX695" s="28"/>
      <c r="AY695" s="28"/>
      <c r="AZ695" s="28"/>
      <c r="BA695" s="28"/>
      <c r="BB695" s="28"/>
      <c r="BC695" s="28"/>
      <c r="BD695" s="28"/>
      <c r="BE695" s="28"/>
    </row>
    <row r="696" spans="2:57" ht="15.75" customHeight="1" x14ac:dyDescent="0.25">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c r="BD696" s="28"/>
      <c r="BE696" s="28"/>
    </row>
    <row r="697" spans="2:57" ht="15.75" customHeight="1" x14ac:dyDescent="0.25">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c r="AN697" s="28"/>
      <c r="AO697" s="28"/>
      <c r="AP697" s="28"/>
      <c r="AQ697" s="28"/>
      <c r="AR697" s="28"/>
      <c r="AS697" s="28"/>
      <c r="AT697" s="28"/>
      <c r="AU697" s="28"/>
      <c r="AV697" s="28"/>
      <c r="AW697" s="28"/>
      <c r="AX697" s="28"/>
      <c r="AY697" s="28"/>
      <c r="AZ697" s="28"/>
      <c r="BA697" s="28"/>
      <c r="BB697" s="28"/>
      <c r="BC697" s="28"/>
      <c r="BD697" s="28"/>
      <c r="BE697" s="28"/>
    </row>
    <row r="698" spans="2:57" ht="15.75" customHeight="1" x14ac:dyDescent="0.25">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c r="BD698" s="28"/>
      <c r="BE698" s="28"/>
    </row>
    <row r="699" spans="2:57" ht="15.75" customHeight="1" x14ac:dyDescent="0.25">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c r="AT699" s="28"/>
      <c r="AU699" s="28"/>
      <c r="AV699" s="28"/>
      <c r="AW699" s="28"/>
      <c r="AX699" s="28"/>
      <c r="AY699" s="28"/>
      <c r="AZ699" s="28"/>
      <c r="BA699" s="28"/>
      <c r="BB699" s="28"/>
      <c r="BC699" s="28"/>
      <c r="BD699" s="28"/>
      <c r="BE699" s="28"/>
    </row>
    <row r="700" spans="2:57" ht="15.75" customHeight="1" x14ac:dyDescent="0.25">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c r="BD700" s="28"/>
      <c r="BE700" s="28"/>
    </row>
    <row r="701" spans="2:57" ht="15.75" customHeight="1" x14ac:dyDescent="0.25">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c r="AN701" s="28"/>
      <c r="AO701" s="28"/>
      <c r="AP701" s="28"/>
      <c r="AQ701" s="28"/>
      <c r="AR701" s="28"/>
      <c r="AS701" s="28"/>
      <c r="AT701" s="28"/>
      <c r="AU701" s="28"/>
      <c r="AV701" s="28"/>
      <c r="AW701" s="28"/>
      <c r="AX701" s="28"/>
      <c r="AY701" s="28"/>
      <c r="AZ701" s="28"/>
      <c r="BA701" s="28"/>
      <c r="BB701" s="28"/>
      <c r="BC701" s="28"/>
      <c r="BD701" s="28"/>
      <c r="BE701" s="28"/>
    </row>
    <row r="702" spans="2:57" ht="15.75" customHeight="1" x14ac:dyDescent="0.25">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c r="BD702" s="28"/>
      <c r="BE702" s="28"/>
    </row>
    <row r="703" spans="2:57" ht="15.75" customHeight="1" x14ac:dyDescent="0.25">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c r="AN703" s="28"/>
      <c r="AO703" s="28"/>
      <c r="AP703" s="28"/>
      <c r="AQ703" s="28"/>
      <c r="AR703" s="28"/>
      <c r="AS703" s="28"/>
      <c r="AT703" s="28"/>
      <c r="AU703" s="28"/>
      <c r="AV703" s="28"/>
      <c r="AW703" s="28"/>
      <c r="AX703" s="28"/>
      <c r="AY703" s="28"/>
      <c r="AZ703" s="28"/>
      <c r="BA703" s="28"/>
      <c r="BB703" s="28"/>
      <c r="BC703" s="28"/>
      <c r="BD703" s="28"/>
      <c r="BE703" s="28"/>
    </row>
    <row r="704" spans="2:57" ht="15.75" customHeight="1" x14ac:dyDescent="0.25">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c r="BD704" s="28"/>
      <c r="BE704" s="28"/>
    </row>
    <row r="705" spans="2:57" ht="15.75" customHeight="1" x14ac:dyDescent="0.25">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c r="AN705" s="28"/>
      <c r="AO705" s="28"/>
      <c r="AP705" s="28"/>
      <c r="AQ705" s="28"/>
      <c r="AR705" s="28"/>
      <c r="AS705" s="28"/>
      <c r="AT705" s="28"/>
      <c r="AU705" s="28"/>
      <c r="AV705" s="28"/>
      <c r="AW705" s="28"/>
      <c r="AX705" s="28"/>
      <c r="AY705" s="28"/>
      <c r="AZ705" s="28"/>
      <c r="BA705" s="28"/>
      <c r="BB705" s="28"/>
      <c r="BC705" s="28"/>
      <c r="BD705" s="28"/>
      <c r="BE705" s="28"/>
    </row>
    <row r="706" spans="2:57" ht="15.75" customHeight="1" x14ac:dyDescent="0.25">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c r="BD706" s="28"/>
      <c r="BE706" s="28"/>
    </row>
    <row r="707" spans="2:57" ht="15.75" customHeight="1" x14ac:dyDescent="0.25">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c r="AN707" s="28"/>
      <c r="AO707" s="28"/>
      <c r="AP707" s="28"/>
      <c r="AQ707" s="28"/>
      <c r="AR707" s="28"/>
      <c r="AS707" s="28"/>
      <c r="AT707" s="28"/>
      <c r="AU707" s="28"/>
      <c r="AV707" s="28"/>
      <c r="AW707" s="28"/>
      <c r="AX707" s="28"/>
      <c r="AY707" s="28"/>
      <c r="AZ707" s="28"/>
      <c r="BA707" s="28"/>
      <c r="BB707" s="28"/>
      <c r="BC707" s="28"/>
      <c r="BD707" s="28"/>
      <c r="BE707" s="28"/>
    </row>
    <row r="708" spans="2:57" ht="15.75" customHeight="1" x14ac:dyDescent="0.25">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c r="BD708" s="28"/>
      <c r="BE708" s="28"/>
    </row>
    <row r="709" spans="2:57" ht="15.75" customHeight="1" x14ac:dyDescent="0.25">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c r="AN709" s="28"/>
      <c r="AO709" s="28"/>
      <c r="AP709" s="28"/>
      <c r="AQ709" s="28"/>
      <c r="AR709" s="28"/>
      <c r="AS709" s="28"/>
      <c r="AT709" s="28"/>
      <c r="AU709" s="28"/>
      <c r="AV709" s="28"/>
      <c r="AW709" s="28"/>
      <c r="AX709" s="28"/>
      <c r="AY709" s="28"/>
      <c r="AZ709" s="28"/>
      <c r="BA709" s="28"/>
      <c r="BB709" s="28"/>
      <c r="BC709" s="28"/>
      <c r="BD709" s="28"/>
      <c r="BE709" s="28"/>
    </row>
    <row r="710" spans="2:57" ht="15.75" customHeight="1" x14ac:dyDescent="0.25">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c r="BD710" s="28"/>
      <c r="BE710" s="28"/>
    </row>
    <row r="711" spans="2:57" ht="15.75" customHeight="1" x14ac:dyDescent="0.25">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c r="AN711" s="28"/>
      <c r="AO711" s="28"/>
      <c r="AP711" s="28"/>
      <c r="AQ711" s="28"/>
      <c r="AR711" s="28"/>
      <c r="AS711" s="28"/>
      <c r="AT711" s="28"/>
      <c r="AU711" s="28"/>
      <c r="AV711" s="28"/>
      <c r="AW711" s="28"/>
      <c r="AX711" s="28"/>
      <c r="AY711" s="28"/>
      <c r="AZ711" s="28"/>
      <c r="BA711" s="28"/>
      <c r="BB711" s="28"/>
      <c r="BC711" s="28"/>
      <c r="BD711" s="28"/>
      <c r="BE711" s="28"/>
    </row>
    <row r="712" spans="2:57" ht="15.75" customHeight="1" x14ac:dyDescent="0.25">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c r="BD712" s="28"/>
      <c r="BE712" s="28"/>
    </row>
    <row r="713" spans="2:57" ht="15.75" customHeight="1" x14ac:dyDescent="0.25">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c r="AN713" s="28"/>
      <c r="AO713" s="28"/>
      <c r="AP713" s="28"/>
      <c r="AQ713" s="28"/>
      <c r="AR713" s="28"/>
      <c r="AS713" s="28"/>
      <c r="AT713" s="28"/>
      <c r="AU713" s="28"/>
      <c r="AV713" s="28"/>
      <c r="AW713" s="28"/>
      <c r="AX713" s="28"/>
      <c r="AY713" s="28"/>
      <c r="AZ713" s="28"/>
      <c r="BA713" s="28"/>
      <c r="BB713" s="28"/>
      <c r="BC713" s="28"/>
      <c r="BD713" s="28"/>
      <c r="BE713" s="28"/>
    </row>
    <row r="714" spans="2:57" ht="15.75" customHeight="1" x14ac:dyDescent="0.25">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c r="BD714" s="28"/>
      <c r="BE714" s="28"/>
    </row>
    <row r="715" spans="2:57" ht="15.75" customHeight="1" x14ac:dyDescent="0.25">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c r="AN715" s="28"/>
      <c r="AO715" s="28"/>
      <c r="AP715" s="28"/>
      <c r="AQ715" s="28"/>
      <c r="AR715" s="28"/>
      <c r="AS715" s="28"/>
      <c r="AT715" s="28"/>
      <c r="AU715" s="28"/>
      <c r="AV715" s="28"/>
      <c r="AW715" s="28"/>
      <c r="AX715" s="28"/>
      <c r="AY715" s="28"/>
      <c r="AZ715" s="28"/>
      <c r="BA715" s="28"/>
      <c r="BB715" s="28"/>
      <c r="BC715" s="28"/>
      <c r="BD715" s="28"/>
      <c r="BE715" s="28"/>
    </row>
    <row r="716" spans="2:57" ht="15.75" customHeight="1" x14ac:dyDescent="0.25">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c r="BD716" s="28"/>
      <c r="BE716" s="28"/>
    </row>
    <row r="717" spans="2:57" ht="15.75" customHeight="1" x14ac:dyDescent="0.25">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c r="AN717" s="28"/>
      <c r="AO717" s="28"/>
      <c r="AP717" s="28"/>
      <c r="AQ717" s="28"/>
      <c r="AR717" s="28"/>
      <c r="AS717" s="28"/>
      <c r="AT717" s="28"/>
      <c r="AU717" s="28"/>
      <c r="AV717" s="28"/>
      <c r="AW717" s="28"/>
      <c r="AX717" s="28"/>
      <c r="AY717" s="28"/>
      <c r="AZ717" s="28"/>
      <c r="BA717" s="28"/>
      <c r="BB717" s="28"/>
      <c r="BC717" s="28"/>
      <c r="BD717" s="28"/>
      <c r="BE717" s="28"/>
    </row>
    <row r="718" spans="2:57" ht="15.75" customHeight="1" x14ac:dyDescent="0.25">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c r="BD718" s="28"/>
      <c r="BE718" s="28"/>
    </row>
    <row r="719" spans="2:57" ht="15.75" customHeight="1" x14ac:dyDescent="0.25">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c r="AN719" s="28"/>
      <c r="AO719" s="28"/>
      <c r="AP719" s="28"/>
      <c r="AQ719" s="28"/>
      <c r="AR719" s="28"/>
      <c r="AS719" s="28"/>
      <c r="AT719" s="28"/>
      <c r="AU719" s="28"/>
      <c r="AV719" s="28"/>
      <c r="AW719" s="28"/>
      <c r="AX719" s="28"/>
      <c r="AY719" s="28"/>
      <c r="AZ719" s="28"/>
      <c r="BA719" s="28"/>
      <c r="BB719" s="28"/>
      <c r="BC719" s="28"/>
      <c r="BD719" s="28"/>
      <c r="BE719" s="28"/>
    </row>
    <row r="720" spans="2:57" ht="15.75" customHeight="1" x14ac:dyDescent="0.25">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c r="BD720" s="28"/>
      <c r="BE720" s="28"/>
    </row>
    <row r="721" spans="2:57" ht="15.75" customHeight="1" x14ac:dyDescent="0.25">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c r="AN721" s="28"/>
      <c r="AO721" s="28"/>
      <c r="AP721" s="28"/>
      <c r="AQ721" s="28"/>
      <c r="AR721" s="28"/>
      <c r="AS721" s="28"/>
      <c r="AT721" s="28"/>
      <c r="AU721" s="28"/>
      <c r="AV721" s="28"/>
      <c r="AW721" s="28"/>
      <c r="AX721" s="28"/>
      <c r="AY721" s="28"/>
      <c r="AZ721" s="28"/>
      <c r="BA721" s="28"/>
      <c r="BB721" s="28"/>
      <c r="BC721" s="28"/>
      <c r="BD721" s="28"/>
      <c r="BE721" s="28"/>
    </row>
    <row r="722" spans="2:57" ht="15.75" customHeight="1" x14ac:dyDescent="0.25">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c r="BD722" s="28"/>
      <c r="BE722" s="28"/>
    </row>
    <row r="723" spans="2:57" ht="15.75" customHeight="1" x14ac:dyDescent="0.25">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c r="AN723" s="28"/>
      <c r="AO723" s="28"/>
      <c r="AP723" s="28"/>
      <c r="AQ723" s="28"/>
      <c r="AR723" s="28"/>
      <c r="AS723" s="28"/>
      <c r="AT723" s="28"/>
      <c r="AU723" s="28"/>
      <c r="AV723" s="28"/>
      <c r="AW723" s="28"/>
      <c r="AX723" s="28"/>
      <c r="AY723" s="28"/>
      <c r="AZ723" s="28"/>
      <c r="BA723" s="28"/>
      <c r="BB723" s="28"/>
      <c r="BC723" s="28"/>
      <c r="BD723" s="28"/>
      <c r="BE723" s="28"/>
    </row>
    <row r="724" spans="2:57" ht="15.75" customHeight="1" x14ac:dyDescent="0.25">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c r="BD724" s="28"/>
      <c r="BE724" s="28"/>
    </row>
    <row r="725" spans="2:57" ht="15.75" customHeight="1" x14ac:dyDescent="0.25">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c r="AN725" s="28"/>
      <c r="AO725" s="28"/>
      <c r="AP725" s="28"/>
      <c r="AQ725" s="28"/>
      <c r="AR725" s="28"/>
      <c r="AS725" s="28"/>
      <c r="AT725" s="28"/>
      <c r="AU725" s="28"/>
      <c r="AV725" s="28"/>
      <c r="AW725" s="28"/>
      <c r="AX725" s="28"/>
      <c r="AY725" s="28"/>
      <c r="AZ725" s="28"/>
      <c r="BA725" s="28"/>
      <c r="BB725" s="28"/>
      <c r="BC725" s="28"/>
      <c r="BD725" s="28"/>
      <c r="BE725" s="28"/>
    </row>
    <row r="726" spans="2:57" ht="15.75" customHeight="1" x14ac:dyDescent="0.25">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c r="BD726" s="28"/>
      <c r="BE726" s="28"/>
    </row>
    <row r="727" spans="2:57" ht="15.75" customHeight="1" x14ac:dyDescent="0.25">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c r="BD727" s="28"/>
      <c r="BE727" s="28"/>
    </row>
    <row r="728" spans="2:57" ht="15.75" customHeight="1" x14ac:dyDescent="0.25">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c r="BD728" s="28"/>
      <c r="BE728" s="28"/>
    </row>
    <row r="729" spans="2:57" ht="15.75" customHeight="1" x14ac:dyDescent="0.25">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c r="AN729" s="28"/>
      <c r="AO729" s="28"/>
      <c r="AP729" s="28"/>
      <c r="AQ729" s="28"/>
      <c r="AR729" s="28"/>
      <c r="AS729" s="28"/>
      <c r="AT729" s="28"/>
      <c r="AU729" s="28"/>
      <c r="AV729" s="28"/>
      <c r="AW729" s="28"/>
      <c r="AX729" s="28"/>
      <c r="AY729" s="28"/>
      <c r="AZ729" s="28"/>
      <c r="BA729" s="28"/>
      <c r="BB729" s="28"/>
      <c r="BC729" s="28"/>
      <c r="BD729" s="28"/>
      <c r="BE729" s="28"/>
    </row>
    <row r="730" spans="2:57" ht="15.75" customHeight="1" x14ac:dyDescent="0.25">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c r="BD730" s="28"/>
      <c r="BE730" s="28"/>
    </row>
    <row r="731" spans="2:57" ht="15.75" customHeight="1" x14ac:dyDescent="0.25">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c r="AN731" s="28"/>
      <c r="AO731" s="28"/>
      <c r="AP731" s="28"/>
      <c r="AQ731" s="28"/>
      <c r="AR731" s="28"/>
      <c r="AS731" s="28"/>
      <c r="AT731" s="28"/>
      <c r="AU731" s="28"/>
      <c r="AV731" s="28"/>
      <c r="AW731" s="28"/>
      <c r="AX731" s="28"/>
      <c r="AY731" s="28"/>
      <c r="AZ731" s="28"/>
      <c r="BA731" s="28"/>
      <c r="BB731" s="28"/>
      <c r="BC731" s="28"/>
      <c r="BD731" s="28"/>
      <c r="BE731" s="28"/>
    </row>
    <row r="732" spans="2:57" ht="15.75" customHeight="1" x14ac:dyDescent="0.25">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c r="BD732" s="28"/>
      <c r="BE732" s="28"/>
    </row>
    <row r="733" spans="2:57" ht="15.75" customHeight="1" x14ac:dyDescent="0.25">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28"/>
      <c r="AQ733" s="28"/>
      <c r="AR733" s="28"/>
      <c r="AS733" s="28"/>
      <c r="AT733" s="28"/>
      <c r="AU733" s="28"/>
      <c r="AV733" s="28"/>
      <c r="AW733" s="28"/>
      <c r="AX733" s="28"/>
      <c r="AY733" s="28"/>
      <c r="AZ733" s="28"/>
      <c r="BA733" s="28"/>
      <c r="BB733" s="28"/>
      <c r="BC733" s="28"/>
      <c r="BD733" s="28"/>
      <c r="BE733" s="28"/>
    </row>
    <row r="734" spans="2:57" ht="15.75" customHeight="1" x14ac:dyDescent="0.25">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c r="BD734" s="28"/>
      <c r="BE734" s="28"/>
    </row>
    <row r="735" spans="2:57" ht="15.75" customHeight="1" x14ac:dyDescent="0.25">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c r="AT735" s="28"/>
      <c r="AU735" s="28"/>
      <c r="AV735" s="28"/>
      <c r="AW735" s="28"/>
      <c r="AX735" s="28"/>
      <c r="AY735" s="28"/>
      <c r="AZ735" s="28"/>
      <c r="BA735" s="28"/>
      <c r="BB735" s="28"/>
      <c r="BC735" s="28"/>
      <c r="BD735" s="28"/>
      <c r="BE735" s="28"/>
    </row>
    <row r="736" spans="2:57" ht="15.75" customHeight="1" x14ac:dyDescent="0.25">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c r="BD736" s="28"/>
      <c r="BE736" s="28"/>
    </row>
    <row r="737" spans="2:57" ht="15.75" customHeight="1" x14ac:dyDescent="0.25">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c r="AN737" s="28"/>
      <c r="AO737" s="28"/>
      <c r="AP737" s="28"/>
      <c r="AQ737" s="28"/>
      <c r="AR737" s="28"/>
      <c r="AS737" s="28"/>
      <c r="AT737" s="28"/>
      <c r="AU737" s="28"/>
      <c r="AV737" s="28"/>
      <c r="AW737" s="28"/>
      <c r="AX737" s="28"/>
      <c r="AY737" s="28"/>
      <c r="AZ737" s="28"/>
      <c r="BA737" s="28"/>
      <c r="BB737" s="28"/>
      <c r="BC737" s="28"/>
      <c r="BD737" s="28"/>
      <c r="BE737" s="28"/>
    </row>
    <row r="738" spans="2:57" ht="15.75" customHeight="1" x14ac:dyDescent="0.25">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c r="BD738" s="28"/>
      <c r="BE738" s="28"/>
    </row>
    <row r="739" spans="2:57" ht="15.75" customHeight="1" x14ac:dyDescent="0.25">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c r="AN739" s="28"/>
      <c r="AO739" s="28"/>
      <c r="AP739" s="28"/>
      <c r="AQ739" s="28"/>
      <c r="AR739" s="28"/>
      <c r="AS739" s="28"/>
      <c r="AT739" s="28"/>
      <c r="AU739" s="28"/>
      <c r="AV739" s="28"/>
      <c r="AW739" s="28"/>
      <c r="AX739" s="28"/>
      <c r="AY739" s="28"/>
      <c r="AZ739" s="28"/>
      <c r="BA739" s="28"/>
      <c r="BB739" s="28"/>
      <c r="BC739" s="28"/>
      <c r="BD739" s="28"/>
      <c r="BE739" s="28"/>
    </row>
    <row r="740" spans="2:57" ht="15.75" customHeight="1" x14ac:dyDescent="0.25">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c r="BD740" s="28"/>
      <c r="BE740" s="28"/>
    </row>
    <row r="741" spans="2:57" ht="15.75" customHeight="1" x14ac:dyDescent="0.25">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c r="AN741" s="28"/>
      <c r="AO741" s="28"/>
      <c r="AP741" s="28"/>
      <c r="AQ741" s="28"/>
      <c r="AR741" s="28"/>
      <c r="AS741" s="28"/>
      <c r="AT741" s="28"/>
      <c r="AU741" s="28"/>
      <c r="AV741" s="28"/>
      <c r="AW741" s="28"/>
      <c r="AX741" s="28"/>
      <c r="AY741" s="28"/>
      <c r="AZ741" s="28"/>
      <c r="BA741" s="28"/>
      <c r="BB741" s="28"/>
      <c r="BC741" s="28"/>
      <c r="BD741" s="28"/>
      <c r="BE741" s="28"/>
    </row>
    <row r="742" spans="2:57" ht="15.75" customHeight="1" x14ac:dyDescent="0.25">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c r="BD742" s="28"/>
      <c r="BE742" s="28"/>
    </row>
    <row r="743" spans="2:57" ht="15.75" customHeight="1" x14ac:dyDescent="0.25">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c r="AN743" s="28"/>
      <c r="AO743" s="28"/>
      <c r="AP743" s="28"/>
      <c r="AQ743" s="28"/>
      <c r="AR743" s="28"/>
      <c r="AS743" s="28"/>
      <c r="AT743" s="28"/>
      <c r="AU743" s="28"/>
      <c r="AV743" s="28"/>
      <c r="AW743" s="28"/>
      <c r="AX743" s="28"/>
      <c r="AY743" s="28"/>
      <c r="AZ743" s="28"/>
      <c r="BA743" s="28"/>
      <c r="BB743" s="28"/>
      <c r="BC743" s="28"/>
      <c r="BD743" s="28"/>
      <c r="BE743" s="28"/>
    </row>
    <row r="744" spans="2:57" ht="15.75" customHeight="1" x14ac:dyDescent="0.25">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c r="BD744" s="28"/>
      <c r="BE744" s="28"/>
    </row>
    <row r="745" spans="2:57" ht="15.75" customHeight="1" x14ac:dyDescent="0.25">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c r="AN745" s="28"/>
      <c r="AO745" s="28"/>
      <c r="AP745" s="28"/>
      <c r="AQ745" s="28"/>
      <c r="AR745" s="28"/>
      <c r="AS745" s="28"/>
      <c r="AT745" s="28"/>
      <c r="AU745" s="28"/>
      <c r="AV745" s="28"/>
      <c r="AW745" s="28"/>
      <c r="AX745" s="28"/>
      <c r="AY745" s="28"/>
      <c r="AZ745" s="28"/>
      <c r="BA745" s="28"/>
      <c r="BB745" s="28"/>
      <c r="BC745" s="28"/>
      <c r="BD745" s="28"/>
      <c r="BE745" s="28"/>
    </row>
    <row r="746" spans="2:57" ht="15.75" customHeight="1" x14ac:dyDescent="0.25">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c r="BD746" s="28"/>
      <c r="BE746" s="28"/>
    </row>
    <row r="747" spans="2:57" ht="15.75" customHeight="1" x14ac:dyDescent="0.25">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c r="AN747" s="28"/>
      <c r="AO747" s="28"/>
      <c r="AP747" s="28"/>
      <c r="AQ747" s="28"/>
      <c r="AR747" s="28"/>
      <c r="AS747" s="28"/>
      <c r="AT747" s="28"/>
      <c r="AU747" s="28"/>
      <c r="AV747" s="28"/>
      <c r="AW747" s="28"/>
      <c r="AX747" s="28"/>
      <c r="AY747" s="28"/>
      <c r="AZ747" s="28"/>
      <c r="BA747" s="28"/>
      <c r="BB747" s="28"/>
      <c r="BC747" s="28"/>
      <c r="BD747" s="28"/>
      <c r="BE747" s="28"/>
    </row>
    <row r="748" spans="2:57" ht="15.75" customHeight="1" x14ac:dyDescent="0.25">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c r="BD748" s="28"/>
      <c r="BE748" s="28"/>
    </row>
    <row r="749" spans="2:57" ht="15.75" customHeight="1" x14ac:dyDescent="0.25">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c r="AN749" s="28"/>
      <c r="AO749" s="28"/>
      <c r="AP749" s="28"/>
      <c r="AQ749" s="28"/>
      <c r="AR749" s="28"/>
      <c r="AS749" s="28"/>
      <c r="AT749" s="28"/>
      <c r="AU749" s="28"/>
      <c r="AV749" s="28"/>
      <c r="AW749" s="28"/>
      <c r="AX749" s="28"/>
      <c r="AY749" s="28"/>
      <c r="AZ749" s="28"/>
      <c r="BA749" s="28"/>
      <c r="BB749" s="28"/>
      <c r="BC749" s="28"/>
      <c r="BD749" s="28"/>
      <c r="BE749" s="28"/>
    </row>
    <row r="750" spans="2:57" ht="15.75" customHeight="1" x14ac:dyDescent="0.25">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c r="BD750" s="28"/>
      <c r="BE750" s="28"/>
    </row>
    <row r="751" spans="2:57" ht="15.75" customHeight="1" x14ac:dyDescent="0.25">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c r="AN751" s="28"/>
      <c r="AO751" s="28"/>
      <c r="AP751" s="28"/>
      <c r="AQ751" s="28"/>
      <c r="AR751" s="28"/>
      <c r="AS751" s="28"/>
      <c r="AT751" s="28"/>
      <c r="AU751" s="28"/>
      <c r="AV751" s="28"/>
      <c r="AW751" s="28"/>
      <c r="AX751" s="28"/>
      <c r="AY751" s="28"/>
      <c r="AZ751" s="28"/>
      <c r="BA751" s="28"/>
      <c r="BB751" s="28"/>
      <c r="BC751" s="28"/>
      <c r="BD751" s="28"/>
      <c r="BE751" s="28"/>
    </row>
    <row r="752" spans="2:57" ht="15.75" customHeight="1" x14ac:dyDescent="0.25">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c r="BD752" s="28"/>
      <c r="BE752" s="28"/>
    </row>
    <row r="753" spans="2:57" ht="15.75" customHeight="1" x14ac:dyDescent="0.25">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c r="AN753" s="28"/>
      <c r="AO753" s="28"/>
      <c r="AP753" s="28"/>
      <c r="AQ753" s="28"/>
      <c r="AR753" s="28"/>
      <c r="AS753" s="28"/>
      <c r="AT753" s="28"/>
      <c r="AU753" s="28"/>
      <c r="AV753" s="28"/>
      <c r="AW753" s="28"/>
      <c r="AX753" s="28"/>
      <c r="AY753" s="28"/>
      <c r="AZ753" s="28"/>
      <c r="BA753" s="28"/>
      <c r="BB753" s="28"/>
      <c r="BC753" s="28"/>
      <c r="BD753" s="28"/>
      <c r="BE753" s="28"/>
    </row>
    <row r="754" spans="2:57" ht="15.75" customHeight="1" x14ac:dyDescent="0.25">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c r="BD754" s="28"/>
      <c r="BE754" s="28"/>
    </row>
    <row r="755" spans="2:57" ht="15.75" customHeight="1" x14ac:dyDescent="0.25">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c r="AN755" s="28"/>
      <c r="AO755" s="28"/>
      <c r="AP755" s="28"/>
      <c r="AQ755" s="28"/>
      <c r="AR755" s="28"/>
      <c r="AS755" s="28"/>
      <c r="AT755" s="28"/>
      <c r="AU755" s="28"/>
      <c r="AV755" s="28"/>
      <c r="AW755" s="28"/>
      <c r="AX755" s="28"/>
      <c r="AY755" s="28"/>
      <c r="AZ755" s="28"/>
      <c r="BA755" s="28"/>
      <c r="BB755" s="28"/>
      <c r="BC755" s="28"/>
      <c r="BD755" s="28"/>
      <c r="BE755" s="28"/>
    </row>
    <row r="756" spans="2:57" ht="15.75" customHeight="1" x14ac:dyDescent="0.25">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c r="BD756" s="28"/>
      <c r="BE756" s="28"/>
    </row>
    <row r="757" spans="2:57" ht="15.75" customHeight="1" x14ac:dyDescent="0.25">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c r="AN757" s="28"/>
      <c r="AO757" s="28"/>
      <c r="AP757" s="28"/>
      <c r="AQ757" s="28"/>
      <c r="AR757" s="28"/>
      <c r="AS757" s="28"/>
      <c r="AT757" s="28"/>
      <c r="AU757" s="28"/>
      <c r="AV757" s="28"/>
      <c r="AW757" s="28"/>
      <c r="AX757" s="28"/>
      <c r="AY757" s="28"/>
      <c r="AZ757" s="28"/>
      <c r="BA757" s="28"/>
      <c r="BB757" s="28"/>
      <c r="BC757" s="28"/>
      <c r="BD757" s="28"/>
      <c r="BE757" s="28"/>
    </row>
    <row r="758" spans="2:57" ht="15.75" customHeight="1" x14ac:dyDescent="0.25">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c r="BD758" s="28"/>
      <c r="BE758" s="28"/>
    </row>
    <row r="759" spans="2:57" ht="15.75" customHeight="1" x14ac:dyDescent="0.25">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c r="AN759" s="28"/>
      <c r="AO759" s="28"/>
      <c r="AP759" s="28"/>
      <c r="AQ759" s="28"/>
      <c r="AR759" s="28"/>
      <c r="AS759" s="28"/>
      <c r="AT759" s="28"/>
      <c r="AU759" s="28"/>
      <c r="AV759" s="28"/>
      <c r="AW759" s="28"/>
      <c r="AX759" s="28"/>
      <c r="AY759" s="28"/>
      <c r="AZ759" s="28"/>
      <c r="BA759" s="28"/>
      <c r="BB759" s="28"/>
      <c r="BC759" s="28"/>
      <c r="BD759" s="28"/>
      <c r="BE759" s="28"/>
    </row>
    <row r="760" spans="2:57" ht="15.75" customHeight="1" x14ac:dyDescent="0.25">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c r="BD760" s="28"/>
      <c r="BE760" s="28"/>
    </row>
    <row r="761" spans="2:57" ht="15.75" customHeight="1" x14ac:dyDescent="0.25">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c r="AN761" s="28"/>
      <c r="AO761" s="28"/>
      <c r="AP761" s="28"/>
      <c r="AQ761" s="28"/>
      <c r="AR761" s="28"/>
      <c r="AS761" s="28"/>
      <c r="AT761" s="28"/>
      <c r="AU761" s="28"/>
      <c r="AV761" s="28"/>
      <c r="AW761" s="28"/>
      <c r="AX761" s="28"/>
      <c r="AY761" s="28"/>
      <c r="AZ761" s="28"/>
      <c r="BA761" s="28"/>
      <c r="BB761" s="28"/>
      <c r="BC761" s="28"/>
      <c r="BD761" s="28"/>
      <c r="BE761" s="28"/>
    </row>
    <row r="762" spans="2:57" ht="15.75" customHeight="1" x14ac:dyDescent="0.25">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c r="BD762" s="28"/>
      <c r="BE762" s="28"/>
    </row>
    <row r="763" spans="2:57" ht="15.75" customHeight="1" x14ac:dyDescent="0.25">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28"/>
      <c r="AQ763" s="28"/>
      <c r="AR763" s="28"/>
      <c r="AS763" s="28"/>
      <c r="AT763" s="28"/>
      <c r="AU763" s="28"/>
      <c r="AV763" s="28"/>
      <c r="AW763" s="28"/>
      <c r="AX763" s="28"/>
      <c r="AY763" s="28"/>
      <c r="AZ763" s="28"/>
      <c r="BA763" s="28"/>
      <c r="BB763" s="28"/>
      <c r="BC763" s="28"/>
      <c r="BD763" s="28"/>
      <c r="BE763" s="28"/>
    </row>
    <row r="764" spans="2:57" ht="15.75" customHeight="1" x14ac:dyDescent="0.25">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c r="BD764" s="28"/>
      <c r="BE764" s="28"/>
    </row>
    <row r="765" spans="2:57" ht="15.75" customHeight="1" x14ac:dyDescent="0.25">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c r="AN765" s="28"/>
      <c r="AO765" s="28"/>
      <c r="AP765" s="28"/>
      <c r="AQ765" s="28"/>
      <c r="AR765" s="28"/>
      <c r="AS765" s="28"/>
      <c r="AT765" s="28"/>
      <c r="AU765" s="28"/>
      <c r="AV765" s="28"/>
      <c r="AW765" s="28"/>
      <c r="AX765" s="28"/>
      <c r="AY765" s="28"/>
      <c r="AZ765" s="28"/>
      <c r="BA765" s="28"/>
      <c r="BB765" s="28"/>
      <c r="BC765" s="28"/>
      <c r="BD765" s="28"/>
      <c r="BE765" s="28"/>
    </row>
    <row r="766" spans="2:57" ht="15.75" customHeight="1" x14ac:dyDescent="0.25">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c r="BD766" s="28"/>
      <c r="BE766" s="28"/>
    </row>
    <row r="767" spans="2:57" ht="15.75" customHeight="1" x14ac:dyDescent="0.25">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c r="AN767" s="28"/>
      <c r="AO767" s="28"/>
      <c r="AP767" s="28"/>
      <c r="AQ767" s="28"/>
      <c r="AR767" s="28"/>
      <c r="AS767" s="28"/>
      <c r="AT767" s="28"/>
      <c r="AU767" s="28"/>
      <c r="AV767" s="28"/>
      <c r="AW767" s="28"/>
      <c r="AX767" s="28"/>
      <c r="AY767" s="28"/>
      <c r="AZ767" s="28"/>
      <c r="BA767" s="28"/>
      <c r="BB767" s="28"/>
      <c r="BC767" s="28"/>
      <c r="BD767" s="28"/>
      <c r="BE767" s="28"/>
    </row>
    <row r="768" spans="2:57" ht="15.75" customHeight="1" x14ac:dyDescent="0.25">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c r="BD768" s="28"/>
      <c r="BE768" s="28"/>
    </row>
    <row r="769" spans="2:57" ht="15.75" customHeight="1" x14ac:dyDescent="0.25">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c r="AN769" s="28"/>
      <c r="AO769" s="28"/>
      <c r="AP769" s="28"/>
      <c r="AQ769" s="28"/>
      <c r="AR769" s="28"/>
      <c r="AS769" s="28"/>
      <c r="AT769" s="28"/>
      <c r="AU769" s="28"/>
      <c r="AV769" s="28"/>
      <c r="AW769" s="28"/>
      <c r="AX769" s="28"/>
      <c r="AY769" s="28"/>
      <c r="AZ769" s="28"/>
      <c r="BA769" s="28"/>
      <c r="BB769" s="28"/>
      <c r="BC769" s="28"/>
      <c r="BD769" s="28"/>
      <c r="BE769" s="28"/>
    </row>
    <row r="770" spans="2:57" ht="15.75" customHeight="1" x14ac:dyDescent="0.25">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c r="BD770" s="28"/>
      <c r="BE770" s="28"/>
    </row>
    <row r="771" spans="2:57" ht="15.75" customHeight="1" x14ac:dyDescent="0.25">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c r="AN771" s="28"/>
      <c r="AO771" s="28"/>
      <c r="AP771" s="28"/>
      <c r="AQ771" s="28"/>
      <c r="AR771" s="28"/>
      <c r="AS771" s="28"/>
      <c r="AT771" s="28"/>
      <c r="AU771" s="28"/>
      <c r="AV771" s="28"/>
      <c r="AW771" s="28"/>
      <c r="AX771" s="28"/>
      <c r="AY771" s="28"/>
      <c r="AZ771" s="28"/>
      <c r="BA771" s="28"/>
      <c r="BB771" s="28"/>
      <c r="BC771" s="28"/>
      <c r="BD771" s="28"/>
      <c r="BE771" s="28"/>
    </row>
    <row r="772" spans="2:57" ht="15.75" customHeight="1" x14ac:dyDescent="0.25">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c r="BD772" s="28"/>
      <c r="BE772" s="28"/>
    </row>
    <row r="773" spans="2:57" ht="15.75" customHeight="1" x14ac:dyDescent="0.25">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c r="AT773" s="28"/>
      <c r="AU773" s="28"/>
      <c r="AV773" s="28"/>
      <c r="AW773" s="28"/>
      <c r="AX773" s="28"/>
      <c r="AY773" s="28"/>
      <c r="AZ773" s="28"/>
      <c r="BA773" s="28"/>
      <c r="BB773" s="28"/>
      <c r="BC773" s="28"/>
      <c r="BD773" s="28"/>
      <c r="BE773" s="28"/>
    </row>
    <row r="774" spans="2:57" ht="15.75" customHeight="1" x14ac:dyDescent="0.25">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c r="BE774" s="28"/>
    </row>
    <row r="775" spans="2:57" ht="15.75" customHeight="1" x14ac:dyDescent="0.25">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c r="AN775" s="28"/>
      <c r="AO775" s="28"/>
      <c r="AP775" s="28"/>
      <c r="AQ775" s="28"/>
      <c r="AR775" s="28"/>
      <c r="AS775" s="28"/>
      <c r="AT775" s="28"/>
      <c r="AU775" s="28"/>
      <c r="AV775" s="28"/>
      <c r="AW775" s="28"/>
      <c r="AX775" s="28"/>
      <c r="AY775" s="28"/>
      <c r="AZ775" s="28"/>
      <c r="BA775" s="28"/>
      <c r="BB775" s="28"/>
      <c r="BC775" s="28"/>
      <c r="BD775" s="28"/>
      <c r="BE775" s="28"/>
    </row>
    <row r="776" spans="2:57" ht="15.75" customHeight="1" x14ac:dyDescent="0.25">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c r="BD776" s="28"/>
      <c r="BE776" s="28"/>
    </row>
    <row r="777" spans="2:57" ht="15.75" customHeight="1" x14ac:dyDescent="0.25">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c r="AN777" s="28"/>
      <c r="AO777" s="28"/>
      <c r="AP777" s="28"/>
      <c r="AQ777" s="28"/>
      <c r="AR777" s="28"/>
      <c r="AS777" s="28"/>
      <c r="AT777" s="28"/>
      <c r="AU777" s="28"/>
      <c r="AV777" s="28"/>
      <c r="AW777" s="28"/>
      <c r="AX777" s="28"/>
      <c r="AY777" s="28"/>
      <c r="AZ777" s="28"/>
      <c r="BA777" s="28"/>
      <c r="BB777" s="28"/>
      <c r="BC777" s="28"/>
      <c r="BD777" s="28"/>
      <c r="BE777" s="28"/>
    </row>
    <row r="778" spans="2:57" ht="15.75" customHeight="1" x14ac:dyDescent="0.25">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c r="BD778" s="28"/>
      <c r="BE778" s="28"/>
    </row>
    <row r="779" spans="2:57" ht="15.75" customHeight="1" x14ac:dyDescent="0.25">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c r="AN779" s="28"/>
      <c r="AO779" s="28"/>
      <c r="AP779" s="28"/>
      <c r="AQ779" s="28"/>
      <c r="AR779" s="28"/>
      <c r="AS779" s="28"/>
      <c r="AT779" s="28"/>
      <c r="AU779" s="28"/>
      <c r="AV779" s="28"/>
      <c r="AW779" s="28"/>
      <c r="AX779" s="28"/>
      <c r="AY779" s="28"/>
      <c r="AZ779" s="28"/>
      <c r="BA779" s="28"/>
      <c r="BB779" s="28"/>
      <c r="BC779" s="28"/>
      <c r="BD779" s="28"/>
      <c r="BE779" s="28"/>
    </row>
    <row r="780" spans="2:57" ht="15.75" customHeight="1" x14ac:dyDescent="0.25">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c r="BD780" s="28"/>
      <c r="BE780" s="28"/>
    </row>
    <row r="781" spans="2:57" ht="15.75" customHeight="1" x14ac:dyDescent="0.25">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c r="AN781" s="28"/>
      <c r="AO781" s="28"/>
      <c r="AP781" s="28"/>
      <c r="AQ781" s="28"/>
      <c r="AR781" s="28"/>
      <c r="AS781" s="28"/>
      <c r="AT781" s="28"/>
      <c r="AU781" s="28"/>
      <c r="AV781" s="28"/>
      <c r="AW781" s="28"/>
      <c r="AX781" s="28"/>
      <c r="AY781" s="28"/>
      <c r="AZ781" s="28"/>
      <c r="BA781" s="28"/>
      <c r="BB781" s="28"/>
      <c r="BC781" s="28"/>
      <c r="BD781" s="28"/>
      <c r="BE781" s="28"/>
    </row>
    <row r="782" spans="2:57" ht="15.75" customHeight="1" x14ac:dyDescent="0.25">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c r="BD782" s="28"/>
      <c r="BE782" s="28"/>
    </row>
    <row r="783" spans="2:57" ht="15.75" customHeight="1" x14ac:dyDescent="0.25">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28"/>
      <c r="AT783" s="28"/>
      <c r="AU783" s="28"/>
      <c r="AV783" s="28"/>
      <c r="AW783" s="28"/>
      <c r="AX783" s="28"/>
      <c r="AY783" s="28"/>
      <c r="AZ783" s="28"/>
      <c r="BA783" s="28"/>
      <c r="BB783" s="28"/>
      <c r="BC783" s="28"/>
      <c r="BD783" s="28"/>
      <c r="BE783" s="28"/>
    </row>
    <row r="784" spans="2:57" ht="15.75" customHeight="1" x14ac:dyDescent="0.25">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c r="BD784" s="28"/>
      <c r="BE784" s="28"/>
    </row>
    <row r="785" spans="2:57" ht="15.75" customHeight="1" x14ac:dyDescent="0.25">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c r="AN785" s="28"/>
      <c r="AO785" s="28"/>
      <c r="AP785" s="28"/>
      <c r="AQ785" s="28"/>
      <c r="AR785" s="28"/>
      <c r="AS785" s="28"/>
      <c r="AT785" s="28"/>
      <c r="AU785" s="28"/>
      <c r="AV785" s="28"/>
      <c r="AW785" s="28"/>
      <c r="AX785" s="28"/>
      <c r="AY785" s="28"/>
      <c r="AZ785" s="28"/>
      <c r="BA785" s="28"/>
      <c r="BB785" s="28"/>
      <c r="BC785" s="28"/>
      <c r="BD785" s="28"/>
      <c r="BE785" s="28"/>
    </row>
    <row r="786" spans="2:57" ht="15.75" customHeight="1" x14ac:dyDescent="0.25">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c r="BD786" s="28"/>
      <c r="BE786" s="28"/>
    </row>
    <row r="787" spans="2:57" ht="15.75" customHeight="1" x14ac:dyDescent="0.25">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c r="AN787" s="28"/>
      <c r="AO787" s="28"/>
      <c r="AP787" s="28"/>
      <c r="AQ787" s="28"/>
      <c r="AR787" s="28"/>
      <c r="AS787" s="28"/>
      <c r="AT787" s="28"/>
      <c r="AU787" s="28"/>
      <c r="AV787" s="28"/>
      <c r="AW787" s="28"/>
      <c r="AX787" s="28"/>
      <c r="AY787" s="28"/>
      <c r="AZ787" s="28"/>
      <c r="BA787" s="28"/>
      <c r="BB787" s="28"/>
      <c r="BC787" s="28"/>
      <c r="BD787" s="28"/>
      <c r="BE787" s="28"/>
    </row>
    <row r="788" spans="2:57" ht="15.75" customHeight="1" x14ac:dyDescent="0.25">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c r="BD788" s="28"/>
      <c r="BE788" s="28"/>
    </row>
    <row r="789" spans="2:57" ht="15.75" customHeight="1" x14ac:dyDescent="0.25">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c r="AN789" s="28"/>
      <c r="AO789" s="28"/>
      <c r="AP789" s="28"/>
      <c r="AQ789" s="28"/>
      <c r="AR789" s="28"/>
      <c r="AS789" s="28"/>
      <c r="AT789" s="28"/>
      <c r="AU789" s="28"/>
      <c r="AV789" s="28"/>
      <c r="AW789" s="28"/>
      <c r="AX789" s="28"/>
      <c r="AY789" s="28"/>
      <c r="AZ789" s="28"/>
      <c r="BA789" s="28"/>
      <c r="BB789" s="28"/>
      <c r="BC789" s="28"/>
      <c r="BD789" s="28"/>
      <c r="BE789" s="28"/>
    </row>
    <row r="790" spans="2:57" ht="15.75" customHeight="1" x14ac:dyDescent="0.25">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c r="BD790" s="28"/>
      <c r="BE790" s="28"/>
    </row>
    <row r="791" spans="2:57" ht="15.75" customHeight="1" x14ac:dyDescent="0.25">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c r="AN791" s="28"/>
      <c r="AO791" s="28"/>
      <c r="AP791" s="28"/>
      <c r="AQ791" s="28"/>
      <c r="AR791" s="28"/>
      <c r="AS791" s="28"/>
      <c r="AT791" s="28"/>
      <c r="AU791" s="28"/>
      <c r="AV791" s="28"/>
      <c r="AW791" s="28"/>
      <c r="AX791" s="28"/>
      <c r="AY791" s="28"/>
      <c r="AZ791" s="28"/>
      <c r="BA791" s="28"/>
      <c r="BB791" s="28"/>
      <c r="BC791" s="28"/>
      <c r="BD791" s="28"/>
      <c r="BE791" s="28"/>
    </row>
    <row r="792" spans="2:57" ht="15.75" customHeight="1" x14ac:dyDescent="0.25">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c r="BE792" s="28"/>
    </row>
    <row r="793" spans="2:57" ht="15.75" customHeight="1" x14ac:dyDescent="0.25">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c r="AN793" s="28"/>
      <c r="AO793" s="28"/>
      <c r="AP793" s="28"/>
      <c r="AQ793" s="28"/>
      <c r="AR793" s="28"/>
      <c r="AS793" s="28"/>
      <c r="AT793" s="28"/>
      <c r="AU793" s="28"/>
      <c r="AV793" s="28"/>
      <c r="AW793" s="28"/>
      <c r="AX793" s="28"/>
      <c r="AY793" s="28"/>
      <c r="AZ793" s="28"/>
      <c r="BA793" s="28"/>
      <c r="BB793" s="28"/>
      <c r="BC793" s="28"/>
      <c r="BD793" s="28"/>
      <c r="BE793" s="28"/>
    </row>
    <row r="794" spans="2:57" ht="15.75" customHeight="1" x14ac:dyDescent="0.25">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c r="BD794" s="28"/>
      <c r="BE794" s="28"/>
    </row>
    <row r="795" spans="2:57" ht="15.75" customHeight="1" x14ac:dyDescent="0.25">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c r="AN795" s="28"/>
      <c r="AO795" s="28"/>
      <c r="AP795" s="28"/>
      <c r="AQ795" s="28"/>
      <c r="AR795" s="28"/>
      <c r="AS795" s="28"/>
      <c r="AT795" s="28"/>
      <c r="AU795" s="28"/>
      <c r="AV795" s="28"/>
      <c r="AW795" s="28"/>
      <c r="AX795" s="28"/>
      <c r="AY795" s="28"/>
      <c r="AZ795" s="28"/>
      <c r="BA795" s="28"/>
      <c r="BB795" s="28"/>
      <c r="BC795" s="28"/>
      <c r="BD795" s="28"/>
      <c r="BE795" s="28"/>
    </row>
    <row r="796" spans="2:57" ht="15.75" customHeight="1" x14ac:dyDescent="0.25">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c r="BD796" s="28"/>
      <c r="BE796" s="28"/>
    </row>
    <row r="797" spans="2:57" ht="15.75" customHeight="1" x14ac:dyDescent="0.25">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c r="AN797" s="28"/>
      <c r="AO797" s="28"/>
      <c r="AP797" s="28"/>
      <c r="AQ797" s="28"/>
      <c r="AR797" s="28"/>
      <c r="AS797" s="28"/>
      <c r="AT797" s="28"/>
      <c r="AU797" s="28"/>
      <c r="AV797" s="28"/>
      <c r="AW797" s="28"/>
      <c r="AX797" s="28"/>
      <c r="AY797" s="28"/>
      <c r="AZ797" s="28"/>
      <c r="BA797" s="28"/>
      <c r="BB797" s="28"/>
      <c r="BC797" s="28"/>
      <c r="BD797" s="28"/>
      <c r="BE797" s="28"/>
    </row>
    <row r="798" spans="2:57" ht="15.75" customHeight="1" x14ac:dyDescent="0.25">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c r="BD798" s="28"/>
      <c r="BE798" s="28"/>
    </row>
    <row r="799" spans="2:57" ht="15.75" customHeight="1" x14ac:dyDescent="0.25">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c r="AN799" s="28"/>
      <c r="AO799" s="28"/>
      <c r="AP799" s="28"/>
      <c r="AQ799" s="28"/>
      <c r="AR799" s="28"/>
      <c r="AS799" s="28"/>
      <c r="AT799" s="28"/>
      <c r="AU799" s="28"/>
      <c r="AV799" s="28"/>
      <c r="AW799" s="28"/>
      <c r="AX799" s="28"/>
      <c r="AY799" s="28"/>
      <c r="AZ799" s="28"/>
      <c r="BA799" s="28"/>
      <c r="BB799" s="28"/>
      <c r="BC799" s="28"/>
      <c r="BD799" s="28"/>
      <c r="BE799" s="28"/>
    </row>
    <row r="800" spans="2:57" ht="15.75" customHeight="1" x14ac:dyDescent="0.25">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c r="BD800" s="28"/>
      <c r="BE800" s="28"/>
    </row>
    <row r="801" spans="2:57" ht="15.75" customHeight="1" x14ac:dyDescent="0.25">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c r="AN801" s="28"/>
      <c r="AO801" s="28"/>
      <c r="AP801" s="28"/>
      <c r="AQ801" s="28"/>
      <c r="AR801" s="28"/>
      <c r="AS801" s="28"/>
      <c r="AT801" s="28"/>
      <c r="AU801" s="28"/>
      <c r="AV801" s="28"/>
      <c r="AW801" s="28"/>
      <c r="AX801" s="28"/>
      <c r="AY801" s="28"/>
      <c r="AZ801" s="28"/>
      <c r="BA801" s="28"/>
      <c r="BB801" s="28"/>
      <c r="BC801" s="28"/>
      <c r="BD801" s="28"/>
      <c r="BE801" s="28"/>
    </row>
    <row r="802" spans="2:57" ht="15.75" customHeight="1" x14ac:dyDescent="0.25">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c r="BD802" s="28"/>
      <c r="BE802" s="28"/>
    </row>
    <row r="803" spans="2:57" ht="15.75" customHeight="1" x14ac:dyDescent="0.25">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c r="AN803" s="28"/>
      <c r="AO803" s="28"/>
      <c r="AP803" s="28"/>
      <c r="AQ803" s="28"/>
      <c r="AR803" s="28"/>
      <c r="AS803" s="28"/>
      <c r="AT803" s="28"/>
      <c r="AU803" s="28"/>
      <c r="AV803" s="28"/>
      <c r="AW803" s="28"/>
      <c r="AX803" s="28"/>
      <c r="AY803" s="28"/>
      <c r="AZ803" s="28"/>
      <c r="BA803" s="28"/>
      <c r="BB803" s="28"/>
      <c r="BC803" s="28"/>
      <c r="BD803" s="28"/>
      <c r="BE803" s="28"/>
    </row>
    <row r="804" spans="2:57" ht="15.75" customHeight="1" x14ac:dyDescent="0.25">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c r="BD804" s="28"/>
      <c r="BE804" s="28"/>
    </row>
    <row r="805" spans="2:57" ht="15.75" customHeight="1" x14ac:dyDescent="0.25">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c r="AN805" s="28"/>
      <c r="AO805" s="28"/>
      <c r="AP805" s="28"/>
      <c r="AQ805" s="28"/>
      <c r="AR805" s="28"/>
      <c r="AS805" s="28"/>
      <c r="AT805" s="28"/>
      <c r="AU805" s="28"/>
      <c r="AV805" s="28"/>
      <c r="AW805" s="28"/>
      <c r="AX805" s="28"/>
      <c r="AY805" s="28"/>
      <c r="AZ805" s="28"/>
      <c r="BA805" s="28"/>
      <c r="BB805" s="28"/>
      <c r="BC805" s="28"/>
      <c r="BD805" s="28"/>
      <c r="BE805" s="28"/>
    </row>
    <row r="806" spans="2:57" ht="15.75" customHeight="1" x14ac:dyDescent="0.25">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c r="BD806" s="28"/>
      <c r="BE806" s="28"/>
    </row>
    <row r="807" spans="2:57" ht="15.75" customHeight="1" x14ac:dyDescent="0.25">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c r="AN807" s="28"/>
      <c r="AO807" s="28"/>
      <c r="AP807" s="28"/>
      <c r="AQ807" s="28"/>
      <c r="AR807" s="28"/>
      <c r="AS807" s="28"/>
      <c r="AT807" s="28"/>
      <c r="AU807" s="28"/>
      <c r="AV807" s="28"/>
      <c r="AW807" s="28"/>
      <c r="AX807" s="28"/>
      <c r="AY807" s="28"/>
      <c r="AZ807" s="28"/>
      <c r="BA807" s="28"/>
      <c r="BB807" s="28"/>
      <c r="BC807" s="28"/>
      <c r="BD807" s="28"/>
      <c r="BE807" s="28"/>
    </row>
    <row r="808" spans="2:57" ht="15.75" customHeight="1" x14ac:dyDescent="0.25">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c r="BE808" s="28"/>
    </row>
    <row r="809" spans="2:57" ht="15.75" customHeight="1" x14ac:dyDescent="0.25">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c r="AN809" s="28"/>
      <c r="AO809" s="28"/>
      <c r="AP809" s="28"/>
      <c r="AQ809" s="28"/>
      <c r="AR809" s="28"/>
      <c r="AS809" s="28"/>
      <c r="AT809" s="28"/>
      <c r="AU809" s="28"/>
      <c r="AV809" s="28"/>
      <c r="AW809" s="28"/>
      <c r="AX809" s="28"/>
      <c r="AY809" s="28"/>
      <c r="AZ809" s="28"/>
      <c r="BA809" s="28"/>
      <c r="BB809" s="28"/>
      <c r="BC809" s="28"/>
      <c r="BD809" s="28"/>
      <c r="BE809" s="28"/>
    </row>
    <row r="810" spans="2:57" ht="15.75" customHeight="1" x14ac:dyDescent="0.25">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c r="BD810" s="28"/>
      <c r="BE810" s="28"/>
    </row>
    <row r="811" spans="2:57" ht="15.75" customHeight="1" x14ac:dyDescent="0.25">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c r="AN811" s="28"/>
      <c r="AO811" s="28"/>
      <c r="AP811" s="28"/>
      <c r="AQ811" s="28"/>
      <c r="AR811" s="28"/>
      <c r="AS811" s="28"/>
      <c r="AT811" s="28"/>
      <c r="AU811" s="28"/>
      <c r="AV811" s="28"/>
      <c r="AW811" s="28"/>
      <c r="AX811" s="28"/>
      <c r="AY811" s="28"/>
      <c r="AZ811" s="28"/>
      <c r="BA811" s="28"/>
      <c r="BB811" s="28"/>
      <c r="BC811" s="28"/>
      <c r="BD811" s="28"/>
      <c r="BE811" s="28"/>
    </row>
    <row r="812" spans="2:57" ht="15.75" customHeight="1" x14ac:dyDescent="0.25">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c r="BD812" s="28"/>
      <c r="BE812" s="28"/>
    </row>
    <row r="813" spans="2:57" ht="15.75" customHeight="1" x14ac:dyDescent="0.25">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c r="AN813" s="28"/>
      <c r="AO813" s="28"/>
      <c r="AP813" s="28"/>
      <c r="AQ813" s="28"/>
      <c r="AR813" s="28"/>
      <c r="AS813" s="28"/>
      <c r="AT813" s="28"/>
      <c r="AU813" s="28"/>
      <c r="AV813" s="28"/>
      <c r="AW813" s="28"/>
      <c r="AX813" s="28"/>
      <c r="AY813" s="28"/>
      <c r="AZ813" s="28"/>
      <c r="BA813" s="28"/>
      <c r="BB813" s="28"/>
      <c r="BC813" s="28"/>
      <c r="BD813" s="28"/>
      <c r="BE813" s="28"/>
    </row>
    <row r="814" spans="2:57" ht="15.75" customHeight="1" x14ac:dyDescent="0.25">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c r="BD814" s="28"/>
      <c r="BE814" s="28"/>
    </row>
    <row r="815" spans="2:57" ht="15.75" customHeight="1" x14ac:dyDescent="0.25">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c r="AN815" s="28"/>
      <c r="AO815" s="28"/>
      <c r="AP815" s="28"/>
      <c r="AQ815" s="28"/>
      <c r="AR815" s="28"/>
      <c r="AS815" s="28"/>
      <c r="AT815" s="28"/>
      <c r="AU815" s="28"/>
      <c r="AV815" s="28"/>
      <c r="AW815" s="28"/>
      <c r="AX815" s="28"/>
      <c r="AY815" s="28"/>
      <c r="AZ815" s="28"/>
      <c r="BA815" s="28"/>
      <c r="BB815" s="28"/>
      <c r="BC815" s="28"/>
      <c r="BD815" s="28"/>
      <c r="BE815" s="28"/>
    </row>
    <row r="816" spans="2:57" ht="15.75" customHeight="1" x14ac:dyDescent="0.25">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c r="BD816" s="28"/>
      <c r="BE816" s="28"/>
    </row>
    <row r="817" spans="2:57" ht="15.75" customHeight="1" x14ac:dyDescent="0.25">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c r="AN817" s="28"/>
      <c r="AO817" s="28"/>
      <c r="AP817" s="28"/>
      <c r="AQ817" s="28"/>
      <c r="AR817" s="28"/>
      <c r="AS817" s="28"/>
      <c r="AT817" s="28"/>
      <c r="AU817" s="28"/>
      <c r="AV817" s="28"/>
      <c r="AW817" s="28"/>
      <c r="AX817" s="28"/>
      <c r="AY817" s="28"/>
      <c r="AZ817" s="28"/>
      <c r="BA817" s="28"/>
      <c r="BB817" s="28"/>
      <c r="BC817" s="28"/>
      <c r="BD817" s="28"/>
      <c r="BE817" s="28"/>
    </row>
    <row r="818" spans="2:57" ht="15.75" customHeight="1" x14ac:dyDescent="0.25">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c r="BE818" s="28"/>
    </row>
    <row r="819" spans="2:57" ht="15.75" customHeight="1" x14ac:dyDescent="0.25">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c r="AN819" s="28"/>
      <c r="AO819" s="28"/>
      <c r="AP819" s="28"/>
      <c r="AQ819" s="28"/>
      <c r="AR819" s="28"/>
      <c r="AS819" s="28"/>
      <c r="AT819" s="28"/>
      <c r="AU819" s="28"/>
      <c r="AV819" s="28"/>
      <c r="AW819" s="28"/>
      <c r="AX819" s="28"/>
      <c r="AY819" s="28"/>
      <c r="AZ819" s="28"/>
      <c r="BA819" s="28"/>
      <c r="BB819" s="28"/>
      <c r="BC819" s="28"/>
      <c r="BD819" s="28"/>
      <c r="BE819" s="28"/>
    </row>
    <row r="820" spans="2:57" ht="15.75" customHeight="1" x14ac:dyDescent="0.25">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c r="BD820" s="28"/>
      <c r="BE820" s="28"/>
    </row>
    <row r="821" spans="2:57" ht="15.75" customHeight="1" x14ac:dyDescent="0.25">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c r="AN821" s="28"/>
      <c r="AO821" s="28"/>
      <c r="AP821" s="28"/>
      <c r="AQ821" s="28"/>
      <c r="AR821" s="28"/>
      <c r="AS821" s="28"/>
      <c r="AT821" s="28"/>
      <c r="AU821" s="28"/>
      <c r="AV821" s="28"/>
      <c r="AW821" s="28"/>
      <c r="AX821" s="28"/>
      <c r="AY821" s="28"/>
      <c r="AZ821" s="28"/>
      <c r="BA821" s="28"/>
      <c r="BB821" s="28"/>
      <c r="BC821" s="28"/>
      <c r="BD821" s="28"/>
      <c r="BE821" s="28"/>
    </row>
    <row r="822" spans="2:57" ht="15.75" customHeight="1" x14ac:dyDescent="0.25">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c r="BD822" s="28"/>
      <c r="BE822" s="28"/>
    </row>
    <row r="823" spans="2:57" ht="15.75" customHeight="1" x14ac:dyDescent="0.25">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c r="AN823" s="28"/>
      <c r="AO823" s="28"/>
      <c r="AP823" s="28"/>
      <c r="AQ823" s="28"/>
      <c r="AR823" s="28"/>
      <c r="AS823" s="28"/>
      <c r="AT823" s="28"/>
      <c r="AU823" s="28"/>
      <c r="AV823" s="28"/>
      <c r="AW823" s="28"/>
      <c r="AX823" s="28"/>
      <c r="AY823" s="28"/>
      <c r="AZ823" s="28"/>
      <c r="BA823" s="28"/>
      <c r="BB823" s="28"/>
      <c r="BC823" s="28"/>
      <c r="BD823" s="28"/>
      <c r="BE823" s="28"/>
    </row>
    <row r="824" spans="2:57" ht="15.75" customHeight="1" x14ac:dyDescent="0.25">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c r="BD824" s="28"/>
      <c r="BE824" s="28"/>
    </row>
    <row r="825" spans="2:57" ht="15.75" customHeight="1" x14ac:dyDescent="0.25">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c r="AN825" s="28"/>
      <c r="AO825" s="28"/>
      <c r="AP825" s="28"/>
      <c r="AQ825" s="28"/>
      <c r="AR825" s="28"/>
      <c r="AS825" s="28"/>
      <c r="AT825" s="28"/>
      <c r="AU825" s="28"/>
      <c r="AV825" s="28"/>
      <c r="AW825" s="28"/>
      <c r="AX825" s="28"/>
      <c r="AY825" s="28"/>
      <c r="AZ825" s="28"/>
      <c r="BA825" s="28"/>
      <c r="BB825" s="28"/>
      <c r="BC825" s="28"/>
      <c r="BD825" s="28"/>
      <c r="BE825" s="28"/>
    </row>
    <row r="826" spans="2:57" ht="15.75" customHeight="1" x14ac:dyDescent="0.25">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c r="BD826" s="28"/>
      <c r="BE826" s="28"/>
    </row>
    <row r="827" spans="2:57" ht="15.75" customHeight="1" x14ac:dyDescent="0.25">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c r="AN827" s="28"/>
      <c r="AO827" s="28"/>
      <c r="AP827" s="28"/>
      <c r="AQ827" s="28"/>
      <c r="AR827" s="28"/>
      <c r="AS827" s="28"/>
      <c r="AT827" s="28"/>
      <c r="AU827" s="28"/>
      <c r="AV827" s="28"/>
      <c r="AW827" s="28"/>
      <c r="AX827" s="28"/>
      <c r="AY827" s="28"/>
      <c r="AZ827" s="28"/>
      <c r="BA827" s="28"/>
      <c r="BB827" s="28"/>
      <c r="BC827" s="28"/>
      <c r="BD827" s="28"/>
      <c r="BE827" s="28"/>
    </row>
    <row r="828" spans="2:57" ht="15.75" customHeight="1" x14ac:dyDescent="0.25">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c r="BD828" s="28"/>
      <c r="BE828" s="28"/>
    </row>
    <row r="829" spans="2:57" ht="15.75" customHeight="1" x14ac:dyDescent="0.25">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c r="AN829" s="28"/>
      <c r="AO829" s="28"/>
      <c r="AP829" s="28"/>
      <c r="AQ829" s="28"/>
      <c r="AR829" s="28"/>
      <c r="AS829" s="28"/>
      <c r="AT829" s="28"/>
      <c r="AU829" s="28"/>
      <c r="AV829" s="28"/>
      <c r="AW829" s="28"/>
      <c r="AX829" s="28"/>
      <c r="AY829" s="28"/>
      <c r="AZ829" s="28"/>
      <c r="BA829" s="28"/>
      <c r="BB829" s="28"/>
      <c r="BC829" s="28"/>
      <c r="BD829" s="28"/>
      <c r="BE829" s="28"/>
    </row>
    <row r="830" spans="2:57" ht="15.75" customHeight="1" x14ac:dyDescent="0.25">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c r="BD830" s="28"/>
      <c r="BE830" s="28"/>
    </row>
    <row r="831" spans="2:57" ht="15.75" customHeight="1" x14ac:dyDescent="0.25">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c r="AN831" s="28"/>
      <c r="AO831" s="28"/>
      <c r="AP831" s="28"/>
      <c r="AQ831" s="28"/>
      <c r="AR831" s="28"/>
      <c r="AS831" s="28"/>
      <c r="AT831" s="28"/>
      <c r="AU831" s="28"/>
      <c r="AV831" s="28"/>
      <c r="AW831" s="28"/>
      <c r="AX831" s="28"/>
      <c r="AY831" s="28"/>
      <c r="AZ831" s="28"/>
      <c r="BA831" s="28"/>
      <c r="BB831" s="28"/>
      <c r="BC831" s="28"/>
      <c r="BD831" s="28"/>
      <c r="BE831" s="28"/>
    </row>
    <row r="832" spans="2:57" ht="15.75" customHeight="1" x14ac:dyDescent="0.25">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c r="BD832" s="28"/>
      <c r="BE832" s="28"/>
    </row>
    <row r="833" spans="2:57" ht="15.75" customHeight="1" x14ac:dyDescent="0.25">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c r="AN833" s="28"/>
      <c r="AO833" s="28"/>
      <c r="AP833" s="28"/>
      <c r="AQ833" s="28"/>
      <c r="AR833" s="28"/>
      <c r="AS833" s="28"/>
      <c r="AT833" s="28"/>
      <c r="AU833" s="28"/>
      <c r="AV833" s="28"/>
      <c r="AW833" s="28"/>
      <c r="AX833" s="28"/>
      <c r="AY833" s="28"/>
      <c r="AZ833" s="28"/>
      <c r="BA833" s="28"/>
      <c r="BB833" s="28"/>
      <c r="BC833" s="28"/>
      <c r="BD833" s="28"/>
      <c r="BE833" s="28"/>
    </row>
    <row r="834" spans="2:57" ht="15.75" customHeight="1" x14ac:dyDescent="0.25">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c r="BD834" s="28"/>
      <c r="BE834" s="28"/>
    </row>
    <row r="835" spans="2:57" ht="15.75" customHeight="1" x14ac:dyDescent="0.25">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c r="AN835" s="28"/>
      <c r="AO835" s="28"/>
      <c r="AP835" s="28"/>
      <c r="AQ835" s="28"/>
      <c r="AR835" s="28"/>
      <c r="AS835" s="28"/>
      <c r="AT835" s="28"/>
      <c r="AU835" s="28"/>
      <c r="AV835" s="28"/>
      <c r="AW835" s="28"/>
      <c r="AX835" s="28"/>
      <c r="AY835" s="28"/>
      <c r="AZ835" s="28"/>
      <c r="BA835" s="28"/>
      <c r="BB835" s="28"/>
      <c r="BC835" s="28"/>
      <c r="BD835" s="28"/>
      <c r="BE835" s="28"/>
    </row>
    <row r="836" spans="2:57" ht="15.75" customHeight="1" x14ac:dyDescent="0.25">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c r="BD836" s="28"/>
      <c r="BE836" s="28"/>
    </row>
    <row r="837" spans="2:57" ht="15.75" customHeight="1" x14ac:dyDescent="0.25">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c r="AN837" s="28"/>
      <c r="AO837" s="28"/>
      <c r="AP837" s="28"/>
      <c r="AQ837" s="28"/>
      <c r="AR837" s="28"/>
      <c r="AS837" s="28"/>
      <c r="AT837" s="28"/>
      <c r="AU837" s="28"/>
      <c r="AV837" s="28"/>
      <c r="AW837" s="28"/>
      <c r="AX837" s="28"/>
      <c r="AY837" s="28"/>
      <c r="AZ837" s="28"/>
      <c r="BA837" s="28"/>
      <c r="BB837" s="28"/>
      <c r="BC837" s="28"/>
      <c r="BD837" s="28"/>
      <c r="BE837" s="28"/>
    </row>
    <row r="838" spans="2:57" ht="15.75" customHeight="1" x14ac:dyDescent="0.25">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c r="BD838" s="28"/>
      <c r="BE838" s="28"/>
    </row>
    <row r="839" spans="2:57" ht="15.75" customHeight="1" x14ac:dyDescent="0.25">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c r="AN839" s="28"/>
      <c r="AO839" s="28"/>
      <c r="AP839" s="28"/>
      <c r="AQ839" s="28"/>
      <c r="AR839" s="28"/>
      <c r="AS839" s="28"/>
      <c r="AT839" s="28"/>
      <c r="AU839" s="28"/>
      <c r="AV839" s="28"/>
      <c r="AW839" s="28"/>
      <c r="AX839" s="28"/>
      <c r="AY839" s="28"/>
      <c r="AZ839" s="28"/>
      <c r="BA839" s="28"/>
      <c r="BB839" s="28"/>
      <c r="BC839" s="28"/>
      <c r="BD839" s="28"/>
      <c r="BE839" s="28"/>
    </row>
    <row r="840" spans="2:57" ht="15.75" customHeight="1" x14ac:dyDescent="0.25">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c r="BD840" s="28"/>
      <c r="BE840" s="28"/>
    </row>
    <row r="841" spans="2:57" ht="15.75" customHeight="1" x14ac:dyDescent="0.25">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c r="AN841" s="28"/>
      <c r="AO841" s="28"/>
      <c r="AP841" s="28"/>
      <c r="AQ841" s="28"/>
      <c r="AR841" s="28"/>
      <c r="AS841" s="28"/>
      <c r="AT841" s="28"/>
      <c r="AU841" s="28"/>
      <c r="AV841" s="28"/>
      <c r="AW841" s="28"/>
      <c r="AX841" s="28"/>
      <c r="AY841" s="28"/>
      <c r="AZ841" s="28"/>
      <c r="BA841" s="28"/>
      <c r="BB841" s="28"/>
      <c r="BC841" s="28"/>
      <c r="BD841" s="28"/>
      <c r="BE841" s="28"/>
    </row>
    <row r="842" spans="2:57" ht="15.75" customHeight="1" x14ac:dyDescent="0.25">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c r="BD842" s="28"/>
      <c r="BE842" s="28"/>
    </row>
    <row r="843" spans="2:57" ht="15.75" customHeight="1" x14ac:dyDescent="0.25">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c r="AN843" s="28"/>
      <c r="AO843" s="28"/>
      <c r="AP843" s="28"/>
      <c r="AQ843" s="28"/>
      <c r="AR843" s="28"/>
      <c r="AS843" s="28"/>
      <c r="AT843" s="28"/>
      <c r="AU843" s="28"/>
      <c r="AV843" s="28"/>
      <c r="AW843" s="28"/>
      <c r="AX843" s="28"/>
      <c r="AY843" s="28"/>
      <c r="AZ843" s="28"/>
      <c r="BA843" s="28"/>
      <c r="BB843" s="28"/>
      <c r="BC843" s="28"/>
      <c r="BD843" s="28"/>
      <c r="BE843" s="28"/>
    </row>
    <row r="844" spans="2:57" ht="15.75" customHeight="1" x14ac:dyDescent="0.25">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c r="BD844" s="28"/>
      <c r="BE844" s="28"/>
    </row>
    <row r="845" spans="2:57" ht="15.75" customHeight="1" x14ac:dyDescent="0.25">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c r="AN845" s="28"/>
      <c r="AO845" s="28"/>
      <c r="AP845" s="28"/>
      <c r="AQ845" s="28"/>
      <c r="AR845" s="28"/>
      <c r="AS845" s="28"/>
      <c r="AT845" s="28"/>
      <c r="AU845" s="28"/>
      <c r="AV845" s="28"/>
      <c r="AW845" s="28"/>
      <c r="AX845" s="28"/>
      <c r="AY845" s="28"/>
      <c r="AZ845" s="28"/>
      <c r="BA845" s="28"/>
      <c r="BB845" s="28"/>
      <c r="BC845" s="28"/>
      <c r="BD845" s="28"/>
      <c r="BE845" s="28"/>
    </row>
    <row r="846" spans="2:57" ht="15.75" customHeight="1" x14ac:dyDescent="0.25">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c r="BD846" s="28"/>
      <c r="BE846" s="28"/>
    </row>
    <row r="847" spans="2:57" ht="15.75" customHeight="1" x14ac:dyDescent="0.25">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c r="AN847" s="28"/>
      <c r="AO847" s="28"/>
      <c r="AP847" s="28"/>
      <c r="AQ847" s="28"/>
      <c r="AR847" s="28"/>
      <c r="AS847" s="28"/>
      <c r="AT847" s="28"/>
      <c r="AU847" s="28"/>
      <c r="AV847" s="28"/>
      <c r="AW847" s="28"/>
      <c r="AX847" s="28"/>
      <c r="AY847" s="28"/>
      <c r="AZ847" s="28"/>
      <c r="BA847" s="28"/>
      <c r="BB847" s="28"/>
      <c r="BC847" s="28"/>
      <c r="BD847" s="28"/>
      <c r="BE847" s="28"/>
    </row>
    <row r="848" spans="2:57" ht="15.75" customHeight="1" x14ac:dyDescent="0.25">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c r="BD848" s="28"/>
      <c r="BE848" s="28"/>
    </row>
    <row r="849" spans="2:57" ht="15.75" customHeight="1" x14ac:dyDescent="0.25">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c r="AN849" s="28"/>
      <c r="AO849" s="28"/>
      <c r="AP849" s="28"/>
      <c r="AQ849" s="28"/>
      <c r="AR849" s="28"/>
      <c r="AS849" s="28"/>
      <c r="AT849" s="28"/>
      <c r="AU849" s="28"/>
      <c r="AV849" s="28"/>
      <c r="AW849" s="28"/>
      <c r="AX849" s="28"/>
      <c r="AY849" s="28"/>
      <c r="AZ849" s="28"/>
      <c r="BA849" s="28"/>
      <c r="BB849" s="28"/>
      <c r="BC849" s="28"/>
      <c r="BD849" s="28"/>
      <c r="BE849" s="28"/>
    </row>
    <row r="850" spans="2:57" ht="15.75" customHeight="1" x14ac:dyDescent="0.25">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c r="BD850" s="28"/>
      <c r="BE850" s="28"/>
    </row>
    <row r="851" spans="2:57" ht="15.75" customHeight="1" x14ac:dyDescent="0.25">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c r="AN851" s="28"/>
      <c r="AO851" s="28"/>
      <c r="AP851" s="28"/>
      <c r="AQ851" s="28"/>
      <c r="AR851" s="28"/>
      <c r="AS851" s="28"/>
      <c r="AT851" s="28"/>
      <c r="AU851" s="28"/>
      <c r="AV851" s="28"/>
      <c r="AW851" s="28"/>
      <c r="AX851" s="28"/>
      <c r="AY851" s="28"/>
      <c r="AZ851" s="28"/>
      <c r="BA851" s="28"/>
      <c r="BB851" s="28"/>
      <c r="BC851" s="28"/>
      <c r="BD851" s="28"/>
      <c r="BE851" s="28"/>
    </row>
    <row r="852" spans="2:57" ht="15.75" customHeight="1" x14ac:dyDescent="0.25">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c r="BD852" s="28"/>
      <c r="BE852" s="28"/>
    </row>
    <row r="853" spans="2:57" ht="15.75" customHeight="1" x14ac:dyDescent="0.25">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c r="AN853" s="28"/>
      <c r="AO853" s="28"/>
      <c r="AP853" s="28"/>
      <c r="AQ853" s="28"/>
      <c r="AR853" s="28"/>
      <c r="AS853" s="28"/>
      <c r="AT853" s="28"/>
      <c r="AU853" s="28"/>
      <c r="AV853" s="28"/>
      <c r="AW853" s="28"/>
      <c r="AX853" s="28"/>
      <c r="AY853" s="28"/>
      <c r="AZ853" s="28"/>
      <c r="BA853" s="28"/>
      <c r="BB853" s="28"/>
      <c r="BC853" s="28"/>
      <c r="BD853" s="28"/>
      <c r="BE853" s="28"/>
    </row>
    <row r="854" spans="2:57" ht="15.75" customHeight="1" x14ac:dyDescent="0.25">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c r="BD854" s="28"/>
      <c r="BE854" s="28"/>
    </row>
    <row r="855" spans="2:57" ht="15.75" customHeight="1" x14ac:dyDescent="0.25">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c r="AN855" s="28"/>
      <c r="AO855" s="28"/>
      <c r="AP855" s="28"/>
      <c r="AQ855" s="28"/>
      <c r="AR855" s="28"/>
      <c r="AS855" s="28"/>
      <c r="AT855" s="28"/>
      <c r="AU855" s="28"/>
      <c r="AV855" s="28"/>
      <c r="AW855" s="28"/>
      <c r="AX855" s="28"/>
      <c r="AY855" s="28"/>
      <c r="AZ855" s="28"/>
      <c r="BA855" s="28"/>
      <c r="BB855" s="28"/>
      <c r="BC855" s="28"/>
      <c r="BD855" s="28"/>
      <c r="BE855" s="28"/>
    </row>
    <row r="856" spans="2:57" ht="15.75" customHeight="1" x14ac:dyDescent="0.25">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c r="BD856" s="28"/>
      <c r="BE856" s="28"/>
    </row>
    <row r="857" spans="2:57" ht="15.75" customHeight="1" x14ac:dyDescent="0.25">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c r="AN857" s="28"/>
      <c r="AO857" s="28"/>
      <c r="AP857" s="28"/>
      <c r="AQ857" s="28"/>
      <c r="AR857" s="28"/>
      <c r="AS857" s="28"/>
      <c r="AT857" s="28"/>
      <c r="AU857" s="28"/>
      <c r="AV857" s="28"/>
      <c r="AW857" s="28"/>
      <c r="AX857" s="28"/>
      <c r="AY857" s="28"/>
      <c r="AZ857" s="28"/>
      <c r="BA857" s="28"/>
      <c r="BB857" s="28"/>
      <c r="BC857" s="28"/>
      <c r="BD857" s="28"/>
      <c r="BE857" s="28"/>
    </row>
    <row r="858" spans="2:57" ht="15.75" customHeight="1" x14ac:dyDescent="0.25">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c r="BD858" s="28"/>
      <c r="BE858" s="28"/>
    </row>
    <row r="859" spans="2:57" ht="15.75" customHeight="1" x14ac:dyDescent="0.25">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c r="AN859" s="28"/>
      <c r="AO859" s="28"/>
      <c r="AP859" s="28"/>
      <c r="AQ859" s="28"/>
      <c r="AR859" s="28"/>
      <c r="AS859" s="28"/>
      <c r="AT859" s="28"/>
      <c r="AU859" s="28"/>
      <c r="AV859" s="28"/>
      <c r="AW859" s="28"/>
      <c r="AX859" s="28"/>
      <c r="AY859" s="28"/>
      <c r="AZ859" s="28"/>
      <c r="BA859" s="28"/>
      <c r="BB859" s="28"/>
      <c r="BC859" s="28"/>
      <c r="BD859" s="28"/>
      <c r="BE859" s="28"/>
    </row>
    <row r="860" spans="2:57" ht="15.75" customHeight="1" x14ac:dyDescent="0.25">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c r="BD860" s="28"/>
      <c r="BE860" s="28"/>
    </row>
    <row r="861" spans="2:57" ht="15.75" customHeight="1" x14ac:dyDescent="0.25">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c r="AN861" s="28"/>
      <c r="AO861" s="28"/>
      <c r="AP861" s="28"/>
      <c r="AQ861" s="28"/>
      <c r="AR861" s="28"/>
      <c r="AS861" s="28"/>
      <c r="AT861" s="28"/>
      <c r="AU861" s="28"/>
      <c r="AV861" s="28"/>
      <c r="AW861" s="28"/>
      <c r="AX861" s="28"/>
      <c r="AY861" s="28"/>
      <c r="AZ861" s="28"/>
      <c r="BA861" s="28"/>
      <c r="BB861" s="28"/>
      <c r="BC861" s="28"/>
      <c r="BD861" s="28"/>
      <c r="BE861" s="28"/>
    </row>
    <row r="862" spans="2:57" ht="15.75" customHeight="1" x14ac:dyDescent="0.25">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c r="BD862" s="28"/>
      <c r="BE862" s="28"/>
    </row>
    <row r="863" spans="2:57" ht="15.75" customHeight="1" x14ac:dyDescent="0.25">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c r="AN863" s="28"/>
      <c r="AO863" s="28"/>
      <c r="AP863" s="28"/>
      <c r="AQ863" s="28"/>
      <c r="AR863" s="28"/>
      <c r="AS863" s="28"/>
      <c r="AT863" s="28"/>
      <c r="AU863" s="28"/>
      <c r="AV863" s="28"/>
      <c r="AW863" s="28"/>
      <c r="AX863" s="28"/>
      <c r="AY863" s="28"/>
      <c r="AZ863" s="28"/>
      <c r="BA863" s="28"/>
      <c r="BB863" s="28"/>
      <c r="BC863" s="28"/>
      <c r="BD863" s="28"/>
      <c r="BE863" s="28"/>
    </row>
    <row r="864" spans="2:57" ht="15.75" customHeight="1" x14ac:dyDescent="0.25">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c r="BD864" s="28"/>
      <c r="BE864" s="28"/>
    </row>
    <row r="865" spans="2:57" ht="15.75" customHeight="1" x14ac:dyDescent="0.25">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c r="AN865" s="28"/>
      <c r="AO865" s="28"/>
      <c r="AP865" s="28"/>
      <c r="AQ865" s="28"/>
      <c r="AR865" s="28"/>
      <c r="AS865" s="28"/>
      <c r="AT865" s="28"/>
      <c r="AU865" s="28"/>
      <c r="AV865" s="28"/>
      <c r="AW865" s="28"/>
      <c r="AX865" s="28"/>
      <c r="AY865" s="28"/>
      <c r="AZ865" s="28"/>
      <c r="BA865" s="28"/>
      <c r="BB865" s="28"/>
      <c r="BC865" s="28"/>
      <c r="BD865" s="28"/>
      <c r="BE865" s="28"/>
    </row>
    <row r="866" spans="2:57" ht="15.75" customHeight="1" x14ac:dyDescent="0.25">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c r="BD866" s="28"/>
      <c r="BE866" s="28"/>
    </row>
    <row r="867" spans="2:57" ht="15.75" customHeight="1" x14ac:dyDescent="0.25">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c r="AN867" s="28"/>
      <c r="AO867" s="28"/>
      <c r="AP867" s="28"/>
      <c r="AQ867" s="28"/>
      <c r="AR867" s="28"/>
      <c r="AS867" s="28"/>
      <c r="AT867" s="28"/>
      <c r="AU867" s="28"/>
      <c r="AV867" s="28"/>
      <c r="AW867" s="28"/>
      <c r="AX867" s="28"/>
      <c r="AY867" s="28"/>
      <c r="AZ867" s="28"/>
      <c r="BA867" s="28"/>
      <c r="BB867" s="28"/>
      <c r="BC867" s="28"/>
      <c r="BD867" s="28"/>
      <c r="BE867" s="28"/>
    </row>
    <row r="868" spans="2:57" ht="15.75" customHeight="1" x14ac:dyDescent="0.25">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c r="BD868" s="28"/>
      <c r="BE868" s="28"/>
    </row>
    <row r="869" spans="2:57" ht="15.75" customHeight="1" x14ac:dyDescent="0.25">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c r="AN869" s="28"/>
      <c r="AO869" s="28"/>
      <c r="AP869" s="28"/>
      <c r="AQ869" s="28"/>
      <c r="AR869" s="28"/>
      <c r="AS869" s="28"/>
      <c r="AT869" s="28"/>
      <c r="AU869" s="28"/>
      <c r="AV869" s="28"/>
      <c r="AW869" s="28"/>
      <c r="AX869" s="28"/>
      <c r="AY869" s="28"/>
      <c r="AZ869" s="28"/>
      <c r="BA869" s="28"/>
      <c r="BB869" s="28"/>
      <c r="BC869" s="28"/>
      <c r="BD869" s="28"/>
      <c r="BE869" s="28"/>
    </row>
    <row r="870" spans="2:57" ht="15.75" customHeight="1" x14ac:dyDescent="0.25">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c r="BD870" s="28"/>
      <c r="BE870" s="28"/>
    </row>
    <row r="871" spans="2:57" ht="15.75" customHeight="1" x14ac:dyDescent="0.25">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c r="AN871" s="28"/>
      <c r="AO871" s="28"/>
      <c r="AP871" s="28"/>
      <c r="AQ871" s="28"/>
      <c r="AR871" s="28"/>
      <c r="AS871" s="28"/>
      <c r="AT871" s="28"/>
      <c r="AU871" s="28"/>
      <c r="AV871" s="28"/>
      <c r="AW871" s="28"/>
      <c r="AX871" s="28"/>
      <c r="AY871" s="28"/>
      <c r="AZ871" s="28"/>
      <c r="BA871" s="28"/>
      <c r="BB871" s="28"/>
      <c r="BC871" s="28"/>
      <c r="BD871" s="28"/>
      <c r="BE871" s="28"/>
    </row>
    <row r="872" spans="2:57" ht="15.75" customHeight="1" x14ac:dyDescent="0.25">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c r="BD872" s="28"/>
      <c r="BE872" s="28"/>
    </row>
    <row r="873" spans="2:57" ht="15.75" customHeight="1" x14ac:dyDescent="0.25">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c r="AN873" s="28"/>
      <c r="AO873" s="28"/>
      <c r="AP873" s="28"/>
      <c r="AQ873" s="28"/>
      <c r="AR873" s="28"/>
      <c r="AS873" s="28"/>
      <c r="AT873" s="28"/>
      <c r="AU873" s="28"/>
      <c r="AV873" s="28"/>
      <c r="AW873" s="28"/>
      <c r="AX873" s="28"/>
      <c r="AY873" s="28"/>
      <c r="AZ873" s="28"/>
      <c r="BA873" s="28"/>
      <c r="BB873" s="28"/>
      <c r="BC873" s="28"/>
      <c r="BD873" s="28"/>
      <c r="BE873" s="28"/>
    </row>
    <row r="874" spans="2:57" ht="15.75" customHeight="1" x14ac:dyDescent="0.25">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c r="BD874" s="28"/>
      <c r="BE874" s="28"/>
    </row>
    <row r="875" spans="2:57" ht="15.75" customHeight="1" x14ac:dyDescent="0.25">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c r="AN875" s="28"/>
      <c r="AO875" s="28"/>
      <c r="AP875" s="28"/>
      <c r="AQ875" s="28"/>
      <c r="AR875" s="28"/>
      <c r="AS875" s="28"/>
      <c r="AT875" s="28"/>
      <c r="AU875" s="28"/>
      <c r="AV875" s="28"/>
      <c r="AW875" s="28"/>
      <c r="AX875" s="28"/>
      <c r="AY875" s="28"/>
      <c r="AZ875" s="28"/>
      <c r="BA875" s="28"/>
      <c r="BB875" s="28"/>
      <c r="BC875" s="28"/>
      <c r="BD875" s="28"/>
      <c r="BE875" s="28"/>
    </row>
    <row r="876" spans="2:57" ht="15.75" customHeight="1" x14ac:dyDescent="0.25">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c r="BD876" s="28"/>
      <c r="BE876" s="28"/>
    </row>
    <row r="877" spans="2:57" ht="15.75" customHeight="1" x14ac:dyDescent="0.25">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c r="AN877" s="28"/>
      <c r="AO877" s="28"/>
      <c r="AP877" s="28"/>
      <c r="AQ877" s="28"/>
      <c r="AR877" s="28"/>
      <c r="AS877" s="28"/>
      <c r="AT877" s="28"/>
      <c r="AU877" s="28"/>
      <c r="AV877" s="28"/>
      <c r="AW877" s="28"/>
      <c r="AX877" s="28"/>
      <c r="AY877" s="28"/>
      <c r="AZ877" s="28"/>
      <c r="BA877" s="28"/>
      <c r="BB877" s="28"/>
      <c r="BC877" s="28"/>
      <c r="BD877" s="28"/>
      <c r="BE877" s="28"/>
    </row>
    <row r="878" spans="2:57" ht="15.75" customHeight="1" x14ac:dyDescent="0.25">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c r="BD878" s="28"/>
      <c r="BE878" s="28"/>
    </row>
    <row r="879" spans="2:57" ht="15.75" customHeight="1" x14ac:dyDescent="0.25">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c r="AN879" s="28"/>
      <c r="AO879" s="28"/>
      <c r="AP879" s="28"/>
      <c r="AQ879" s="28"/>
      <c r="AR879" s="28"/>
      <c r="AS879" s="28"/>
      <c r="AT879" s="28"/>
      <c r="AU879" s="28"/>
      <c r="AV879" s="28"/>
      <c r="AW879" s="28"/>
      <c r="AX879" s="28"/>
      <c r="AY879" s="28"/>
      <c r="AZ879" s="28"/>
      <c r="BA879" s="28"/>
      <c r="BB879" s="28"/>
      <c r="BC879" s="28"/>
      <c r="BD879" s="28"/>
      <c r="BE879" s="28"/>
    </row>
    <row r="880" spans="2:57" ht="15.75" customHeight="1" x14ac:dyDescent="0.25">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c r="BD880" s="28"/>
      <c r="BE880" s="28"/>
    </row>
    <row r="881" spans="2:57" ht="15.75" customHeight="1" x14ac:dyDescent="0.25">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c r="AN881" s="28"/>
      <c r="AO881" s="28"/>
      <c r="AP881" s="28"/>
      <c r="AQ881" s="28"/>
      <c r="AR881" s="28"/>
      <c r="AS881" s="28"/>
      <c r="AT881" s="28"/>
      <c r="AU881" s="28"/>
      <c r="AV881" s="28"/>
      <c r="AW881" s="28"/>
      <c r="AX881" s="28"/>
      <c r="AY881" s="28"/>
      <c r="AZ881" s="28"/>
      <c r="BA881" s="28"/>
      <c r="BB881" s="28"/>
      <c r="BC881" s="28"/>
      <c r="BD881" s="28"/>
      <c r="BE881" s="28"/>
    </row>
    <row r="882" spans="2:57" ht="15.75" customHeight="1" x14ac:dyDescent="0.25">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c r="BD882" s="28"/>
      <c r="BE882" s="28"/>
    </row>
    <row r="883" spans="2:57" ht="15.75" customHeight="1" x14ac:dyDescent="0.25">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c r="AT883" s="28"/>
      <c r="AU883" s="28"/>
      <c r="AV883" s="28"/>
      <c r="AW883" s="28"/>
      <c r="AX883" s="28"/>
      <c r="AY883" s="28"/>
      <c r="AZ883" s="28"/>
      <c r="BA883" s="28"/>
      <c r="BB883" s="28"/>
      <c r="BC883" s="28"/>
      <c r="BD883" s="28"/>
      <c r="BE883" s="28"/>
    </row>
    <row r="884" spans="2:57" ht="15.75" customHeight="1" x14ac:dyDescent="0.25">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c r="BD884" s="28"/>
      <c r="BE884" s="28"/>
    </row>
    <row r="885" spans="2:57" ht="15.75" customHeight="1" x14ac:dyDescent="0.25">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c r="AN885" s="28"/>
      <c r="AO885" s="28"/>
      <c r="AP885" s="28"/>
      <c r="AQ885" s="28"/>
      <c r="AR885" s="28"/>
      <c r="AS885" s="28"/>
      <c r="AT885" s="28"/>
      <c r="AU885" s="28"/>
      <c r="AV885" s="28"/>
      <c r="AW885" s="28"/>
      <c r="AX885" s="28"/>
      <c r="AY885" s="28"/>
      <c r="AZ885" s="28"/>
      <c r="BA885" s="28"/>
      <c r="BB885" s="28"/>
      <c r="BC885" s="28"/>
      <c r="BD885" s="28"/>
      <c r="BE885" s="28"/>
    </row>
    <row r="886" spans="2:57" ht="15.75" customHeight="1" x14ac:dyDescent="0.25">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c r="BD886" s="28"/>
      <c r="BE886" s="28"/>
    </row>
    <row r="887" spans="2:57" ht="15.75" customHeight="1" x14ac:dyDescent="0.25">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c r="AN887" s="28"/>
      <c r="AO887" s="28"/>
      <c r="AP887" s="28"/>
      <c r="AQ887" s="28"/>
      <c r="AR887" s="28"/>
      <c r="AS887" s="28"/>
      <c r="AT887" s="28"/>
      <c r="AU887" s="28"/>
      <c r="AV887" s="28"/>
      <c r="AW887" s="28"/>
      <c r="AX887" s="28"/>
      <c r="AY887" s="28"/>
      <c r="AZ887" s="28"/>
      <c r="BA887" s="28"/>
      <c r="BB887" s="28"/>
      <c r="BC887" s="28"/>
      <c r="BD887" s="28"/>
      <c r="BE887" s="28"/>
    </row>
    <row r="888" spans="2:57" ht="15.75" customHeight="1" x14ac:dyDescent="0.25">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c r="BD888" s="28"/>
      <c r="BE888" s="28"/>
    </row>
    <row r="889" spans="2:57" ht="15.75" customHeight="1" x14ac:dyDescent="0.25">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c r="AN889" s="28"/>
      <c r="AO889" s="28"/>
      <c r="AP889" s="28"/>
      <c r="AQ889" s="28"/>
      <c r="AR889" s="28"/>
      <c r="AS889" s="28"/>
      <c r="AT889" s="28"/>
      <c r="AU889" s="28"/>
      <c r="AV889" s="28"/>
      <c r="AW889" s="28"/>
      <c r="AX889" s="28"/>
      <c r="AY889" s="28"/>
      <c r="AZ889" s="28"/>
      <c r="BA889" s="28"/>
      <c r="BB889" s="28"/>
      <c r="BC889" s="28"/>
      <c r="BD889" s="28"/>
      <c r="BE889" s="28"/>
    </row>
    <row r="890" spans="2:57" ht="15.75" customHeight="1" x14ac:dyDescent="0.25">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c r="BD890" s="28"/>
      <c r="BE890" s="28"/>
    </row>
    <row r="891" spans="2:57" ht="15.75" customHeight="1" x14ac:dyDescent="0.25">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c r="AN891" s="28"/>
      <c r="AO891" s="28"/>
      <c r="AP891" s="28"/>
      <c r="AQ891" s="28"/>
      <c r="AR891" s="28"/>
      <c r="AS891" s="28"/>
      <c r="AT891" s="28"/>
      <c r="AU891" s="28"/>
      <c r="AV891" s="28"/>
      <c r="AW891" s="28"/>
      <c r="AX891" s="28"/>
      <c r="AY891" s="28"/>
      <c r="AZ891" s="28"/>
      <c r="BA891" s="28"/>
      <c r="BB891" s="28"/>
      <c r="BC891" s="28"/>
      <c r="BD891" s="28"/>
      <c r="BE891" s="28"/>
    </row>
    <row r="892" spans="2:57" ht="15.75" customHeight="1" x14ac:dyDescent="0.25">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c r="BD892" s="28"/>
      <c r="BE892" s="28"/>
    </row>
    <row r="893" spans="2:57" ht="15.75" customHeight="1" x14ac:dyDescent="0.25">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c r="AT893" s="28"/>
      <c r="AU893" s="28"/>
      <c r="AV893" s="28"/>
      <c r="AW893" s="28"/>
      <c r="AX893" s="28"/>
      <c r="AY893" s="28"/>
      <c r="AZ893" s="28"/>
      <c r="BA893" s="28"/>
      <c r="BB893" s="28"/>
      <c r="BC893" s="28"/>
      <c r="BD893" s="28"/>
      <c r="BE893" s="28"/>
    </row>
    <row r="894" spans="2:57" ht="15.75" customHeight="1" x14ac:dyDescent="0.25">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c r="BD894" s="28"/>
      <c r="BE894" s="28"/>
    </row>
    <row r="895" spans="2:57" ht="15.75" customHeight="1" x14ac:dyDescent="0.25">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c r="AN895" s="28"/>
      <c r="AO895" s="28"/>
      <c r="AP895" s="28"/>
      <c r="AQ895" s="28"/>
      <c r="AR895" s="28"/>
      <c r="AS895" s="28"/>
      <c r="AT895" s="28"/>
      <c r="AU895" s="28"/>
      <c r="AV895" s="28"/>
      <c r="AW895" s="28"/>
      <c r="AX895" s="28"/>
      <c r="AY895" s="28"/>
      <c r="AZ895" s="28"/>
      <c r="BA895" s="28"/>
      <c r="BB895" s="28"/>
      <c r="BC895" s="28"/>
      <c r="BD895" s="28"/>
      <c r="BE895" s="28"/>
    </row>
    <row r="896" spans="2:57" ht="15.75" customHeight="1" x14ac:dyDescent="0.25">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c r="BD896" s="28"/>
      <c r="BE896" s="28"/>
    </row>
    <row r="897" spans="2:57" ht="15.75" customHeight="1" x14ac:dyDescent="0.25">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c r="AN897" s="28"/>
      <c r="AO897" s="28"/>
      <c r="AP897" s="28"/>
      <c r="AQ897" s="28"/>
      <c r="AR897" s="28"/>
      <c r="AS897" s="28"/>
      <c r="AT897" s="28"/>
      <c r="AU897" s="28"/>
      <c r="AV897" s="28"/>
      <c r="AW897" s="28"/>
      <c r="AX897" s="28"/>
      <c r="AY897" s="28"/>
      <c r="AZ897" s="28"/>
      <c r="BA897" s="28"/>
      <c r="BB897" s="28"/>
      <c r="BC897" s="28"/>
      <c r="BD897" s="28"/>
      <c r="BE897" s="28"/>
    </row>
    <row r="898" spans="2:57" ht="15.75" customHeight="1" x14ac:dyDescent="0.25">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c r="BD898" s="28"/>
      <c r="BE898" s="28"/>
    </row>
    <row r="899" spans="2:57" ht="15.75" customHeight="1" x14ac:dyDescent="0.25">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c r="AN899" s="28"/>
      <c r="AO899" s="28"/>
      <c r="AP899" s="28"/>
      <c r="AQ899" s="28"/>
      <c r="AR899" s="28"/>
      <c r="AS899" s="28"/>
      <c r="AT899" s="28"/>
      <c r="AU899" s="28"/>
      <c r="AV899" s="28"/>
      <c r="AW899" s="28"/>
      <c r="AX899" s="28"/>
      <c r="AY899" s="28"/>
      <c r="AZ899" s="28"/>
      <c r="BA899" s="28"/>
      <c r="BB899" s="28"/>
      <c r="BC899" s="28"/>
      <c r="BD899" s="28"/>
      <c r="BE899" s="28"/>
    </row>
    <row r="900" spans="2:57" ht="15.75" customHeight="1" x14ac:dyDescent="0.25">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c r="BD900" s="28"/>
      <c r="BE900" s="28"/>
    </row>
    <row r="901" spans="2:57" ht="15.75" customHeight="1" x14ac:dyDescent="0.25">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c r="AN901" s="28"/>
      <c r="AO901" s="28"/>
      <c r="AP901" s="28"/>
      <c r="AQ901" s="28"/>
      <c r="AR901" s="28"/>
      <c r="AS901" s="28"/>
      <c r="AT901" s="28"/>
      <c r="AU901" s="28"/>
      <c r="AV901" s="28"/>
      <c r="AW901" s="28"/>
      <c r="AX901" s="28"/>
      <c r="AY901" s="28"/>
      <c r="AZ901" s="28"/>
      <c r="BA901" s="28"/>
      <c r="BB901" s="28"/>
      <c r="BC901" s="28"/>
      <c r="BD901" s="28"/>
      <c r="BE901" s="28"/>
    </row>
    <row r="902" spans="2:57" ht="15.75" customHeight="1" x14ac:dyDescent="0.25">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c r="BD902" s="28"/>
      <c r="BE902" s="28"/>
    </row>
    <row r="903" spans="2:57" ht="15.75" customHeight="1" x14ac:dyDescent="0.25">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c r="AN903" s="28"/>
      <c r="AO903" s="28"/>
      <c r="AP903" s="28"/>
      <c r="AQ903" s="28"/>
      <c r="AR903" s="28"/>
      <c r="AS903" s="28"/>
      <c r="AT903" s="28"/>
      <c r="AU903" s="28"/>
      <c r="AV903" s="28"/>
      <c r="AW903" s="28"/>
      <c r="AX903" s="28"/>
      <c r="AY903" s="28"/>
      <c r="AZ903" s="28"/>
      <c r="BA903" s="28"/>
      <c r="BB903" s="28"/>
      <c r="BC903" s="28"/>
      <c r="BD903" s="28"/>
      <c r="BE903" s="28"/>
    </row>
    <row r="904" spans="2:57" ht="15.75" customHeight="1" x14ac:dyDescent="0.25">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c r="BD904" s="28"/>
      <c r="BE904" s="28"/>
    </row>
    <row r="905" spans="2:57" ht="15.75" customHeight="1" x14ac:dyDescent="0.25">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c r="AM905" s="28"/>
      <c r="AN905" s="28"/>
      <c r="AO905" s="28"/>
      <c r="AP905" s="28"/>
      <c r="AQ905" s="28"/>
      <c r="AR905" s="28"/>
      <c r="AS905" s="28"/>
      <c r="AT905" s="28"/>
      <c r="AU905" s="28"/>
      <c r="AV905" s="28"/>
      <c r="AW905" s="28"/>
      <c r="AX905" s="28"/>
      <c r="AY905" s="28"/>
      <c r="AZ905" s="28"/>
      <c r="BA905" s="28"/>
      <c r="BB905" s="28"/>
      <c r="BC905" s="28"/>
      <c r="BD905" s="28"/>
      <c r="BE905" s="28"/>
    </row>
    <row r="906" spans="2:57" ht="15.75" customHeight="1" x14ac:dyDescent="0.25">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c r="BD906" s="28"/>
      <c r="BE906" s="28"/>
    </row>
    <row r="907" spans="2:57" ht="15.75" customHeight="1" x14ac:dyDescent="0.25">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c r="AM907" s="28"/>
      <c r="AN907" s="28"/>
      <c r="AO907" s="28"/>
      <c r="AP907" s="28"/>
      <c r="AQ907" s="28"/>
      <c r="AR907" s="28"/>
      <c r="AS907" s="28"/>
      <c r="AT907" s="28"/>
      <c r="AU907" s="28"/>
      <c r="AV907" s="28"/>
      <c r="AW907" s="28"/>
      <c r="AX907" s="28"/>
      <c r="AY907" s="28"/>
      <c r="AZ907" s="28"/>
      <c r="BA907" s="28"/>
      <c r="BB907" s="28"/>
      <c r="BC907" s="28"/>
      <c r="BD907" s="28"/>
      <c r="BE907" s="28"/>
    </row>
    <row r="908" spans="2:57" ht="15.75" customHeight="1" x14ac:dyDescent="0.25">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c r="BD908" s="28"/>
      <c r="BE908" s="28"/>
    </row>
    <row r="909" spans="2:57" ht="15.75" customHeight="1" x14ac:dyDescent="0.25">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c r="AM909" s="28"/>
      <c r="AN909" s="28"/>
      <c r="AO909" s="28"/>
      <c r="AP909" s="28"/>
      <c r="AQ909" s="28"/>
      <c r="AR909" s="28"/>
      <c r="AS909" s="28"/>
      <c r="AT909" s="28"/>
      <c r="AU909" s="28"/>
      <c r="AV909" s="28"/>
      <c r="AW909" s="28"/>
      <c r="AX909" s="28"/>
      <c r="AY909" s="28"/>
      <c r="AZ909" s="28"/>
      <c r="BA909" s="28"/>
      <c r="BB909" s="28"/>
      <c r="BC909" s="28"/>
      <c r="BD909" s="28"/>
      <c r="BE909" s="28"/>
    </row>
    <row r="910" spans="2:57" ht="15.75" customHeight="1" x14ac:dyDescent="0.25">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c r="BD910" s="28"/>
      <c r="BE910" s="28"/>
    </row>
    <row r="911" spans="2:57" ht="15.75" customHeight="1" x14ac:dyDescent="0.25">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c r="AM911" s="28"/>
      <c r="AN911" s="28"/>
      <c r="AO911" s="28"/>
      <c r="AP911" s="28"/>
      <c r="AQ911" s="28"/>
      <c r="AR911" s="28"/>
      <c r="AS911" s="28"/>
      <c r="AT911" s="28"/>
      <c r="AU911" s="28"/>
      <c r="AV911" s="28"/>
      <c r="AW911" s="28"/>
      <c r="AX911" s="28"/>
      <c r="AY911" s="28"/>
      <c r="AZ911" s="28"/>
      <c r="BA911" s="28"/>
      <c r="BB911" s="28"/>
      <c r="BC911" s="28"/>
      <c r="BD911" s="28"/>
      <c r="BE911" s="28"/>
    </row>
    <row r="912" spans="2:57" ht="15.75" customHeight="1" x14ac:dyDescent="0.25">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c r="BD912" s="28"/>
      <c r="BE912" s="28"/>
    </row>
    <row r="913" spans="2:57" ht="15.75" customHeight="1" x14ac:dyDescent="0.25">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c r="AM913" s="28"/>
      <c r="AN913" s="28"/>
      <c r="AO913" s="28"/>
      <c r="AP913" s="28"/>
      <c r="AQ913" s="28"/>
      <c r="AR913" s="28"/>
      <c r="AS913" s="28"/>
      <c r="AT913" s="28"/>
      <c r="AU913" s="28"/>
      <c r="AV913" s="28"/>
      <c r="AW913" s="28"/>
      <c r="AX913" s="28"/>
      <c r="AY913" s="28"/>
      <c r="AZ913" s="28"/>
      <c r="BA913" s="28"/>
      <c r="BB913" s="28"/>
      <c r="BC913" s="28"/>
      <c r="BD913" s="28"/>
      <c r="BE913" s="28"/>
    </row>
    <row r="914" spans="2:57" ht="15.75" customHeight="1" x14ac:dyDescent="0.25">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c r="BD914" s="28"/>
      <c r="BE914" s="28"/>
    </row>
    <row r="915" spans="2:57" ht="15.75" customHeight="1" x14ac:dyDescent="0.25">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c r="AK915" s="28"/>
      <c r="AL915" s="28"/>
      <c r="AM915" s="28"/>
      <c r="AN915" s="28"/>
      <c r="AO915" s="28"/>
      <c r="AP915" s="28"/>
      <c r="AQ915" s="28"/>
      <c r="AR915" s="28"/>
      <c r="AS915" s="28"/>
      <c r="AT915" s="28"/>
      <c r="AU915" s="28"/>
      <c r="AV915" s="28"/>
      <c r="AW915" s="28"/>
      <c r="AX915" s="28"/>
      <c r="AY915" s="28"/>
      <c r="AZ915" s="28"/>
      <c r="BA915" s="28"/>
      <c r="BB915" s="28"/>
      <c r="BC915" s="28"/>
      <c r="BD915" s="28"/>
      <c r="BE915" s="28"/>
    </row>
    <row r="916" spans="2:57" ht="15.75" customHeight="1" x14ac:dyDescent="0.25">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c r="BD916" s="28"/>
      <c r="BE916" s="28"/>
    </row>
    <row r="917" spans="2:57" ht="15.75" customHeight="1" x14ac:dyDescent="0.25">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c r="AK917" s="28"/>
      <c r="AL917" s="28"/>
      <c r="AM917" s="28"/>
      <c r="AN917" s="28"/>
      <c r="AO917" s="28"/>
      <c r="AP917" s="28"/>
      <c r="AQ917" s="28"/>
      <c r="AR917" s="28"/>
      <c r="AS917" s="28"/>
      <c r="AT917" s="28"/>
      <c r="AU917" s="28"/>
      <c r="AV917" s="28"/>
      <c r="AW917" s="28"/>
      <c r="AX917" s="28"/>
      <c r="AY917" s="28"/>
      <c r="AZ917" s="28"/>
      <c r="BA917" s="28"/>
      <c r="BB917" s="28"/>
      <c r="BC917" s="28"/>
      <c r="BD917" s="28"/>
      <c r="BE917" s="28"/>
    </row>
    <row r="918" spans="2:57" ht="15.75" customHeight="1" x14ac:dyDescent="0.25">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c r="BD918" s="28"/>
      <c r="BE918" s="28"/>
    </row>
    <row r="919" spans="2:57" ht="15.75" customHeight="1" x14ac:dyDescent="0.25">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c r="AK919" s="28"/>
      <c r="AL919" s="28"/>
      <c r="AM919" s="28"/>
      <c r="AN919" s="28"/>
      <c r="AO919" s="28"/>
      <c r="AP919" s="28"/>
      <c r="AQ919" s="28"/>
      <c r="AR919" s="28"/>
      <c r="AS919" s="28"/>
      <c r="AT919" s="28"/>
      <c r="AU919" s="28"/>
      <c r="AV919" s="28"/>
      <c r="AW919" s="28"/>
      <c r="AX919" s="28"/>
      <c r="AY919" s="28"/>
      <c r="AZ919" s="28"/>
      <c r="BA919" s="28"/>
      <c r="BB919" s="28"/>
      <c r="BC919" s="28"/>
      <c r="BD919" s="28"/>
      <c r="BE919" s="28"/>
    </row>
    <row r="920" spans="2:57" ht="15.75" customHeight="1" x14ac:dyDescent="0.25">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c r="BD920" s="28"/>
      <c r="BE920" s="28"/>
    </row>
    <row r="921" spans="2:57" ht="15.75" customHeight="1" x14ac:dyDescent="0.25">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c r="AK921" s="28"/>
      <c r="AL921" s="28"/>
      <c r="AM921" s="28"/>
      <c r="AN921" s="28"/>
      <c r="AO921" s="28"/>
      <c r="AP921" s="28"/>
      <c r="AQ921" s="28"/>
      <c r="AR921" s="28"/>
      <c r="AS921" s="28"/>
      <c r="AT921" s="28"/>
      <c r="AU921" s="28"/>
      <c r="AV921" s="28"/>
      <c r="AW921" s="28"/>
      <c r="AX921" s="28"/>
      <c r="AY921" s="28"/>
      <c r="AZ921" s="28"/>
      <c r="BA921" s="28"/>
      <c r="BB921" s="28"/>
      <c r="BC921" s="28"/>
      <c r="BD921" s="28"/>
      <c r="BE921" s="28"/>
    </row>
    <row r="922" spans="2:57" ht="15.75" customHeight="1" x14ac:dyDescent="0.25">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c r="BD922" s="28"/>
      <c r="BE922" s="28"/>
    </row>
    <row r="923" spans="2:57" ht="15.75" customHeight="1" x14ac:dyDescent="0.25">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c r="AK923" s="28"/>
      <c r="AL923" s="28"/>
      <c r="AM923" s="28"/>
      <c r="AN923" s="28"/>
      <c r="AO923" s="28"/>
      <c r="AP923" s="28"/>
      <c r="AQ923" s="28"/>
      <c r="AR923" s="28"/>
      <c r="AS923" s="28"/>
      <c r="AT923" s="28"/>
      <c r="AU923" s="28"/>
      <c r="AV923" s="28"/>
      <c r="AW923" s="28"/>
      <c r="AX923" s="28"/>
      <c r="AY923" s="28"/>
      <c r="AZ923" s="28"/>
      <c r="BA923" s="28"/>
      <c r="BB923" s="28"/>
      <c r="BC923" s="28"/>
      <c r="BD923" s="28"/>
      <c r="BE923" s="28"/>
    </row>
    <row r="924" spans="2:57" ht="15.75" customHeight="1" x14ac:dyDescent="0.25">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c r="BD924" s="28"/>
      <c r="BE924" s="28"/>
    </row>
    <row r="925" spans="2:57" ht="15.75" customHeight="1" x14ac:dyDescent="0.25">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c r="AK925" s="28"/>
      <c r="AL925" s="28"/>
      <c r="AM925" s="28"/>
      <c r="AN925" s="28"/>
      <c r="AO925" s="28"/>
      <c r="AP925" s="28"/>
      <c r="AQ925" s="28"/>
      <c r="AR925" s="28"/>
      <c r="AS925" s="28"/>
      <c r="AT925" s="28"/>
      <c r="AU925" s="28"/>
      <c r="AV925" s="28"/>
      <c r="AW925" s="28"/>
      <c r="AX925" s="28"/>
      <c r="AY925" s="28"/>
      <c r="AZ925" s="28"/>
      <c r="BA925" s="28"/>
      <c r="BB925" s="28"/>
      <c r="BC925" s="28"/>
      <c r="BD925" s="28"/>
      <c r="BE925" s="28"/>
    </row>
    <row r="926" spans="2:57" ht="15.75" customHeight="1" x14ac:dyDescent="0.25">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c r="BD926" s="28"/>
      <c r="BE926" s="28"/>
    </row>
    <row r="927" spans="2:57" ht="15.75" customHeight="1" x14ac:dyDescent="0.25">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c r="AK927" s="28"/>
      <c r="AL927" s="28"/>
      <c r="AM927" s="28"/>
      <c r="AN927" s="28"/>
      <c r="AO927" s="28"/>
      <c r="AP927" s="28"/>
      <c r="AQ927" s="28"/>
      <c r="AR927" s="28"/>
      <c r="AS927" s="28"/>
      <c r="AT927" s="28"/>
      <c r="AU927" s="28"/>
      <c r="AV927" s="28"/>
      <c r="AW927" s="28"/>
      <c r="AX927" s="28"/>
      <c r="AY927" s="28"/>
      <c r="AZ927" s="28"/>
      <c r="BA927" s="28"/>
      <c r="BB927" s="28"/>
      <c r="BC927" s="28"/>
      <c r="BD927" s="28"/>
      <c r="BE927" s="28"/>
    </row>
    <row r="928" spans="2:57" ht="15.75" customHeight="1" x14ac:dyDescent="0.25">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c r="BD928" s="28"/>
      <c r="BE928" s="28"/>
    </row>
    <row r="929" spans="2:57" ht="15.75" customHeight="1" x14ac:dyDescent="0.25">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c r="AK929" s="28"/>
      <c r="AL929" s="28"/>
      <c r="AM929" s="28"/>
      <c r="AN929" s="28"/>
      <c r="AO929" s="28"/>
      <c r="AP929" s="28"/>
      <c r="AQ929" s="28"/>
      <c r="AR929" s="28"/>
      <c r="AS929" s="28"/>
      <c r="AT929" s="28"/>
      <c r="AU929" s="28"/>
      <c r="AV929" s="28"/>
      <c r="AW929" s="28"/>
      <c r="AX929" s="28"/>
      <c r="AY929" s="28"/>
      <c r="AZ929" s="28"/>
      <c r="BA929" s="28"/>
      <c r="BB929" s="28"/>
      <c r="BC929" s="28"/>
      <c r="BD929" s="28"/>
      <c r="BE929" s="28"/>
    </row>
    <row r="930" spans="2:57" ht="15.75" customHeight="1" x14ac:dyDescent="0.25">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c r="BD930" s="28"/>
      <c r="BE930" s="28"/>
    </row>
    <row r="931" spans="2:57" ht="15.75" customHeight="1" x14ac:dyDescent="0.25">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c r="AK931" s="28"/>
      <c r="AL931" s="28"/>
      <c r="AM931" s="28"/>
      <c r="AN931" s="28"/>
      <c r="AO931" s="28"/>
      <c r="AP931" s="28"/>
      <c r="AQ931" s="28"/>
      <c r="AR931" s="28"/>
      <c r="AS931" s="28"/>
      <c r="AT931" s="28"/>
      <c r="AU931" s="28"/>
      <c r="AV931" s="28"/>
      <c r="AW931" s="28"/>
      <c r="AX931" s="28"/>
      <c r="AY931" s="28"/>
      <c r="AZ931" s="28"/>
      <c r="BA931" s="28"/>
      <c r="BB931" s="28"/>
      <c r="BC931" s="28"/>
      <c r="BD931" s="28"/>
      <c r="BE931" s="28"/>
    </row>
    <row r="932" spans="2:57" ht="15.75" customHeight="1" x14ac:dyDescent="0.25">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c r="BD932" s="28"/>
      <c r="BE932" s="28"/>
    </row>
    <row r="933" spans="2:57" ht="15.75" customHeight="1" x14ac:dyDescent="0.25">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c r="AK933" s="28"/>
      <c r="AL933" s="28"/>
      <c r="AM933" s="28"/>
      <c r="AN933" s="28"/>
      <c r="AO933" s="28"/>
      <c r="AP933" s="28"/>
      <c r="AQ933" s="28"/>
      <c r="AR933" s="28"/>
      <c r="AS933" s="28"/>
      <c r="AT933" s="28"/>
      <c r="AU933" s="28"/>
      <c r="AV933" s="28"/>
      <c r="AW933" s="28"/>
      <c r="AX933" s="28"/>
      <c r="AY933" s="28"/>
      <c r="AZ933" s="28"/>
      <c r="BA933" s="28"/>
      <c r="BB933" s="28"/>
      <c r="BC933" s="28"/>
      <c r="BD933" s="28"/>
      <c r="BE933" s="28"/>
    </row>
    <row r="934" spans="2:57" ht="15.75" customHeight="1" x14ac:dyDescent="0.25">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c r="BD934" s="28"/>
      <c r="BE934" s="28"/>
    </row>
    <row r="935" spans="2:57" ht="15.75" customHeight="1" x14ac:dyDescent="0.25">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c r="AN935" s="28"/>
      <c r="AO935" s="28"/>
      <c r="AP935" s="28"/>
      <c r="AQ935" s="28"/>
      <c r="AR935" s="28"/>
      <c r="AS935" s="28"/>
      <c r="AT935" s="28"/>
      <c r="AU935" s="28"/>
      <c r="AV935" s="28"/>
      <c r="AW935" s="28"/>
      <c r="AX935" s="28"/>
      <c r="AY935" s="28"/>
      <c r="AZ935" s="28"/>
      <c r="BA935" s="28"/>
      <c r="BB935" s="28"/>
      <c r="BC935" s="28"/>
      <c r="BD935" s="28"/>
      <c r="BE935" s="28"/>
    </row>
    <row r="936" spans="2:57" ht="15.75" customHeight="1" x14ac:dyDescent="0.25">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c r="BD936" s="28"/>
      <c r="BE936" s="28"/>
    </row>
    <row r="937" spans="2:57" ht="15.75" customHeight="1" x14ac:dyDescent="0.25">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c r="AM937" s="28"/>
      <c r="AN937" s="28"/>
      <c r="AO937" s="28"/>
      <c r="AP937" s="28"/>
      <c r="AQ937" s="28"/>
      <c r="AR937" s="28"/>
      <c r="AS937" s="28"/>
      <c r="AT937" s="28"/>
      <c r="AU937" s="28"/>
      <c r="AV937" s="28"/>
      <c r="AW937" s="28"/>
      <c r="AX937" s="28"/>
      <c r="AY937" s="28"/>
      <c r="AZ937" s="28"/>
      <c r="BA937" s="28"/>
      <c r="BB937" s="28"/>
      <c r="BC937" s="28"/>
      <c r="BD937" s="28"/>
      <c r="BE937" s="28"/>
    </row>
    <row r="938" spans="2:57" ht="15.75" customHeight="1" x14ac:dyDescent="0.25">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c r="BD938" s="28"/>
      <c r="BE938" s="28"/>
    </row>
    <row r="939" spans="2:57" ht="15.75" customHeight="1" x14ac:dyDescent="0.25">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c r="AM939" s="28"/>
      <c r="AN939" s="28"/>
      <c r="AO939" s="28"/>
      <c r="AP939" s="28"/>
      <c r="AQ939" s="28"/>
      <c r="AR939" s="28"/>
      <c r="AS939" s="28"/>
      <c r="AT939" s="28"/>
      <c r="AU939" s="28"/>
      <c r="AV939" s="28"/>
      <c r="AW939" s="28"/>
      <c r="AX939" s="28"/>
      <c r="AY939" s="28"/>
      <c r="AZ939" s="28"/>
      <c r="BA939" s="28"/>
      <c r="BB939" s="28"/>
      <c r="BC939" s="28"/>
      <c r="BD939" s="28"/>
      <c r="BE939" s="28"/>
    </row>
    <row r="940" spans="2:57" ht="15.75" customHeight="1" x14ac:dyDescent="0.25">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c r="BE940" s="28"/>
    </row>
    <row r="941" spans="2:57" ht="15.75" customHeight="1" x14ac:dyDescent="0.25">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c r="AK941" s="28"/>
      <c r="AL941" s="28"/>
      <c r="AM941" s="28"/>
      <c r="AN941" s="28"/>
      <c r="AO941" s="28"/>
      <c r="AP941" s="28"/>
      <c r="AQ941" s="28"/>
      <c r="AR941" s="28"/>
      <c r="AS941" s="28"/>
      <c r="AT941" s="28"/>
      <c r="AU941" s="28"/>
      <c r="AV941" s="28"/>
      <c r="AW941" s="28"/>
      <c r="AX941" s="28"/>
      <c r="AY941" s="28"/>
      <c r="AZ941" s="28"/>
      <c r="BA941" s="28"/>
      <c r="BB941" s="28"/>
      <c r="BC941" s="28"/>
      <c r="BD941" s="28"/>
      <c r="BE941" s="28"/>
    </row>
    <row r="942" spans="2:57" ht="15.75" customHeight="1" x14ac:dyDescent="0.25">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c r="BD942" s="28"/>
      <c r="BE942" s="28"/>
    </row>
    <row r="943" spans="2:57" ht="15.75" customHeight="1" x14ac:dyDescent="0.25">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c r="AK943" s="28"/>
      <c r="AL943" s="28"/>
      <c r="AM943" s="28"/>
      <c r="AN943" s="28"/>
      <c r="AO943" s="28"/>
      <c r="AP943" s="28"/>
      <c r="AQ943" s="28"/>
      <c r="AR943" s="28"/>
      <c r="AS943" s="28"/>
      <c r="AT943" s="28"/>
      <c r="AU943" s="28"/>
      <c r="AV943" s="28"/>
      <c r="AW943" s="28"/>
      <c r="AX943" s="28"/>
      <c r="AY943" s="28"/>
      <c r="AZ943" s="28"/>
      <c r="BA943" s="28"/>
      <c r="BB943" s="28"/>
      <c r="BC943" s="28"/>
      <c r="BD943" s="28"/>
      <c r="BE943" s="28"/>
    </row>
    <row r="944" spans="2:57" ht="15.75" customHeight="1" x14ac:dyDescent="0.25">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c r="BE944" s="28"/>
    </row>
    <row r="945" spans="2:57" ht="15.75" customHeight="1" x14ac:dyDescent="0.25">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c r="AK945" s="28"/>
      <c r="AL945" s="28"/>
      <c r="AM945" s="28"/>
      <c r="AN945" s="28"/>
      <c r="AO945" s="28"/>
      <c r="AP945" s="28"/>
      <c r="AQ945" s="28"/>
      <c r="AR945" s="28"/>
      <c r="AS945" s="28"/>
      <c r="AT945" s="28"/>
      <c r="AU945" s="28"/>
      <c r="AV945" s="28"/>
      <c r="AW945" s="28"/>
      <c r="AX945" s="28"/>
      <c r="AY945" s="28"/>
      <c r="AZ945" s="28"/>
      <c r="BA945" s="28"/>
      <c r="BB945" s="28"/>
      <c r="BC945" s="28"/>
      <c r="BD945" s="28"/>
      <c r="BE945" s="28"/>
    </row>
    <row r="946" spans="2:57" ht="15.75" customHeight="1" x14ac:dyDescent="0.25">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c r="BD946" s="28"/>
      <c r="BE946" s="28"/>
    </row>
    <row r="947" spans="2:57" ht="15.75" customHeight="1" x14ac:dyDescent="0.25">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c r="AK947" s="28"/>
      <c r="AL947" s="28"/>
      <c r="AM947" s="28"/>
      <c r="AN947" s="28"/>
      <c r="AO947" s="28"/>
      <c r="AP947" s="28"/>
      <c r="AQ947" s="28"/>
      <c r="AR947" s="28"/>
      <c r="AS947" s="28"/>
      <c r="AT947" s="28"/>
      <c r="AU947" s="28"/>
      <c r="AV947" s="28"/>
      <c r="AW947" s="28"/>
      <c r="AX947" s="28"/>
      <c r="AY947" s="28"/>
      <c r="AZ947" s="28"/>
      <c r="BA947" s="28"/>
      <c r="BB947" s="28"/>
      <c r="BC947" s="28"/>
      <c r="BD947" s="28"/>
      <c r="BE947" s="28"/>
    </row>
    <row r="948" spans="2:57" ht="15.75" customHeight="1" x14ac:dyDescent="0.25">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c r="BD948" s="28"/>
      <c r="BE948" s="28"/>
    </row>
    <row r="949" spans="2:57" ht="15.75" customHeight="1" x14ac:dyDescent="0.25">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c r="AM949" s="28"/>
      <c r="AN949" s="28"/>
      <c r="AO949" s="28"/>
      <c r="AP949" s="28"/>
      <c r="AQ949" s="28"/>
      <c r="AR949" s="28"/>
      <c r="AS949" s="28"/>
      <c r="AT949" s="28"/>
      <c r="AU949" s="28"/>
      <c r="AV949" s="28"/>
      <c r="AW949" s="28"/>
      <c r="AX949" s="28"/>
      <c r="AY949" s="28"/>
      <c r="AZ949" s="28"/>
      <c r="BA949" s="28"/>
      <c r="BB949" s="28"/>
      <c r="BC949" s="28"/>
      <c r="BD949" s="28"/>
      <c r="BE949" s="28"/>
    </row>
    <row r="950" spans="2:57" ht="15.75" customHeight="1" x14ac:dyDescent="0.25">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c r="BE950" s="28"/>
    </row>
    <row r="951" spans="2:57" ht="15.75" customHeight="1" x14ac:dyDescent="0.25">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c r="AK951" s="28"/>
      <c r="AL951" s="28"/>
      <c r="AM951" s="28"/>
      <c r="AN951" s="28"/>
      <c r="AO951" s="28"/>
      <c r="AP951" s="28"/>
      <c r="AQ951" s="28"/>
      <c r="AR951" s="28"/>
      <c r="AS951" s="28"/>
      <c r="AT951" s="28"/>
      <c r="AU951" s="28"/>
      <c r="AV951" s="28"/>
      <c r="AW951" s="28"/>
      <c r="AX951" s="28"/>
      <c r="AY951" s="28"/>
      <c r="AZ951" s="28"/>
      <c r="BA951" s="28"/>
      <c r="BB951" s="28"/>
      <c r="BC951" s="28"/>
      <c r="BD951" s="28"/>
      <c r="BE951" s="28"/>
    </row>
    <row r="952" spans="2:57" ht="15.75" customHeight="1" x14ac:dyDescent="0.25">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c r="BD952" s="28"/>
      <c r="BE952" s="28"/>
    </row>
    <row r="953" spans="2:57" ht="15.75" customHeight="1" x14ac:dyDescent="0.25">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c r="AK953" s="28"/>
      <c r="AL953" s="28"/>
      <c r="AM953" s="28"/>
      <c r="AN953" s="28"/>
      <c r="AO953" s="28"/>
      <c r="AP953" s="28"/>
      <c r="AQ953" s="28"/>
      <c r="AR953" s="28"/>
      <c r="AS953" s="28"/>
      <c r="AT953" s="28"/>
      <c r="AU953" s="28"/>
      <c r="AV953" s="28"/>
      <c r="AW953" s="28"/>
      <c r="AX953" s="28"/>
      <c r="AY953" s="28"/>
      <c r="AZ953" s="28"/>
      <c r="BA953" s="28"/>
      <c r="BB953" s="28"/>
      <c r="BC953" s="28"/>
      <c r="BD953" s="28"/>
      <c r="BE953" s="28"/>
    </row>
    <row r="954" spans="2:57" ht="15.75" customHeight="1" x14ac:dyDescent="0.25">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c r="BD954" s="28"/>
      <c r="BE954" s="28"/>
    </row>
    <row r="955" spans="2:57" ht="15.75" customHeight="1" x14ac:dyDescent="0.25">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c r="AK955" s="28"/>
      <c r="AL955" s="28"/>
      <c r="AM955" s="28"/>
      <c r="AN955" s="28"/>
      <c r="AO955" s="28"/>
      <c r="AP955" s="28"/>
      <c r="AQ955" s="28"/>
      <c r="AR955" s="28"/>
      <c r="AS955" s="28"/>
      <c r="AT955" s="28"/>
      <c r="AU955" s="28"/>
      <c r="AV955" s="28"/>
      <c r="AW955" s="28"/>
      <c r="AX955" s="28"/>
      <c r="AY955" s="28"/>
      <c r="AZ955" s="28"/>
      <c r="BA955" s="28"/>
      <c r="BB955" s="28"/>
      <c r="BC955" s="28"/>
      <c r="BD955" s="28"/>
      <c r="BE955" s="28"/>
    </row>
    <row r="956" spans="2:57" ht="15.75" customHeight="1" x14ac:dyDescent="0.25">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c r="BD956" s="28"/>
      <c r="BE956" s="28"/>
    </row>
    <row r="957" spans="2:57" ht="15.75" customHeight="1" x14ac:dyDescent="0.25">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c r="AK957" s="28"/>
      <c r="AL957" s="28"/>
      <c r="AM957" s="28"/>
      <c r="AN957" s="28"/>
      <c r="AO957" s="28"/>
      <c r="AP957" s="28"/>
      <c r="AQ957" s="28"/>
      <c r="AR957" s="28"/>
      <c r="AS957" s="28"/>
      <c r="AT957" s="28"/>
      <c r="AU957" s="28"/>
      <c r="AV957" s="28"/>
      <c r="AW957" s="28"/>
      <c r="AX957" s="28"/>
      <c r="AY957" s="28"/>
      <c r="AZ957" s="28"/>
      <c r="BA957" s="28"/>
      <c r="BB957" s="28"/>
      <c r="BC957" s="28"/>
      <c r="BD957" s="28"/>
      <c r="BE957" s="28"/>
    </row>
    <row r="958" spans="2:57" ht="15.75" customHeight="1" x14ac:dyDescent="0.25">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c r="BD958" s="28"/>
      <c r="BE958" s="28"/>
    </row>
    <row r="959" spans="2:57" ht="15.75" customHeight="1" x14ac:dyDescent="0.25">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c r="AK959" s="28"/>
      <c r="AL959" s="28"/>
      <c r="AM959" s="28"/>
      <c r="AN959" s="28"/>
      <c r="AO959" s="28"/>
      <c r="AP959" s="28"/>
      <c r="AQ959" s="28"/>
      <c r="AR959" s="28"/>
      <c r="AS959" s="28"/>
      <c r="AT959" s="28"/>
      <c r="AU959" s="28"/>
      <c r="AV959" s="28"/>
      <c r="AW959" s="28"/>
      <c r="AX959" s="28"/>
      <c r="AY959" s="28"/>
      <c r="AZ959" s="28"/>
      <c r="BA959" s="28"/>
      <c r="BB959" s="28"/>
      <c r="BC959" s="28"/>
      <c r="BD959" s="28"/>
      <c r="BE959" s="28"/>
    </row>
    <row r="960" spans="2:57" ht="15.75" customHeight="1" x14ac:dyDescent="0.25">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c r="BD960" s="28"/>
      <c r="BE960" s="28"/>
    </row>
    <row r="961" spans="2:57" ht="15.75" customHeight="1" x14ac:dyDescent="0.25">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c r="AK961" s="28"/>
      <c r="AL961" s="28"/>
      <c r="AM961" s="28"/>
      <c r="AN961" s="28"/>
      <c r="AO961" s="28"/>
      <c r="AP961" s="28"/>
      <c r="AQ961" s="28"/>
      <c r="AR961" s="28"/>
      <c r="AS961" s="28"/>
      <c r="AT961" s="28"/>
      <c r="AU961" s="28"/>
      <c r="AV961" s="28"/>
      <c r="AW961" s="28"/>
      <c r="AX961" s="28"/>
      <c r="AY961" s="28"/>
      <c r="AZ961" s="28"/>
      <c r="BA961" s="28"/>
      <c r="BB961" s="28"/>
      <c r="BC961" s="28"/>
      <c r="BD961" s="28"/>
      <c r="BE961" s="28"/>
    </row>
    <row r="962" spans="2:57" ht="15.75" customHeight="1" x14ac:dyDescent="0.25">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c r="BD962" s="28"/>
      <c r="BE962" s="28"/>
    </row>
    <row r="963" spans="2:57" ht="15.75" customHeight="1" x14ac:dyDescent="0.25">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c r="AJ963" s="28"/>
      <c r="AK963" s="28"/>
      <c r="AL963" s="28"/>
      <c r="AM963" s="28"/>
      <c r="AN963" s="28"/>
      <c r="AO963" s="28"/>
      <c r="AP963" s="28"/>
      <c r="AQ963" s="28"/>
      <c r="AR963" s="28"/>
      <c r="AS963" s="28"/>
      <c r="AT963" s="28"/>
      <c r="AU963" s="28"/>
      <c r="AV963" s="28"/>
      <c r="AW963" s="28"/>
      <c r="AX963" s="28"/>
      <c r="AY963" s="28"/>
      <c r="AZ963" s="28"/>
      <c r="BA963" s="28"/>
      <c r="BB963" s="28"/>
      <c r="BC963" s="28"/>
      <c r="BD963" s="28"/>
      <c r="BE963" s="28"/>
    </row>
    <row r="964" spans="2:57" ht="15.75" customHeight="1" x14ac:dyDescent="0.25">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c r="BD964" s="28"/>
      <c r="BE964" s="28"/>
    </row>
    <row r="965" spans="2:57" ht="15.75" customHeight="1" x14ac:dyDescent="0.25">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c r="AJ965" s="28"/>
      <c r="AK965" s="28"/>
      <c r="AL965" s="28"/>
      <c r="AM965" s="28"/>
      <c r="AN965" s="28"/>
      <c r="AO965" s="28"/>
      <c r="AP965" s="28"/>
      <c r="AQ965" s="28"/>
      <c r="AR965" s="28"/>
      <c r="AS965" s="28"/>
      <c r="AT965" s="28"/>
      <c r="AU965" s="28"/>
      <c r="AV965" s="28"/>
      <c r="AW965" s="28"/>
      <c r="AX965" s="28"/>
      <c r="AY965" s="28"/>
      <c r="AZ965" s="28"/>
      <c r="BA965" s="28"/>
      <c r="BB965" s="28"/>
      <c r="BC965" s="28"/>
      <c r="BD965" s="28"/>
      <c r="BE965" s="28"/>
    </row>
    <row r="966" spans="2:57" ht="15.75" customHeight="1" x14ac:dyDescent="0.25">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c r="BD966" s="28"/>
      <c r="BE966" s="28"/>
    </row>
    <row r="967" spans="2:57" ht="15.75" customHeight="1" x14ac:dyDescent="0.25">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c r="AJ967" s="28"/>
      <c r="AK967" s="28"/>
      <c r="AL967" s="28"/>
      <c r="AM967" s="28"/>
      <c r="AN967" s="28"/>
      <c r="AO967" s="28"/>
      <c r="AP967" s="28"/>
      <c r="AQ967" s="28"/>
      <c r="AR967" s="28"/>
      <c r="AS967" s="28"/>
      <c r="AT967" s="28"/>
      <c r="AU967" s="28"/>
      <c r="AV967" s="28"/>
      <c r="AW967" s="28"/>
      <c r="AX967" s="28"/>
      <c r="AY967" s="28"/>
      <c r="AZ967" s="28"/>
      <c r="BA967" s="28"/>
      <c r="BB967" s="28"/>
      <c r="BC967" s="28"/>
      <c r="BD967" s="28"/>
      <c r="BE967" s="28"/>
    </row>
    <row r="968" spans="2:57" ht="15.75" customHeight="1" x14ac:dyDescent="0.25">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c r="BD968" s="28"/>
      <c r="BE968" s="28"/>
    </row>
    <row r="969" spans="2:57" ht="15.75" customHeight="1" x14ac:dyDescent="0.25">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c r="AJ969" s="28"/>
      <c r="AK969" s="28"/>
      <c r="AL969" s="28"/>
      <c r="AM969" s="28"/>
      <c r="AN969" s="28"/>
      <c r="AO969" s="28"/>
      <c r="AP969" s="28"/>
      <c r="AQ969" s="28"/>
      <c r="AR969" s="28"/>
      <c r="AS969" s="28"/>
      <c r="AT969" s="28"/>
      <c r="AU969" s="28"/>
      <c r="AV969" s="28"/>
      <c r="AW969" s="28"/>
      <c r="AX969" s="28"/>
      <c r="AY969" s="28"/>
      <c r="AZ969" s="28"/>
      <c r="BA969" s="28"/>
      <c r="BB969" s="28"/>
      <c r="BC969" s="28"/>
      <c r="BD969" s="28"/>
      <c r="BE969" s="28"/>
    </row>
    <row r="970" spans="2:57" ht="15.75" customHeight="1" x14ac:dyDescent="0.25">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c r="BD970" s="28"/>
      <c r="BE970" s="28"/>
    </row>
    <row r="971" spans="2:57" ht="15.75" customHeight="1" x14ac:dyDescent="0.25">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c r="AJ971" s="28"/>
      <c r="AK971" s="28"/>
      <c r="AL971" s="28"/>
      <c r="AM971" s="28"/>
      <c r="AN971" s="28"/>
      <c r="AO971" s="28"/>
      <c r="AP971" s="28"/>
      <c r="AQ971" s="28"/>
      <c r="AR971" s="28"/>
      <c r="AS971" s="28"/>
      <c r="AT971" s="28"/>
      <c r="AU971" s="28"/>
      <c r="AV971" s="28"/>
      <c r="AW971" s="28"/>
      <c r="AX971" s="28"/>
      <c r="AY971" s="28"/>
      <c r="AZ971" s="28"/>
      <c r="BA971" s="28"/>
      <c r="BB971" s="28"/>
      <c r="BC971" s="28"/>
      <c r="BD971" s="28"/>
      <c r="BE971" s="28"/>
    </row>
    <row r="972" spans="2:57" ht="15.75" customHeight="1" x14ac:dyDescent="0.25">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c r="BD972" s="28"/>
      <c r="BE972" s="28"/>
    </row>
    <row r="973" spans="2:57" ht="15.75" customHeight="1" x14ac:dyDescent="0.25">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c r="AK973" s="28"/>
      <c r="AL973" s="28"/>
      <c r="AM973" s="28"/>
      <c r="AN973" s="28"/>
      <c r="AO973" s="28"/>
      <c r="AP973" s="28"/>
      <c r="AQ973" s="28"/>
      <c r="AR973" s="28"/>
      <c r="AS973" s="28"/>
      <c r="AT973" s="28"/>
      <c r="AU973" s="28"/>
      <c r="AV973" s="28"/>
      <c r="AW973" s="28"/>
      <c r="AX973" s="28"/>
      <c r="AY973" s="28"/>
      <c r="AZ973" s="28"/>
      <c r="BA973" s="28"/>
      <c r="BB973" s="28"/>
      <c r="BC973" s="28"/>
      <c r="BD973" s="28"/>
      <c r="BE973" s="28"/>
    </row>
    <row r="974" spans="2:57" ht="15.75" customHeight="1" x14ac:dyDescent="0.25">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c r="BE974" s="28"/>
    </row>
    <row r="975" spans="2:57" ht="15.75" customHeight="1" x14ac:dyDescent="0.25">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c r="AJ975" s="28"/>
      <c r="AK975" s="28"/>
      <c r="AL975" s="28"/>
      <c r="AM975" s="28"/>
      <c r="AN975" s="28"/>
      <c r="AO975" s="28"/>
      <c r="AP975" s="28"/>
      <c r="AQ975" s="28"/>
      <c r="AR975" s="28"/>
      <c r="AS975" s="28"/>
      <c r="AT975" s="28"/>
      <c r="AU975" s="28"/>
      <c r="AV975" s="28"/>
      <c r="AW975" s="28"/>
      <c r="AX975" s="28"/>
      <c r="AY975" s="28"/>
      <c r="AZ975" s="28"/>
      <c r="BA975" s="28"/>
      <c r="BB975" s="28"/>
      <c r="BC975" s="28"/>
      <c r="BD975" s="28"/>
      <c r="BE975" s="28"/>
    </row>
    <row r="976" spans="2:57" ht="15.75" customHeight="1" x14ac:dyDescent="0.25">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c r="BD976" s="28"/>
      <c r="BE976" s="28"/>
    </row>
    <row r="977" spans="2:57" ht="15.75" customHeight="1" x14ac:dyDescent="0.25">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c r="AJ977" s="28"/>
      <c r="AK977" s="28"/>
      <c r="AL977" s="28"/>
      <c r="AM977" s="28"/>
      <c r="AN977" s="28"/>
      <c r="AO977" s="28"/>
      <c r="AP977" s="28"/>
      <c r="AQ977" s="28"/>
      <c r="AR977" s="28"/>
      <c r="AS977" s="28"/>
      <c r="AT977" s="28"/>
      <c r="AU977" s="28"/>
      <c r="AV977" s="28"/>
      <c r="AW977" s="28"/>
      <c r="AX977" s="28"/>
      <c r="AY977" s="28"/>
      <c r="AZ977" s="28"/>
      <c r="BA977" s="28"/>
      <c r="BB977" s="28"/>
      <c r="BC977" s="28"/>
      <c r="BD977" s="28"/>
      <c r="BE977" s="28"/>
    </row>
    <row r="978" spans="2:57" ht="15.75" customHeight="1" x14ac:dyDescent="0.25">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c r="BD978" s="28"/>
      <c r="BE978" s="28"/>
    </row>
    <row r="979" spans="2:57" ht="15.75" customHeight="1" x14ac:dyDescent="0.25">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c r="AJ979" s="28"/>
      <c r="AK979" s="28"/>
      <c r="AL979" s="28"/>
      <c r="AM979" s="28"/>
      <c r="AN979" s="28"/>
      <c r="AO979" s="28"/>
      <c r="AP979" s="28"/>
      <c r="AQ979" s="28"/>
      <c r="AR979" s="28"/>
      <c r="AS979" s="28"/>
      <c r="AT979" s="28"/>
      <c r="AU979" s="28"/>
      <c r="AV979" s="28"/>
      <c r="AW979" s="28"/>
      <c r="AX979" s="28"/>
      <c r="AY979" s="28"/>
      <c r="AZ979" s="28"/>
      <c r="BA979" s="28"/>
      <c r="BB979" s="28"/>
      <c r="BC979" s="28"/>
      <c r="BD979" s="28"/>
      <c r="BE979" s="28"/>
    </row>
    <row r="980" spans="2:57" ht="15.75" customHeight="1" x14ac:dyDescent="0.25">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c r="BD980" s="28"/>
      <c r="BE980" s="28"/>
    </row>
    <row r="981" spans="2:57" ht="15.75" customHeight="1" x14ac:dyDescent="0.25">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c r="AJ981" s="28"/>
      <c r="AK981" s="28"/>
      <c r="AL981" s="28"/>
      <c r="AM981" s="28"/>
      <c r="AN981" s="28"/>
      <c r="AO981" s="28"/>
      <c r="AP981" s="28"/>
      <c r="AQ981" s="28"/>
      <c r="AR981" s="28"/>
      <c r="AS981" s="28"/>
      <c r="AT981" s="28"/>
      <c r="AU981" s="28"/>
      <c r="AV981" s="28"/>
      <c r="AW981" s="28"/>
      <c r="AX981" s="28"/>
      <c r="AY981" s="28"/>
      <c r="AZ981" s="28"/>
      <c r="BA981" s="28"/>
      <c r="BB981" s="28"/>
      <c r="BC981" s="28"/>
      <c r="BD981" s="28"/>
      <c r="BE981" s="28"/>
    </row>
    <row r="982" spans="2:57" ht="15.75" customHeight="1" x14ac:dyDescent="0.25">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c r="BD982" s="28"/>
      <c r="BE982" s="28"/>
    </row>
    <row r="983" spans="2:57" ht="15.75" customHeight="1" x14ac:dyDescent="0.25">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c r="AJ983" s="28"/>
      <c r="AK983" s="28"/>
      <c r="AL983" s="28"/>
      <c r="AM983" s="28"/>
      <c r="AN983" s="28"/>
      <c r="AO983" s="28"/>
      <c r="AP983" s="28"/>
      <c r="AQ983" s="28"/>
      <c r="AR983" s="28"/>
      <c r="AS983" s="28"/>
      <c r="AT983" s="28"/>
      <c r="AU983" s="28"/>
      <c r="AV983" s="28"/>
      <c r="AW983" s="28"/>
      <c r="AX983" s="28"/>
      <c r="AY983" s="28"/>
      <c r="AZ983" s="28"/>
      <c r="BA983" s="28"/>
      <c r="BB983" s="28"/>
      <c r="BC983" s="28"/>
      <c r="BD983" s="28"/>
      <c r="BE983" s="28"/>
    </row>
    <row r="984" spans="2:57" ht="15.75" customHeight="1" x14ac:dyDescent="0.25">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c r="BD984" s="28"/>
      <c r="BE984" s="28"/>
    </row>
    <row r="985" spans="2:57" ht="15.75" customHeight="1" x14ac:dyDescent="0.25">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c r="AJ985" s="28"/>
      <c r="AK985" s="28"/>
      <c r="AL985" s="28"/>
      <c r="AM985" s="28"/>
      <c r="AN985" s="28"/>
      <c r="AO985" s="28"/>
      <c r="AP985" s="28"/>
      <c r="AQ985" s="28"/>
      <c r="AR985" s="28"/>
      <c r="AS985" s="28"/>
      <c r="AT985" s="28"/>
      <c r="AU985" s="28"/>
      <c r="AV985" s="28"/>
      <c r="AW985" s="28"/>
      <c r="AX985" s="28"/>
      <c r="AY985" s="28"/>
      <c r="AZ985" s="28"/>
      <c r="BA985" s="28"/>
      <c r="BB985" s="28"/>
      <c r="BC985" s="28"/>
      <c r="BD985" s="28"/>
      <c r="BE985" s="28"/>
    </row>
    <row r="986" spans="2:57" ht="15.75" customHeight="1" x14ac:dyDescent="0.25">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c r="BD986" s="28"/>
      <c r="BE986" s="28"/>
    </row>
    <row r="987" spans="2:57" ht="15.75" customHeight="1" x14ac:dyDescent="0.25">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8"/>
      <c r="AJ987" s="28"/>
      <c r="AK987" s="28"/>
      <c r="AL987" s="28"/>
      <c r="AM987" s="28"/>
      <c r="AN987" s="28"/>
      <c r="AO987" s="28"/>
      <c r="AP987" s="28"/>
      <c r="AQ987" s="28"/>
      <c r="AR987" s="28"/>
      <c r="AS987" s="28"/>
      <c r="AT987" s="28"/>
      <c r="AU987" s="28"/>
      <c r="AV987" s="28"/>
      <c r="AW987" s="28"/>
      <c r="AX987" s="28"/>
      <c r="AY987" s="28"/>
      <c r="AZ987" s="28"/>
      <c r="BA987" s="28"/>
      <c r="BB987" s="28"/>
      <c r="BC987" s="28"/>
      <c r="BD987" s="28"/>
      <c r="BE987" s="28"/>
    </row>
    <row r="988" spans="2:57" ht="15.75" customHeight="1" x14ac:dyDescent="0.25">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c r="BD988" s="28"/>
      <c r="BE988" s="28"/>
    </row>
    <row r="989" spans="2:57" ht="15.75" customHeight="1" x14ac:dyDescent="0.25">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c r="AI989" s="28"/>
      <c r="AJ989" s="28"/>
      <c r="AK989" s="28"/>
      <c r="AL989" s="28"/>
      <c r="AM989" s="28"/>
      <c r="AN989" s="28"/>
      <c r="AO989" s="28"/>
      <c r="AP989" s="28"/>
      <c r="AQ989" s="28"/>
      <c r="AR989" s="28"/>
      <c r="AS989" s="28"/>
      <c r="AT989" s="28"/>
      <c r="AU989" s="28"/>
      <c r="AV989" s="28"/>
      <c r="AW989" s="28"/>
      <c r="AX989" s="28"/>
      <c r="AY989" s="28"/>
      <c r="AZ989" s="28"/>
      <c r="BA989" s="28"/>
      <c r="BB989" s="28"/>
      <c r="BC989" s="28"/>
      <c r="BD989" s="28"/>
      <c r="BE989" s="28"/>
    </row>
    <row r="990" spans="2:57" ht="15.75" customHeight="1" x14ac:dyDescent="0.25">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c r="BD990" s="28"/>
      <c r="BE990" s="28"/>
    </row>
    <row r="991" spans="2:57" ht="15.75" customHeight="1" x14ac:dyDescent="0.25">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8"/>
      <c r="AJ991" s="28"/>
      <c r="AK991" s="28"/>
      <c r="AL991" s="28"/>
      <c r="AM991" s="28"/>
      <c r="AN991" s="28"/>
      <c r="AO991" s="28"/>
      <c r="AP991" s="28"/>
      <c r="AQ991" s="28"/>
      <c r="AR991" s="28"/>
      <c r="AS991" s="28"/>
      <c r="AT991" s="28"/>
      <c r="AU991" s="28"/>
      <c r="AV991" s="28"/>
      <c r="AW991" s="28"/>
      <c r="AX991" s="28"/>
      <c r="AY991" s="28"/>
      <c r="AZ991" s="28"/>
      <c r="BA991" s="28"/>
      <c r="BB991" s="28"/>
      <c r="BC991" s="28"/>
      <c r="BD991" s="28"/>
      <c r="BE991" s="28"/>
    </row>
    <row r="992" spans="2:57" ht="15.75" customHeight="1" x14ac:dyDescent="0.25">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c r="BD992" s="28"/>
      <c r="BE992" s="28"/>
    </row>
    <row r="993" spans="2:57" ht="15.75" customHeight="1" x14ac:dyDescent="0.25">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c r="AI993" s="28"/>
      <c r="AJ993" s="28"/>
      <c r="AK993" s="28"/>
      <c r="AL993" s="28"/>
      <c r="AM993" s="28"/>
      <c r="AN993" s="28"/>
      <c r="AO993" s="28"/>
      <c r="AP993" s="28"/>
      <c r="AQ993" s="28"/>
      <c r="AR993" s="28"/>
      <c r="AS993" s="28"/>
      <c r="AT993" s="28"/>
      <c r="AU993" s="28"/>
      <c r="AV993" s="28"/>
      <c r="AW993" s="28"/>
      <c r="AX993" s="28"/>
      <c r="AY993" s="28"/>
      <c r="AZ993" s="28"/>
      <c r="BA993" s="28"/>
      <c r="BB993" s="28"/>
      <c r="BC993" s="28"/>
      <c r="BD993" s="28"/>
      <c r="BE993" s="28"/>
    </row>
    <row r="994" spans="2:57" ht="15.75" customHeight="1" x14ac:dyDescent="0.25">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c r="BD994" s="28"/>
      <c r="BE994" s="28"/>
    </row>
    <row r="995" spans="2:57" ht="15.75" customHeight="1" x14ac:dyDescent="0.25">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c r="AI995" s="28"/>
      <c r="AJ995" s="28"/>
      <c r="AK995" s="28"/>
      <c r="AL995" s="28"/>
      <c r="AM995" s="28"/>
      <c r="AN995" s="28"/>
      <c r="AO995" s="28"/>
      <c r="AP995" s="28"/>
      <c r="AQ995" s="28"/>
      <c r="AR995" s="28"/>
      <c r="AS995" s="28"/>
      <c r="AT995" s="28"/>
      <c r="AU995" s="28"/>
      <c r="AV995" s="28"/>
      <c r="AW995" s="28"/>
      <c r="AX995" s="28"/>
      <c r="AY995" s="28"/>
      <c r="AZ995" s="28"/>
      <c r="BA995" s="28"/>
      <c r="BB995" s="28"/>
      <c r="BC995" s="28"/>
      <c r="BD995" s="28"/>
      <c r="BE995" s="28"/>
    </row>
    <row r="996" spans="2:57" ht="15.75" customHeight="1" x14ac:dyDescent="0.25">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c r="BD996" s="28"/>
      <c r="BE996" s="28"/>
    </row>
    <row r="997" spans="2:57" ht="15.75" customHeight="1" x14ac:dyDescent="0.25">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c r="AI997" s="28"/>
      <c r="AJ997" s="28"/>
      <c r="AK997" s="28"/>
      <c r="AL997" s="28"/>
      <c r="AM997" s="28"/>
      <c r="AN997" s="28"/>
      <c r="AO997" s="28"/>
      <c r="AP997" s="28"/>
      <c r="AQ997" s="28"/>
      <c r="AR997" s="28"/>
      <c r="AS997" s="28"/>
      <c r="AT997" s="28"/>
      <c r="AU997" s="28"/>
      <c r="AV997" s="28"/>
      <c r="AW997" s="28"/>
      <c r="AX997" s="28"/>
      <c r="AY997" s="28"/>
      <c r="AZ997" s="28"/>
      <c r="BA997" s="28"/>
      <c r="BB997" s="28"/>
      <c r="BC997" s="28"/>
      <c r="BD997" s="28"/>
      <c r="BE997" s="28"/>
    </row>
    <row r="998" spans="2:57" ht="15.75" customHeight="1" x14ac:dyDescent="0.25">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c r="BD998" s="28"/>
      <c r="BE998" s="28"/>
    </row>
    <row r="999" spans="2:57" ht="15.75" customHeight="1" x14ac:dyDescent="0.25">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c r="AH999" s="28"/>
      <c r="AI999" s="28"/>
      <c r="AJ999" s="28"/>
      <c r="AK999" s="28"/>
      <c r="AL999" s="28"/>
      <c r="AM999" s="28"/>
      <c r="AN999" s="28"/>
      <c r="AO999" s="28"/>
      <c r="AP999" s="28"/>
      <c r="AQ999" s="28"/>
      <c r="AR999" s="28"/>
      <c r="AS999" s="28"/>
      <c r="AT999" s="28"/>
      <c r="AU999" s="28"/>
      <c r="AV999" s="28"/>
      <c r="AW999" s="28"/>
      <c r="AX999" s="28"/>
      <c r="AY999" s="28"/>
      <c r="AZ999" s="28"/>
      <c r="BA999" s="28"/>
      <c r="BB999" s="28"/>
      <c r="BC999" s="28"/>
      <c r="BD999" s="28"/>
      <c r="BE999" s="28"/>
    </row>
    <row r="1000" spans="2:57" ht="15.75" customHeight="1" x14ac:dyDescent="0.25">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c r="BD1000" s="28"/>
      <c r="BE1000" s="28"/>
    </row>
    <row r="1001" spans="2:57" ht="15.75" customHeight="1" x14ac:dyDescent="0.25">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c r="AH1001" s="28"/>
      <c r="AI1001" s="28"/>
      <c r="AJ1001" s="28"/>
      <c r="AK1001" s="28"/>
      <c r="AL1001" s="28"/>
      <c r="AM1001" s="28"/>
      <c r="AN1001" s="28"/>
      <c r="AO1001" s="28"/>
      <c r="AP1001" s="28"/>
      <c r="AQ1001" s="28"/>
      <c r="AR1001" s="28"/>
      <c r="AS1001" s="28"/>
      <c r="AT1001" s="28"/>
      <c r="AU1001" s="28"/>
      <c r="AV1001" s="28"/>
      <c r="AW1001" s="28"/>
      <c r="AX1001" s="28"/>
      <c r="AY1001" s="28"/>
      <c r="AZ1001" s="28"/>
      <c r="BA1001" s="28"/>
      <c r="BB1001" s="28"/>
      <c r="BC1001" s="28"/>
      <c r="BD1001" s="28"/>
      <c r="BE1001" s="28"/>
    </row>
    <row r="1002" spans="2:57" ht="15.75" customHeight="1" x14ac:dyDescent="0.25">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c r="AG1002" s="28"/>
      <c r="AH1002" s="28"/>
      <c r="AI1002" s="28"/>
      <c r="AJ1002" s="28"/>
      <c r="AK1002" s="28"/>
      <c r="AL1002" s="28"/>
      <c r="AM1002" s="28"/>
      <c r="AN1002" s="28"/>
      <c r="AO1002" s="28"/>
      <c r="AP1002" s="28"/>
      <c r="AQ1002" s="28"/>
      <c r="AR1002" s="28"/>
      <c r="AS1002" s="28"/>
      <c r="AT1002" s="28"/>
      <c r="AU1002" s="28"/>
      <c r="AV1002" s="28"/>
      <c r="AW1002" s="28"/>
      <c r="AX1002" s="28"/>
      <c r="AY1002" s="28"/>
      <c r="AZ1002" s="28"/>
      <c r="BA1002" s="28"/>
      <c r="BB1002" s="28"/>
      <c r="BC1002" s="28"/>
      <c r="BD1002" s="28"/>
      <c r="BE1002" s="28"/>
    </row>
    <row r="1003" spans="2:57" ht="15.75" customHeight="1" x14ac:dyDescent="0.25">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c r="AF1003" s="28"/>
      <c r="AG1003" s="28"/>
      <c r="AH1003" s="28"/>
      <c r="AI1003" s="28"/>
      <c r="AJ1003" s="28"/>
      <c r="AK1003" s="28"/>
      <c r="AL1003" s="28"/>
      <c r="AM1003" s="28"/>
      <c r="AN1003" s="28"/>
      <c r="AO1003" s="28"/>
      <c r="AP1003" s="28"/>
      <c r="AQ1003" s="28"/>
      <c r="AR1003" s="28"/>
      <c r="AS1003" s="28"/>
      <c r="AT1003" s="28"/>
      <c r="AU1003" s="28"/>
      <c r="AV1003" s="28"/>
      <c r="AW1003" s="28"/>
      <c r="AX1003" s="28"/>
      <c r="AY1003" s="28"/>
      <c r="AZ1003" s="28"/>
      <c r="BA1003" s="28"/>
      <c r="BB1003" s="28"/>
      <c r="BC1003" s="28"/>
      <c r="BD1003" s="28"/>
      <c r="BE1003" s="28"/>
    </row>
    <row r="1004" spans="2:57" ht="15.75" customHeight="1" x14ac:dyDescent="0.25">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c r="AG1004" s="28"/>
      <c r="AH1004" s="28"/>
      <c r="AI1004" s="28"/>
      <c r="AJ1004" s="28"/>
      <c r="AK1004" s="28"/>
      <c r="AL1004" s="28"/>
      <c r="AM1004" s="28"/>
      <c r="AN1004" s="28"/>
      <c r="AO1004" s="28"/>
      <c r="AP1004" s="28"/>
      <c r="AQ1004" s="28"/>
      <c r="AR1004" s="28"/>
      <c r="AS1004" s="28"/>
      <c r="AT1004" s="28"/>
      <c r="AU1004" s="28"/>
      <c r="AV1004" s="28"/>
      <c r="AW1004" s="28"/>
      <c r="AX1004" s="28"/>
      <c r="AY1004" s="28"/>
      <c r="AZ1004" s="28"/>
      <c r="BA1004" s="28"/>
      <c r="BB1004" s="28"/>
      <c r="BC1004" s="28"/>
      <c r="BD1004" s="28"/>
      <c r="BE1004" s="28"/>
    </row>
    <row r="1005" spans="2:57" ht="15.75" customHeight="1" x14ac:dyDescent="0.25">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c r="AF1005" s="28"/>
      <c r="AG1005" s="28"/>
      <c r="AH1005" s="28"/>
      <c r="AI1005" s="28"/>
      <c r="AJ1005" s="28"/>
      <c r="AK1005" s="28"/>
      <c r="AL1005" s="28"/>
      <c r="AM1005" s="28"/>
      <c r="AN1005" s="28"/>
      <c r="AO1005" s="28"/>
      <c r="AP1005" s="28"/>
      <c r="AQ1005" s="28"/>
      <c r="AR1005" s="28"/>
      <c r="AS1005" s="28"/>
      <c r="AT1005" s="28"/>
      <c r="AU1005" s="28"/>
      <c r="AV1005" s="28"/>
      <c r="AW1005" s="28"/>
      <c r="AX1005" s="28"/>
      <c r="AY1005" s="28"/>
      <c r="AZ1005" s="28"/>
      <c r="BA1005" s="28"/>
      <c r="BB1005" s="28"/>
      <c r="BC1005" s="28"/>
      <c r="BD1005" s="28"/>
      <c r="BE1005" s="28"/>
    </row>
    <row r="1006" spans="2:57" ht="15.75" customHeight="1" x14ac:dyDescent="0.25">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c r="AG1006" s="28"/>
      <c r="AH1006" s="28"/>
      <c r="AI1006" s="28"/>
      <c r="AJ1006" s="28"/>
      <c r="AK1006" s="28"/>
      <c r="AL1006" s="28"/>
      <c r="AM1006" s="28"/>
      <c r="AN1006" s="28"/>
      <c r="AO1006" s="28"/>
      <c r="AP1006" s="28"/>
      <c r="AQ1006" s="28"/>
      <c r="AR1006" s="28"/>
      <c r="AS1006" s="28"/>
      <c r="AT1006" s="28"/>
      <c r="AU1006" s="28"/>
      <c r="AV1006" s="28"/>
      <c r="AW1006" s="28"/>
      <c r="AX1006" s="28"/>
      <c r="AY1006" s="28"/>
      <c r="AZ1006" s="28"/>
      <c r="BA1006" s="28"/>
      <c r="BB1006" s="28"/>
      <c r="BC1006" s="28"/>
      <c r="BD1006" s="28"/>
      <c r="BE1006" s="28"/>
    </row>
    <row r="1007" spans="2:57" ht="15.75" customHeight="1" x14ac:dyDescent="0.25">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c r="AF1007" s="28"/>
      <c r="AG1007" s="28"/>
      <c r="AH1007" s="28"/>
      <c r="AI1007" s="28"/>
      <c r="AJ1007" s="28"/>
      <c r="AK1007" s="28"/>
      <c r="AL1007" s="28"/>
      <c r="AM1007" s="28"/>
      <c r="AN1007" s="28"/>
      <c r="AO1007" s="28"/>
      <c r="AP1007" s="28"/>
      <c r="AQ1007" s="28"/>
      <c r="AR1007" s="28"/>
      <c r="AS1007" s="28"/>
      <c r="AT1007" s="28"/>
      <c r="AU1007" s="28"/>
      <c r="AV1007" s="28"/>
      <c r="AW1007" s="28"/>
      <c r="AX1007" s="28"/>
      <c r="AY1007" s="28"/>
      <c r="AZ1007" s="28"/>
      <c r="BA1007" s="28"/>
      <c r="BB1007" s="28"/>
      <c r="BC1007" s="28"/>
      <c r="BD1007" s="28"/>
      <c r="BE1007" s="28"/>
    </row>
    <row r="1008" spans="2:57" ht="15.75" customHeight="1" x14ac:dyDescent="0.25">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c r="AG1008" s="28"/>
      <c r="AH1008" s="28"/>
      <c r="AI1008" s="28"/>
      <c r="AJ1008" s="28"/>
      <c r="AK1008" s="28"/>
      <c r="AL1008" s="28"/>
      <c r="AM1008" s="28"/>
      <c r="AN1008" s="28"/>
      <c r="AO1008" s="28"/>
      <c r="AP1008" s="28"/>
      <c r="AQ1008" s="28"/>
      <c r="AR1008" s="28"/>
      <c r="AS1008" s="28"/>
      <c r="AT1008" s="28"/>
      <c r="AU1008" s="28"/>
      <c r="AV1008" s="28"/>
      <c r="AW1008" s="28"/>
      <c r="AX1008" s="28"/>
      <c r="AY1008" s="28"/>
      <c r="AZ1008" s="28"/>
      <c r="BA1008" s="28"/>
      <c r="BB1008" s="28"/>
      <c r="BC1008" s="28"/>
      <c r="BD1008" s="28"/>
      <c r="BE1008" s="28"/>
    </row>
    <row r="1009" spans="2:57" ht="15.75" customHeight="1" x14ac:dyDescent="0.25">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c r="AD1009" s="28"/>
      <c r="AE1009" s="28"/>
      <c r="AF1009" s="28"/>
      <c r="AG1009" s="28"/>
      <c r="AH1009" s="28"/>
      <c r="AI1009" s="28"/>
      <c r="AJ1009" s="28"/>
      <c r="AK1009" s="28"/>
      <c r="AL1009" s="28"/>
      <c r="AM1009" s="28"/>
      <c r="AN1009" s="28"/>
      <c r="AO1009" s="28"/>
      <c r="AP1009" s="28"/>
      <c r="AQ1009" s="28"/>
      <c r="AR1009" s="28"/>
      <c r="AS1009" s="28"/>
      <c r="AT1009" s="28"/>
      <c r="AU1009" s="28"/>
      <c r="AV1009" s="28"/>
      <c r="AW1009" s="28"/>
      <c r="AX1009" s="28"/>
      <c r="AY1009" s="28"/>
      <c r="AZ1009" s="28"/>
      <c r="BA1009" s="28"/>
      <c r="BB1009" s="28"/>
      <c r="BC1009" s="28"/>
      <c r="BD1009" s="28"/>
      <c r="BE1009" s="28"/>
    </row>
    <row r="1010" spans="2:57" ht="15.75" customHeight="1" x14ac:dyDescent="0.25">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c r="AD1010" s="28"/>
      <c r="AE1010" s="28"/>
      <c r="AF1010" s="28"/>
      <c r="AG1010" s="28"/>
      <c r="AH1010" s="28"/>
      <c r="AI1010" s="28"/>
      <c r="AJ1010" s="28"/>
      <c r="AK1010" s="28"/>
      <c r="AL1010" s="28"/>
      <c r="AM1010" s="28"/>
      <c r="AN1010" s="28"/>
      <c r="AO1010" s="28"/>
      <c r="AP1010" s="28"/>
      <c r="AQ1010" s="28"/>
      <c r="AR1010" s="28"/>
      <c r="AS1010" s="28"/>
      <c r="AT1010" s="28"/>
      <c r="AU1010" s="28"/>
      <c r="AV1010" s="28"/>
      <c r="AW1010" s="28"/>
      <c r="AX1010" s="28"/>
      <c r="AY1010" s="28"/>
      <c r="AZ1010" s="28"/>
      <c r="BA1010" s="28"/>
      <c r="BB1010" s="28"/>
      <c r="BC1010" s="28"/>
      <c r="BD1010" s="28"/>
      <c r="BE1010" s="28"/>
    </row>
    <row r="1011" spans="2:57" ht="15.75" customHeight="1" x14ac:dyDescent="0.25">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c r="AD1011" s="28"/>
      <c r="AE1011" s="28"/>
      <c r="AF1011" s="28"/>
      <c r="AG1011" s="28"/>
      <c r="AH1011" s="28"/>
      <c r="AI1011" s="28"/>
      <c r="AJ1011" s="28"/>
      <c r="AK1011" s="28"/>
      <c r="AL1011" s="28"/>
      <c r="AM1011" s="28"/>
      <c r="AN1011" s="28"/>
      <c r="AO1011" s="28"/>
      <c r="AP1011" s="28"/>
      <c r="AQ1011" s="28"/>
      <c r="AR1011" s="28"/>
      <c r="AS1011" s="28"/>
      <c r="AT1011" s="28"/>
      <c r="AU1011" s="28"/>
      <c r="AV1011" s="28"/>
      <c r="AW1011" s="28"/>
      <c r="AX1011" s="28"/>
      <c r="AY1011" s="28"/>
      <c r="AZ1011" s="28"/>
      <c r="BA1011" s="28"/>
      <c r="BB1011" s="28"/>
      <c r="BC1011" s="28"/>
      <c r="BD1011" s="28"/>
      <c r="BE1011" s="28"/>
    </row>
    <row r="1012" spans="2:57" ht="15.75" customHeight="1" x14ac:dyDescent="0.25">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c r="AD1012" s="28"/>
      <c r="AE1012" s="28"/>
      <c r="AF1012" s="28"/>
      <c r="AG1012" s="28"/>
      <c r="AH1012" s="28"/>
      <c r="AI1012" s="28"/>
      <c r="AJ1012" s="28"/>
      <c r="AK1012" s="28"/>
      <c r="AL1012" s="28"/>
      <c r="AM1012" s="28"/>
      <c r="AN1012" s="28"/>
      <c r="AO1012" s="28"/>
      <c r="AP1012" s="28"/>
      <c r="AQ1012" s="28"/>
      <c r="AR1012" s="28"/>
      <c r="AS1012" s="28"/>
      <c r="AT1012" s="28"/>
      <c r="AU1012" s="28"/>
      <c r="AV1012" s="28"/>
      <c r="AW1012" s="28"/>
      <c r="AX1012" s="28"/>
      <c r="AY1012" s="28"/>
      <c r="AZ1012" s="28"/>
      <c r="BA1012" s="28"/>
      <c r="BB1012" s="28"/>
      <c r="BC1012" s="28"/>
      <c r="BD1012" s="28"/>
      <c r="BE1012" s="28"/>
    </row>
    <row r="1013" spans="2:57" ht="15.75" customHeight="1" x14ac:dyDescent="0.25">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c r="AB1013" s="28"/>
      <c r="AC1013" s="28"/>
      <c r="AD1013" s="28"/>
      <c r="AE1013" s="28"/>
      <c r="AF1013" s="28"/>
      <c r="AG1013" s="28"/>
      <c r="AH1013" s="28"/>
      <c r="AI1013" s="28"/>
      <c r="AJ1013" s="28"/>
      <c r="AK1013" s="28"/>
      <c r="AL1013" s="28"/>
      <c r="AM1013" s="28"/>
      <c r="AN1013" s="28"/>
      <c r="AO1013" s="28"/>
      <c r="AP1013" s="28"/>
      <c r="AQ1013" s="28"/>
      <c r="AR1013" s="28"/>
      <c r="AS1013" s="28"/>
      <c r="AT1013" s="28"/>
      <c r="AU1013" s="28"/>
      <c r="AV1013" s="28"/>
      <c r="AW1013" s="28"/>
      <c r="AX1013" s="28"/>
      <c r="AY1013" s="28"/>
      <c r="AZ1013" s="28"/>
      <c r="BA1013" s="28"/>
      <c r="BB1013" s="28"/>
      <c r="BC1013" s="28"/>
      <c r="BD1013" s="28"/>
      <c r="BE1013" s="28"/>
    </row>
    <row r="1014" spans="2:57" ht="15.75" customHeight="1" x14ac:dyDescent="0.25">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c r="AD1014" s="28"/>
      <c r="AE1014" s="28"/>
      <c r="AF1014" s="28"/>
      <c r="AG1014" s="28"/>
      <c r="AH1014" s="28"/>
      <c r="AI1014" s="28"/>
      <c r="AJ1014" s="28"/>
      <c r="AK1014" s="28"/>
      <c r="AL1014" s="28"/>
      <c r="AM1014" s="28"/>
      <c r="AN1014" s="28"/>
      <c r="AO1014" s="28"/>
      <c r="AP1014" s="28"/>
      <c r="AQ1014" s="28"/>
      <c r="AR1014" s="28"/>
      <c r="AS1014" s="28"/>
      <c r="AT1014" s="28"/>
      <c r="AU1014" s="28"/>
      <c r="AV1014" s="28"/>
      <c r="AW1014" s="28"/>
      <c r="AX1014" s="28"/>
      <c r="AY1014" s="28"/>
      <c r="AZ1014" s="28"/>
      <c r="BA1014" s="28"/>
      <c r="BB1014" s="28"/>
      <c r="BC1014" s="28"/>
      <c r="BD1014" s="28"/>
      <c r="BE1014" s="28"/>
    </row>
    <row r="1015" spans="2:57" ht="15.75" customHeight="1" x14ac:dyDescent="0.25">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c r="AB1015" s="28"/>
      <c r="AC1015" s="28"/>
      <c r="AD1015" s="28"/>
      <c r="AE1015" s="28"/>
      <c r="AF1015" s="28"/>
      <c r="AG1015" s="28"/>
      <c r="AH1015" s="28"/>
      <c r="AI1015" s="28"/>
      <c r="AJ1015" s="28"/>
      <c r="AK1015" s="28"/>
      <c r="AL1015" s="28"/>
      <c r="AM1015" s="28"/>
      <c r="AN1015" s="28"/>
      <c r="AO1015" s="28"/>
      <c r="AP1015" s="28"/>
      <c r="AQ1015" s="28"/>
      <c r="AR1015" s="28"/>
      <c r="AS1015" s="28"/>
      <c r="AT1015" s="28"/>
      <c r="AU1015" s="28"/>
      <c r="AV1015" s="28"/>
      <c r="AW1015" s="28"/>
      <c r="AX1015" s="28"/>
      <c r="AY1015" s="28"/>
      <c r="AZ1015" s="28"/>
      <c r="BA1015" s="28"/>
      <c r="BB1015" s="28"/>
      <c r="BC1015" s="28"/>
      <c r="BD1015" s="28"/>
      <c r="BE1015" s="28"/>
    </row>
    <row r="1016" spans="2:57" ht="15.75" customHeight="1" x14ac:dyDescent="0.25">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c r="AD1016" s="28"/>
      <c r="AE1016" s="28"/>
      <c r="AF1016" s="28"/>
      <c r="AG1016" s="28"/>
      <c r="AH1016" s="28"/>
      <c r="AI1016" s="28"/>
      <c r="AJ1016" s="28"/>
      <c r="AK1016" s="28"/>
      <c r="AL1016" s="28"/>
      <c r="AM1016" s="28"/>
      <c r="AN1016" s="28"/>
      <c r="AO1016" s="28"/>
      <c r="AP1016" s="28"/>
      <c r="AQ1016" s="28"/>
      <c r="AR1016" s="28"/>
      <c r="AS1016" s="28"/>
      <c r="AT1016" s="28"/>
      <c r="AU1016" s="28"/>
      <c r="AV1016" s="28"/>
      <c r="AW1016" s="28"/>
      <c r="AX1016" s="28"/>
      <c r="AY1016" s="28"/>
      <c r="AZ1016" s="28"/>
      <c r="BA1016" s="28"/>
      <c r="BB1016" s="28"/>
      <c r="BC1016" s="28"/>
      <c r="BD1016" s="28"/>
      <c r="BE1016" s="28"/>
    </row>
    <row r="1017" spans="2:57" ht="15.75" customHeight="1" x14ac:dyDescent="0.25">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c r="AB1017" s="28"/>
      <c r="AC1017" s="28"/>
      <c r="AD1017" s="28"/>
      <c r="AE1017" s="28"/>
      <c r="AF1017" s="28"/>
      <c r="AG1017" s="28"/>
      <c r="AH1017" s="28"/>
      <c r="AI1017" s="28"/>
      <c r="AJ1017" s="28"/>
      <c r="AK1017" s="28"/>
      <c r="AL1017" s="28"/>
      <c r="AM1017" s="28"/>
      <c r="AN1017" s="28"/>
      <c r="AO1017" s="28"/>
      <c r="AP1017" s="28"/>
      <c r="AQ1017" s="28"/>
      <c r="AR1017" s="28"/>
      <c r="AS1017" s="28"/>
      <c r="AT1017" s="28"/>
      <c r="AU1017" s="28"/>
      <c r="AV1017" s="28"/>
      <c r="AW1017" s="28"/>
      <c r="AX1017" s="28"/>
      <c r="AY1017" s="28"/>
      <c r="AZ1017" s="28"/>
      <c r="BA1017" s="28"/>
      <c r="BB1017" s="28"/>
      <c r="BC1017" s="28"/>
      <c r="BD1017" s="28"/>
      <c r="BE1017" s="28"/>
    </row>
    <row r="1018" spans="2:57" ht="15.75" customHeight="1" x14ac:dyDescent="0.25">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c r="AD1018" s="28"/>
      <c r="AE1018" s="28"/>
      <c r="AF1018" s="28"/>
      <c r="AG1018" s="28"/>
      <c r="AH1018" s="28"/>
      <c r="AI1018" s="28"/>
      <c r="AJ1018" s="28"/>
      <c r="AK1018" s="28"/>
      <c r="AL1018" s="28"/>
      <c r="AM1018" s="28"/>
      <c r="AN1018" s="28"/>
      <c r="AO1018" s="28"/>
      <c r="AP1018" s="28"/>
      <c r="AQ1018" s="28"/>
      <c r="AR1018" s="28"/>
      <c r="AS1018" s="28"/>
      <c r="AT1018" s="28"/>
      <c r="AU1018" s="28"/>
      <c r="AV1018" s="28"/>
      <c r="AW1018" s="28"/>
      <c r="AX1018" s="28"/>
      <c r="AY1018" s="28"/>
      <c r="AZ1018" s="28"/>
      <c r="BA1018" s="28"/>
      <c r="BB1018" s="28"/>
      <c r="BC1018" s="28"/>
      <c r="BD1018" s="28"/>
      <c r="BE1018" s="28"/>
    </row>
    <row r="1019" spans="2:57" ht="15.75" customHeight="1" x14ac:dyDescent="0.25">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c r="AA1019" s="28"/>
      <c r="AB1019" s="28"/>
      <c r="AC1019" s="28"/>
      <c r="AD1019" s="28"/>
      <c r="AE1019" s="28"/>
      <c r="AF1019" s="28"/>
      <c r="AG1019" s="28"/>
      <c r="AH1019" s="28"/>
      <c r="AI1019" s="28"/>
      <c r="AJ1019" s="28"/>
      <c r="AK1019" s="28"/>
      <c r="AL1019" s="28"/>
      <c r="AM1019" s="28"/>
      <c r="AN1019" s="28"/>
      <c r="AO1019" s="28"/>
      <c r="AP1019" s="28"/>
      <c r="AQ1019" s="28"/>
      <c r="AR1019" s="28"/>
      <c r="AS1019" s="28"/>
      <c r="AT1019" s="28"/>
      <c r="AU1019" s="28"/>
      <c r="AV1019" s="28"/>
      <c r="AW1019" s="28"/>
      <c r="AX1019" s="28"/>
      <c r="AY1019" s="28"/>
      <c r="AZ1019" s="28"/>
      <c r="BA1019" s="28"/>
      <c r="BB1019" s="28"/>
      <c r="BC1019" s="28"/>
      <c r="BD1019" s="28"/>
      <c r="BE1019" s="28"/>
    </row>
    <row r="1020" spans="2:57" ht="15.75" customHeight="1" x14ac:dyDescent="0.25">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c r="AD1020" s="28"/>
      <c r="AE1020" s="28"/>
      <c r="AF1020" s="28"/>
      <c r="AG1020" s="28"/>
      <c r="AH1020" s="28"/>
      <c r="AI1020" s="28"/>
      <c r="AJ1020" s="28"/>
      <c r="AK1020" s="28"/>
      <c r="AL1020" s="28"/>
      <c r="AM1020" s="28"/>
      <c r="AN1020" s="28"/>
      <c r="AO1020" s="28"/>
      <c r="AP1020" s="28"/>
      <c r="AQ1020" s="28"/>
      <c r="AR1020" s="28"/>
      <c r="AS1020" s="28"/>
      <c r="AT1020" s="28"/>
      <c r="AU1020" s="28"/>
      <c r="AV1020" s="28"/>
      <c r="AW1020" s="28"/>
      <c r="AX1020" s="28"/>
      <c r="AY1020" s="28"/>
      <c r="AZ1020" s="28"/>
      <c r="BA1020" s="28"/>
      <c r="BB1020" s="28"/>
      <c r="BC1020" s="28"/>
      <c r="BD1020" s="28"/>
      <c r="BE1020" s="28"/>
    </row>
    <row r="1021" spans="2:57" ht="15.75" customHeight="1" x14ac:dyDescent="0.25">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c r="AB1021" s="28"/>
      <c r="AC1021" s="28"/>
      <c r="AD1021" s="28"/>
      <c r="AE1021" s="28"/>
      <c r="AF1021" s="28"/>
      <c r="AG1021" s="28"/>
      <c r="AH1021" s="28"/>
      <c r="AI1021" s="28"/>
      <c r="AJ1021" s="28"/>
      <c r="AK1021" s="28"/>
      <c r="AL1021" s="28"/>
      <c r="AM1021" s="28"/>
      <c r="AN1021" s="28"/>
      <c r="AO1021" s="28"/>
      <c r="AP1021" s="28"/>
      <c r="AQ1021" s="28"/>
      <c r="AR1021" s="28"/>
      <c r="AS1021" s="28"/>
      <c r="AT1021" s="28"/>
      <c r="AU1021" s="28"/>
      <c r="AV1021" s="28"/>
      <c r="AW1021" s="28"/>
      <c r="AX1021" s="28"/>
      <c r="AY1021" s="28"/>
      <c r="AZ1021" s="28"/>
      <c r="BA1021" s="28"/>
      <c r="BB1021" s="28"/>
      <c r="BC1021" s="28"/>
      <c r="BD1021" s="28"/>
      <c r="BE1021" s="28"/>
    </row>
    <row r="1022" spans="2:57" ht="15.75" customHeight="1" x14ac:dyDescent="0.25">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c r="AD1022" s="28"/>
      <c r="AE1022" s="28"/>
      <c r="AF1022" s="28"/>
      <c r="AG1022" s="28"/>
      <c r="AH1022" s="28"/>
      <c r="AI1022" s="28"/>
      <c r="AJ1022" s="28"/>
      <c r="AK1022" s="28"/>
      <c r="AL1022" s="28"/>
      <c r="AM1022" s="28"/>
      <c r="AN1022" s="28"/>
      <c r="AO1022" s="28"/>
      <c r="AP1022" s="28"/>
      <c r="AQ1022" s="28"/>
      <c r="AR1022" s="28"/>
      <c r="AS1022" s="28"/>
      <c r="AT1022" s="28"/>
      <c r="AU1022" s="28"/>
      <c r="AV1022" s="28"/>
      <c r="AW1022" s="28"/>
      <c r="AX1022" s="28"/>
      <c r="AY1022" s="28"/>
      <c r="AZ1022" s="28"/>
      <c r="BA1022" s="28"/>
      <c r="BB1022" s="28"/>
      <c r="BC1022" s="28"/>
      <c r="BD1022" s="28"/>
      <c r="BE1022" s="28"/>
    </row>
    <row r="1023" spans="2:57" ht="15.75" customHeight="1" x14ac:dyDescent="0.25">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c r="AB1023" s="28"/>
      <c r="AC1023" s="28"/>
      <c r="AD1023" s="28"/>
      <c r="AE1023" s="28"/>
      <c r="AF1023" s="28"/>
      <c r="AG1023" s="28"/>
      <c r="AH1023" s="28"/>
      <c r="AI1023" s="28"/>
      <c r="AJ1023" s="28"/>
      <c r="AK1023" s="28"/>
      <c r="AL1023" s="28"/>
      <c r="AM1023" s="28"/>
      <c r="AN1023" s="28"/>
      <c r="AO1023" s="28"/>
      <c r="AP1023" s="28"/>
      <c r="AQ1023" s="28"/>
      <c r="AR1023" s="28"/>
      <c r="AS1023" s="28"/>
      <c r="AT1023" s="28"/>
      <c r="AU1023" s="28"/>
      <c r="AV1023" s="28"/>
      <c r="AW1023" s="28"/>
      <c r="AX1023" s="28"/>
      <c r="AY1023" s="28"/>
      <c r="AZ1023" s="28"/>
      <c r="BA1023" s="28"/>
      <c r="BB1023" s="28"/>
      <c r="BC1023" s="28"/>
      <c r="BD1023" s="28"/>
      <c r="BE1023" s="28"/>
    </row>
    <row r="1024" spans="2:57" ht="15.75" customHeight="1" x14ac:dyDescent="0.25">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c r="AB1024" s="28"/>
      <c r="AC1024" s="28"/>
      <c r="AD1024" s="28"/>
      <c r="AE1024" s="28"/>
      <c r="AF1024" s="28"/>
      <c r="AG1024" s="28"/>
      <c r="AH1024" s="28"/>
      <c r="AI1024" s="28"/>
      <c r="AJ1024" s="28"/>
      <c r="AK1024" s="28"/>
      <c r="AL1024" s="28"/>
      <c r="AM1024" s="28"/>
      <c r="AN1024" s="28"/>
      <c r="AO1024" s="28"/>
      <c r="AP1024" s="28"/>
      <c r="AQ1024" s="28"/>
      <c r="AR1024" s="28"/>
      <c r="AS1024" s="28"/>
      <c r="AT1024" s="28"/>
      <c r="AU1024" s="28"/>
      <c r="AV1024" s="28"/>
      <c r="AW1024" s="28"/>
      <c r="AX1024" s="28"/>
      <c r="AY1024" s="28"/>
      <c r="AZ1024" s="28"/>
      <c r="BA1024" s="28"/>
      <c r="BB1024" s="28"/>
      <c r="BC1024" s="28"/>
      <c r="BD1024" s="28"/>
      <c r="BE1024" s="28"/>
    </row>
    <row r="1025" spans="2:57" ht="15.75" customHeight="1" x14ac:dyDescent="0.25">
      <c r="B1025" s="28"/>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c r="AA1025" s="28"/>
      <c r="AB1025" s="28"/>
      <c r="AC1025" s="28"/>
      <c r="AD1025" s="28"/>
      <c r="AE1025" s="28"/>
      <c r="AF1025" s="28"/>
      <c r="AG1025" s="28"/>
      <c r="AH1025" s="28"/>
      <c r="AI1025" s="28"/>
      <c r="AJ1025" s="28"/>
      <c r="AK1025" s="28"/>
      <c r="AL1025" s="28"/>
      <c r="AM1025" s="28"/>
      <c r="AN1025" s="28"/>
      <c r="AO1025" s="28"/>
      <c r="AP1025" s="28"/>
      <c r="AQ1025" s="28"/>
      <c r="AR1025" s="28"/>
      <c r="AS1025" s="28"/>
      <c r="AT1025" s="28"/>
      <c r="AU1025" s="28"/>
      <c r="AV1025" s="28"/>
      <c r="AW1025" s="28"/>
      <c r="AX1025" s="28"/>
      <c r="AY1025" s="28"/>
      <c r="AZ1025" s="28"/>
      <c r="BA1025" s="28"/>
      <c r="BB1025" s="28"/>
      <c r="BC1025" s="28"/>
      <c r="BD1025" s="28"/>
      <c r="BE1025" s="28"/>
    </row>
    <row r="1026" spans="2:57" ht="15.75" customHeight="1" x14ac:dyDescent="0.25">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c r="AD1026" s="28"/>
      <c r="AE1026" s="28"/>
      <c r="AF1026" s="28"/>
      <c r="AG1026" s="28"/>
      <c r="AH1026" s="28"/>
      <c r="AI1026" s="28"/>
      <c r="AJ1026" s="28"/>
      <c r="AK1026" s="28"/>
      <c r="AL1026" s="28"/>
      <c r="AM1026" s="28"/>
      <c r="AN1026" s="28"/>
      <c r="AO1026" s="28"/>
      <c r="AP1026" s="28"/>
      <c r="AQ1026" s="28"/>
      <c r="AR1026" s="28"/>
      <c r="AS1026" s="28"/>
      <c r="AT1026" s="28"/>
      <c r="AU1026" s="28"/>
      <c r="AV1026" s="28"/>
      <c r="AW1026" s="28"/>
      <c r="AX1026" s="28"/>
      <c r="AY1026" s="28"/>
      <c r="AZ1026" s="28"/>
      <c r="BA1026" s="28"/>
      <c r="BB1026" s="28"/>
      <c r="BC1026" s="28"/>
      <c r="BD1026" s="28"/>
      <c r="BE1026" s="28"/>
    </row>
    <row r="1027" spans="2:57" ht="15.75" customHeight="1" x14ac:dyDescent="0.25">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c r="AA1027" s="28"/>
      <c r="AB1027" s="28"/>
      <c r="AC1027" s="28"/>
      <c r="AD1027" s="28"/>
      <c r="AE1027" s="28"/>
      <c r="AF1027" s="28"/>
      <c r="AG1027" s="28"/>
      <c r="AH1027" s="28"/>
      <c r="AI1027" s="28"/>
      <c r="AJ1027" s="28"/>
      <c r="AK1027" s="28"/>
      <c r="AL1027" s="28"/>
      <c r="AM1027" s="28"/>
      <c r="AN1027" s="28"/>
      <c r="AO1027" s="28"/>
      <c r="AP1027" s="28"/>
      <c r="AQ1027" s="28"/>
      <c r="AR1027" s="28"/>
      <c r="AS1027" s="28"/>
      <c r="AT1027" s="28"/>
      <c r="AU1027" s="28"/>
      <c r="AV1027" s="28"/>
      <c r="AW1027" s="28"/>
      <c r="AX1027" s="28"/>
      <c r="AY1027" s="28"/>
      <c r="AZ1027" s="28"/>
      <c r="BA1027" s="28"/>
      <c r="BB1027" s="28"/>
      <c r="BC1027" s="28"/>
      <c r="BD1027" s="28"/>
      <c r="BE1027" s="28"/>
    </row>
    <row r="1028" spans="2:57" ht="15.75" customHeight="1" x14ac:dyDescent="0.25">
      <c r="B1028" s="28"/>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c r="AB1028" s="28"/>
      <c r="AC1028" s="28"/>
      <c r="AD1028" s="28"/>
      <c r="AE1028" s="28"/>
      <c r="AF1028" s="28"/>
      <c r="AG1028" s="28"/>
      <c r="AH1028" s="28"/>
      <c r="AI1028" s="28"/>
      <c r="AJ1028" s="28"/>
      <c r="AK1028" s="28"/>
      <c r="AL1028" s="28"/>
      <c r="AM1028" s="28"/>
      <c r="AN1028" s="28"/>
      <c r="AO1028" s="28"/>
      <c r="AP1028" s="28"/>
      <c r="AQ1028" s="28"/>
      <c r="AR1028" s="28"/>
      <c r="AS1028" s="28"/>
      <c r="AT1028" s="28"/>
      <c r="AU1028" s="28"/>
      <c r="AV1028" s="28"/>
      <c r="AW1028" s="28"/>
      <c r="AX1028" s="28"/>
      <c r="AY1028" s="28"/>
      <c r="AZ1028" s="28"/>
      <c r="BA1028" s="28"/>
      <c r="BB1028" s="28"/>
      <c r="BC1028" s="28"/>
      <c r="BD1028" s="28"/>
      <c r="BE1028" s="28"/>
    </row>
    <row r="1029" spans="2:57" ht="15.75" customHeight="1" x14ac:dyDescent="0.25">
      <c r="B1029" s="28"/>
      <c r="C1029" s="28"/>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c r="AA1029" s="28"/>
      <c r="AB1029" s="28"/>
      <c r="AC1029" s="28"/>
      <c r="AD1029" s="28"/>
      <c r="AE1029" s="28"/>
      <c r="AF1029" s="28"/>
      <c r="AG1029" s="28"/>
      <c r="AH1029" s="28"/>
      <c r="AI1029" s="28"/>
      <c r="AJ1029" s="28"/>
      <c r="AK1029" s="28"/>
      <c r="AL1029" s="28"/>
      <c r="AM1029" s="28"/>
      <c r="AN1029" s="28"/>
      <c r="AO1029" s="28"/>
      <c r="AP1029" s="28"/>
      <c r="AQ1029" s="28"/>
      <c r="AR1029" s="28"/>
      <c r="AS1029" s="28"/>
      <c r="AT1029" s="28"/>
      <c r="AU1029" s="28"/>
      <c r="AV1029" s="28"/>
      <c r="AW1029" s="28"/>
      <c r="AX1029" s="28"/>
      <c r="AY1029" s="28"/>
      <c r="AZ1029" s="28"/>
      <c r="BA1029" s="28"/>
      <c r="BB1029" s="28"/>
      <c r="BC1029" s="28"/>
      <c r="BD1029" s="28"/>
      <c r="BE1029" s="28"/>
    </row>
    <row r="1030" spans="2:57" ht="15.75" customHeight="1" x14ac:dyDescent="0.25">
      <c r="B1030" s="28"/>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c r="AA1030" s="28"/>
      <c r="AB1030" s="28"/>
      <c r="AC1030" s="28"/>
      <c r="AD1030" s="28"/>
      <c r="AE1030" s="28"/>
      <c r="AF1030" s="28"/>
      <c r="AG1030" s="28"/>
      <c r="AH1030" s="28"/>
      <c r="AI1030" s="28"/>
      <c r="AJ1030" s="28"/>
      <c r="AK1030" s="28"/>
      <c r="AL1030" s="28"/>
      <c r="AM1030" s="28"/>
      <c r="AN1030" s="28"/>
      <c r="AO1030" s="28"/>
      <c r="AP1030" s="28"/>
      <c r="AQ1030" s="28"/>
      <c r="AR1030" s="28"/>
      <c r="AS1030" s="28"/>
      <c r="AT1030" s="28"/>
      <c r="AU1030" s="28"/>
      <c r="AV1030" s="28"/>
      <c r="AW1030" s="28"/>
      <c r="AX1030" s="28"/>
      <c r="AY1030" s="28"/>
      <c r="AZ1030" s="28"/>
      <c r="BA1030" s="28"/>
      <c r="BB1030" s="28"/>
      <c r="BC1030" s="28"/>
      <c r="BD1030" s="28"/>
      <c r="BE1030" s="28"/>
    </row>
    <row r="1031" spans="2:57" ht="15.75" customHeight="1" x14ac:dyDescent="0.25">
      <c r="B1031" s="28"/>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c r="AA1031" s="28"/>
      <c r="AB1031" s="28"/>
      <c r="AC1031" s="28"/>
      <c r="AD1031" s="28"/>
      <c r="AE1031" s="28"/>
      <c r="AF1031" s="28"/>
      <c r="AG1031" s="28"/>
      <c r="AH1031" s="28"/>
      <c r="AI1031" s="28"/>
      <c r="AJ1031" s="28"/>
      <c r="AK1031" s="28"/>
      <c r="AL1031" s="28"/>
      <c r="AM1031" s="28"/>
      <c r="AN1031" s="28"/>
      <c r="AO1031" s="28"/>
      <c r="AP1031" s="28"/>
      <c r="AQ1031" s="28"/>
      <c r="AR1031" s="28"/>
      <c r="AS1031" s="28"/>
      <c r="AT1031" s="28"/>
      <c r="AU1031" s="28"/>
      <c r="AV1031" s="28"/>
      <c r="AW1031" s="28"/>
      <c r="AX1031" s="28"/>
      <c r="AY1031" s="28"/>
      <c r="AZ1031" s="28"/>
      <c r="BA1031" s="28"/>
      <c r="BB1031" s="28"/>
      <c r="BC1031" s="28"/>
      <c r="BD1031" s="28"/>
      <c r="BE1031" s="28"/>
    </row>
    <row r="1032" spans="2:57" ht="15.75" customHeight="1" x14ac:dyDescent="0.25">
      <c r="B1032" s="28"/>
      <c r="C1032" s="28"/>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c r="AA1032" s="28"/>
      <c r="AB1032" s="28"/>
      <c r="AC1032" s="28"/>
      <c r="AD1032" s="28"/>
      <c r="AE1032" s="28"/>
      <c r="AF1032" s="28"/>
      <c r="AG1032" s="28"/>
      <c r="AH1032" s="28"/>
      <c r="AI1032" s="28"/>
      <c r="AJ1032" s="28"/>
      <c r="AK1032" s="28"/>
      <c r="AL1032" s="28"/>
      <c r="AM1032" s="28"/>
      <c r="AN1032" s="28"/>
      <c r="AO1032" s="28"/>
      <c r="AP1032" s="28"/>
      <c r="AQ1032" s="28"/>
      <c r="AR1032" s="28"/>
      <c r="AS1032" s="28"/>
      <c r="AT1032" s="28"/>
      <c r="AU1032" s="28"/>
      <c r="AV1032" s="28"/>
      <c r="AW1032" s="28"/>
      <c r="AX1032" s="28"/>
      <c r="AY1032" s="28"/>
      <c r="AZ1032" s="28"/>
      <c r="BA1032" s="28"/>
      <c r="BB1032" s="28"/>
      <c r="BC1032" s="28"/>
      <c r="BD1032" s="28"/>
      <c r="BE1032" s="28"/>
    </row>
    <row r="1033" spans="2:57" ht="15.75" customHeight="1" x14ac:dyDescent="0.25">
      <c r="B1033" s="28"/>
      <c r="C1033" s="28"/>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c r="Z1033" s="28"/>
      <c r="AA1033" s="28"/>
      <c r="AB1033" s="28"/>
      <c r="AC1033" s="28"/>
      <c r="AD1033" s="28"/>
      <c r="AE1033" s="28"/>
      <c r="AF1033" s="28"/>
      <c r="AG1033" s="28"/>
      <c r="AH1033" s="28"/>
      <c r="AI1033" s="28"/>
      <c r="AJ1033" s="28"/>
      <c r="AK1033" s="28"/>
      <c r="AL1033" s="28"/>
      <c r="AM1033" s="28"/>
      <c r="AN1033" s="28"/>
      <c r="AO1033" s="28"/>
      <c r="AP1033" s="28"/>
      <c r="AQ1033" s="28"/>
      <c r="AR1033" s="28"/>
      <c r="AS1033" s="28"/>
      <c r="AT1033" s="28"/>
      <c r="AU1033" s="28"/>
      <c r="AV1033" s="28"/>
      <c r="AW1033" s="28"/>
      <c r="AX1033" s="28"/>
      <c r="AY1033" s="28"/>
      <c r="AZ1033" s="28"/>
      <c r="BA1033" s="28"/>
      <c r="BB1033" s="28"/>
      <c r="BC1033" s="28"/>
      <c r="BD1033" s="28"/>
      <c r="BE1033" s="28"/>
    </row>
    <row r="1034" spans="2:57" ht="15.75" customHeight="1" x14ac:dyDescent="0.25">
      <c r="B1034" s="28"/>
      <c r="C1034" s="28"/>
      <c r="D1034" s="28"/>
      <c r="E1034" s="28"/>
      <c r="F1034" s="28"/>
      <c r="G1034" s="28"/>
      <c r="H1034" s="28"/>
      <c r="I1034" s="28"/>
      <c r="J1034" s="28"/>
      <c r="K1034" s="28"/>
      <c r="L1034" s="28"/>
      <c r="M1034" s="28"/>
      <c r="N1034" s="28"/>
      <c r="O1034" s="28"/>
      <c r="P1034" s="28"/>
      <c r="Q1034" s="28"/>
      <c r="R1034" s="28"/>
      <c r="S1034" s="28"/>
      <c r="T1034" s="28"/>
      <c r="U1034" s="28"/>
      <c r="V1034" s="28"/>
      <c r="W1034" s="28"/>
      <c r="X1034" s="28"/>
      <c r="Y1034" s="28"/>
      <c r="Z1034" s="28"/>
      <c r="AA1034" s="28"/>
      <c r="AB1034" s="28"/>
      <c r="AC1034" s="28"/>
      <c r="AD1034" s="28"/>
      <c r="AE1034" s="28"/>
      <c r="AF1034" s="28"/>
      <c r="AG1034" s="28"/>
      <c r="AH1034" s="28"/>
      <c r="AI1034" s="28"/>
      <c r="AJ1034" s="28"/>
      <c r="AK1034" s="28"/>
      <c r="AL1034" s="28"/>
      <c r="AM1034" s="28"/>
      <c r="AN1034" s="28"/>
      <c r="AO1034" s="28"/>
      <c r="AP1034" s="28"/>
      <c r="AQ1034" s="28"/>
      <c r="AR1034" s="28"/>
      <c r="AS1034" s="28"/>
      <c r="AT1034" s="28"/>
      <c r="AU1034" s="28"/>
      <c r="AV1034" s="28"/>
      <c r="AW1034" s="28"/>
      <c r="AX1034" s="28"/>
      <c r="AY1034" s="28"/>
      <c r="AZ1034" s="28"/>
      <c r="BA1034" s="28"/>
      <c r="BB1034" s="28"/>
      <c r="BC1034" s="28"/>
      <c r="BD1034" s="28"/>
      <c r="BE1034" s="28"/>
    </row>
    <row r="1035" spans="2:57" ht="15.75" customHeight="1" x14ac:dyDescent="0.25">
      <c r="B1035" s="28"/>
      <c r="C1035" s="28"/>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c r="Z1035" s="28"/>
      <c r="AA1035" s="28"/>
      <c r="AB1035" s="28"/>
      <c r="AC1035" s="28"/>
      <c r="AD1035" s="28"/>
      <c r="AE1035" s="28"/>
      <c r="AF1035" s="28"/>
      <c r="AG1035" s="28"/>
      <c r="AH1035" s="28"/>
      <c r="AI1035" s="28"/>
      <c r="AJ1035" s="28"/>
      <c r="AK1035" s="28"/>
      <c r="AL1035" s="28"/>
      <c r="AM1035" s="28"/>
      <c r="AN1035" s="28"/>
      <c r="AO1035" s="28"/>
      <c r="AP1035" s="28"/>
      <c r="AQ1035" s="28"/>
      <c r="AR1035" s="28"/>
      <c r="AS1035" s="28"/>
      <c r="AT1035" s="28"/>
      <c r="AU1035" s="28"/>
      <c r="AV1035" s="28"/>
      <c r="AW1035" s="28"/>
      <c r="AX1035" s="28"/>
      <c r="AY1035" s="28"/>
      <c r="AZ1035" s="28"/>
      <c r="BA1035" s="28"/>
      <c r="BB1035" s="28"/>
      <c r="BC1035" s="28"/>
      <c r="BD1035" s="28"/>
      <c r="BE1035" s="28"/>
    </row>
    <row r="1036" spans="2:57" ht="15.75" customHeight="1" x14ac:dyDescent="0.25">
      <c r="B1036" s="28"/>
      <c r="C1036" s="28"/>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c r="Z1036" s="28"/>
      <c r="AA1036" s="28"/>
      <c r="AB1036" s="28"/>
      <c r="AC1036" s="28"/>
      <c r="AD1036" s="28"/>
      <c r="AE1036" s="28"/>
      <c r="AF1036" s="28"/>
      <c r="AG1036" s="28"/>
      <c r="AH1036" s="28"/>
      <c r="AI1036" s="28"/>
      <c r="AJ1036" s="28"/>
      <c r="AK1036" s="28"/>
      <c r="AL1036" s="28"/>
      <c r="AM1036" s="28"/>
      <c r="AN1036" s="28"/>
      <c r="AO1036" s="28"/>
      <c r="AP1036" s="28"/>
      <c r="AQ1036" s="28"/>
      <c r="AR1036" s="28"/>
      <c r="AS1036" s="28"/>
      <c r="AT1036" s="28"/>
      <c r="AU1036" s="28"/>
      <c r="AV1036" s="28"/>
      <c r="AW1036" s="28"/>
      <c r="AX1036" s="28"/>
      <c r="AY1036" s="28"/>
      <c r="AZ1036" s="28"/>
      <c r="BA1036" s="28"/>
      <c r="BB1036" s="28"/>
      <c r="BC1036" s="28"/>
      <c r="BD1036" s="28"/>
      <c r="BE1036" s="28"/>
    </row>
    <row r="1037" spans="2:57" ht="15.75" customHeight="1" x14ac:dyDescent="0.25">
      <c r="B1037" s="28"/>
      <c r="C1037" s="28"/>
      <c r="D1037" s="28"/>
      <c r="E1037" s="28"/>
      <c r="F1037" s="28"/>
      <c r="G1037" s="28"/>
      <c r="H1037" s="28"/>
      <c r="I1037" s="28"/>
      <c r="J1037" s="28"/>
      <c r="K1037" s="28"/>
      <c r="L1037" s="28"/>
      <c r="M1037" s="28"/>
      <c r="N1037" s="28"/>
      <c r="O1037" s="28"/>
      <c r="P1037" s="28"/>
      <c r="Q1037" s="28"/>
      <c r="R1037" s="28"/>
      <c r="S1037" s="28"/>
      <c r="T1037" s="28"/>
      <c r="U1037" s="28"/>
      <c r="V1037" s="28"/>
      <c r="W1037" s="28"/>
      <c r="X1037" s="28"/>
      <c r="Y1037" s="28"/>
      <c r="Z1037" s="28"/>
      <c r="AA1037" s="28"/>
      <c r="AB1037" s="28"/>
      <c r="AC1037" s="28"/>
      <c r="AD1037" s="28"/>
      <c r="AE1037" s="28"/>
      <c r="AF1037" s="28"/>
      <c r="AG1037" s="28"/>
      <c r="AH1037" s="28"/>
      <c r="AI1037" s="28"/>
      <c r="AJ1037" s="28"/>
      <c r="AK1037" s="28"/>
      <c r="AL1037" s="28"/>
      <c r="AM1037" s="28"/>
      <c r="AN1037" s="28"/>
      <c r="AO1037" s="28"/>
      <c r="AP1037" s="28"/>
      <c r="AQ1037" s="28"/>
      <c r="AR1037" s="28"/>
      <c r="AS1037" s="28"/>
      <c r="AT1037" s="28"/>
      <c r="AU1037" s="28"/>
      <c r="AV1037" s="28"/>
      <c r="AW1037" s="28"/>
      <c r="AX1037" s="28"/>
      <c r="AY1037" s="28"/>
      <c r="AZ1037" s="28"/>
      <c r="BA1037" s="28"/>
      <c r="BB1037" s="28"/>
      <c r="BC1037" s="28"/>
      <c r="BD1037" s="28"/>
      <c r="BE1037" s="28"/>
    </row>
    <row r="1038" spans="2:57" ht="15.75" customHeight="1" x14ac:dyDescent="0.25">
      <c r="B1038" s="28"/>
      <c r="C1038" s="28"/>
      <c r="D1038" s="28"/>
      <c r="E1038" s="28"/>
      <c r="F1038" s="28"/>
      <c r="G1038" s="28"/>
      <c r="H1038" s="28"/>
      <c r="I1038" s="28"/>
      <c r="J1038" s="28"/>
      <c r="K1038" s="28"/>
      <c r="L1038" s="28"/>
      <c r="M1038" s="28"/>
      <c r="N1038" s="28"/>
      <c r="O1038" s="28"/>
      <c r="P1038" s="28"/>
      <c r="Q1038" s="28"/>
      <c r="R1038" s="28"/>
      <c r="S1038" s="28"/>
      <c r="T1038" s="28"/>
      <c r="U1038" s="28"/>
      <c r="V1038" s="28"/>
      <c r="W1038" s="28"/>
      <c r="X1038" s="28"/>
      <c r="Y1038" s="28"/>
      <c r="Z1038" s="28"/>
      <c r="AA1038" s="28"/>
      <c r="AB1038" s="28"/>
      <c r="AC1038" s="28"/>
      <c r="AD1038" s="28"/>
      <c r="AE1038" s="28"/>
      <c r="AF1038" s="28"/>
      <c r="AG1038" s="28"/>
      <c r="AH1038" s="28"/>
      <c r="AI1038" s="28"/>
      <c r="AJ1038" s="28"/>
      <c r="AK1038" s="28"/>
      <c r="AL1038" s="28"/>
      <c r="AM1038" s="28"/>
      <c r="AN1038" s="28"/>
      <c r="AO1038" s="28"/>
      <c r="AP1038" s="28"/>
      <c r="AQ1038" s="28"/>
      <c r="AR1038" s="28"/>
      <c r="AS1038" s="28"/>
      <c r="AT1038" s="28"/>
      <c r="AU1038" s="28"/>
      <c r="AV1038" s="28"/>
      <c r="AW1038" s="28"/>
      <c r="AX1038" s="28"/>
      <c r="AY1038" s="28"/>
      <c r="AZ1038" s="28"/>
      <c r="BA1038" s="28"/>
      <c r="BB1038" s="28"/>
      <c r="BC1038" s="28"/>
      <c r="BD1038" s="28"/>
      <c r="BE1038" s="28"/>
    </row>
    <row r="1039" spans="2:57" ht="15.75" customHeight="1" x14ac:dyDescent="0.25">
      <c r="B1039" s="28"/>
      <c r="C1039" s="28"/>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c r="Z1039" s="28"/>
      <c r="AA1039" s="28"/>
      <c r="AB1039" s="28"/>
      <c r="AC1039" s="28"/>
      <c r="AD1039" s="28"/>
      <c r="AE1039" s="28"/>
      <c r="AF1039" s="28"/>
      <c r="AG1039" s="28"/>
      <c r="AH1039" s="28"/>
      <c r="AI1039" s="28"/>
      <c r="AJ1039" s="28"/>
      <c r="AK1039" s="28"/>
      <c r="AL1039" s="28"/>
      <c r="AM1039" s="28"/>
      <c r="AN1039" s="28"/>
      <c r="AO1039" s="28"/>
      <c r="AP1039" s="28"/>
      <c r="AQ1039" s="28"/>
      <c r="AR1039" s="28"/>
      <c r="AS1039" s="28"/>
      <c r="AT1039" s="28"/>
      <c r="AU1039" s="28"/>
      <c r="AV1039" s="28"/>
      <c r="AW1039" s="28"/>
      <c r="AX1039" s="28"/>
      <c r="AY1039" s="28"/>
      <c r="AZ1039" s="28"/>
      <c r="BA1039" s="28"/>
      <c r="BB1039" s="28"/>
      <c r="BC1039" s="28"/>
      <c r="BD1039" s="28"/>
      <c r="BE1039" s="28"/>
    </row>
    <row r="1040" spans="2:57" ht="15.75" customHeight="1" x14ac:dyDescent="0.25">
      <c r="B1040" s="28"/>
      <c r="C1040" s="28"/>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c r="Z1040" s="28"/>
      <c r="AA1040" s="28"/>
      <c r="AB1040" s="28"/>
      <c r="AC1040" s="28"/>
      <c r="AD1040" s="28"/>
      <c r="AE1040" s="28"/>
      <c r="AF1040" s="28"/>
      <c r="AG1040" s="28"/>
      <c r="AH1040" s="28"/>
      <c r="AI1040" s="28"/>
      <c r="AJ1040" s="28"/>
      <c r="AK1040" s="28"/>
      <c r="AL1040" s="28"/>
      <c r="AM1040" s="28"/>
      <c r="AN1040" s="28"/>
      <c r="AO1040" s="28"/>
      <c r="AP1040" s="28"/>
      <c r="AQ1040" s="28"/>
      <c r="AR1040" s="28"/>
      <c r="AS1040" s="28"/>
      <c r="AT1040" s="28"/>
      <c r="AU1040" s="28"/>
      <c r="AV1040" s="28"/>
      <c r="AW1040" s="28"/>
      <c r="AX1040" s="28"/>
      <c r="AY1040" s="28"/>
      <c r="AZ1040" s="28"/>
      <c r="BA1040" s="28"/>
      <c r="BB1040" s="28"/>
      <c r="BC1040" s="28"/>
      <c r="BD1040" s="28"/>
      <c r="BE1040" s="28"/>
    </row>
    <row r="1041" spans="2:57" ht="15.75" customHeight="1" x14ac:dyDescent="0.25">
      <c r="B1041" s="28"/>
      <c r="C1041" s="28"/>
      <c r="D1041" s="28"/>
      <c r="E1041" s="28"/>
      <c r="F1041" s="28"/>
      <c r="G1041" s="28"/>
      <c r="H1041" s="28"/>
      <c r="I1041" s="28"/>
      <c r="J1041" s="28"/>
      <c r="K1041" s="28"/>
      <c r="L1041" s="28"/>
      <c r="M1041" s="28"/>
      <c r="N1041" s="28"/>
      <c r="O1041" s="28"/>
      <c r="P1041" s="28"/>
      <c r="Q1041" s="28"/>
      <c r="R1041" s="28"/>
      <c r="S1041" s="28"/>
      <c r="T1041" s="28"/>
      <c r="U1041" s="28"/>
      <c r="V1041" s="28"/>
      <c r="W1041" s="28"/>
      <c r="X1041" s="28"/>
      <c r="Y1041" s="28"/>
      <c r="Z1041" s="28"/>
      <c r="AA1041" s="28"/>
      <c r="AB1041" s="28"/>
      <c r="AC1041" s="28"/>
      <c r="AD1041" s="28"/>
      <c r="AE1041" s="28"/>
      <c r="AF1041" s="28"/>
      <c r="AG1041" s="28"/>
      <c r="AH1041" s="28"/>
      <c r="AI1041" s="28"/>
      <c r="AJ1041" s="28"/>
      <c r="AK1041" s="28"/>
      <c r="AL1041" s="28"/>
      <c r="AM1041" s="28"/>
      <c r="AN1041" s="28"/>
      <c r="AO1041" s="28"/>
      <c r="AP1041" s="28"/>
      <c r="AQ1041" s="28"/>
      <c r="AR1041" s="28"/>
      <c r="AS1041" s="28"/>
      <c r="AT1041" s="28"/>
      <c r="AU1041" s="28"/>
      <c r="AV1041" s="28"/>
      <c r="AW1041" s="28"/>
      <c r="AX1041" s="28"/>
      <c r="AY1041" s="28"/>
      <c r="AZ1041" s="28"/>
      <c r="BA1041" s="28"/>
      <c r="BB1041" s="28"/>
      <c r="BC1041" s="28"/>
      <c r="BD1041" s="28"/>
      <c r="BE1041" s="28"/>
    </row>
    <row r="1042" spans="2:57" ht="15.75" customHeight="1" x14ac:dyDescent="0.25">
      <c r="B1042" s="28"/>
      <c r="C1042" s="28"/>
      <c r="D1042" s="28"/>
      <c r="E1042" s="28"/>
      <c r="F1042" s="28"/>
      <c r="G1042" s="28"/>
      <c r="H1042" s="28"/>
      <c r="I1042" s="28"/>
      <c r="J1042" s="28"/>
      <c r="K1042" s="28"/>
      <c r="L1042" s="28"/>
      <c r="M1042" s="28"/>
      <c r="N1042" s="28"/>
      <c r="O1042" s="28"/>
      <c r="P1042" s="28"/>
      <c r="Q1042" s="28"/>
      <c r="R1042" s="28"/>
      <c r="S1042" s="28"/>
      <c r="T1042" s="28"/>
      <c r="U1042" s="28"/>
      <c r="V1042" s="28"/>
      <c r="W1042" s="28"/>
      <c r="X1042" s="28"/>
      <c r="Y1042" s="28"/>
      <c r="Z1042" s="28"/>
      <c r="AA1042" s="28"/>
      <c r="AB1042" s="28"/>
      <c r="AC1042" s="28"/>
      <c r="AD1042" s="28"/>
      <c r="AE1042" s="28"/>
      <c r="AF1042" s="28"/>
      <c r="AG1042" s="28"/>
      <c r="AH1042" s="28"/>
      <c r="AI1042" s="28"/>
      <c r="AJ1042" s="28"/>
      <c r="AK1042" s="28"/>
      <c r="AL1042" s="28"/>
      <c r="AM1042" s="28"/>
      <c r="AN1042" s="28"/>
      <c r="AO1042" s="28"/>
      <c r="AP1042" s="28"/>
      <c r="AQ1042" s="28"/>
      <c r="AR1042" s="28"/>
      <c r="AS1042" s="28"/>
      <c r="AT1042" s="28"/>
      <c r="AU1042" s="28"/>
      <c r="AV1042" s="28"/>
      <c r="AW1042" s="28"/>
      <c r="AX1042" s="28"/>
      <c r="AY1042" s="28"/>
      <c r="AZ1042" s="28"/>
      <c r="BA1042" s="28"/>
      <c r="BB1042" s="28"/>
      <c r="BC1042" s="28"/>
      <c r="BD1042" s="28"/>
      <c r="BE1042" s="28"/>
    </row>
    <row r="1043" spans="2:57" ht="15.75" customHeight="1" x14ac:dyDescent="0.25">
      <c r="B1043" s="28"/>
      <c r="C1043" s="28"/>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c r="Z1043" s="28"/>
      <c r="AA1043" s="28"/>
      <c r="AB1043" s="28"/>
      <c r="AC1043" s="28"/>
      <c r="AD1043" s="28"/>
      <c r="AE1043" s="28"/>
      <c r="AF1043" s="28"/>
      <c r="AG1043" s="28"/>
      <c r="AH1043" s="28"/>
      <c r="AI1043" s="28"/>
      <c r="AJ1043" s="28"/>
      <c r="AK1043" s="28"/>
      <c r="AL1043" s="28"/>
      <c r="AM1043" s="28"/>
      <c r="AN1043" s="28"/>
      <c r="AO1043" s="28"/>
      <c r="AP1043" s="28"/>
      <c r="AQ1043" s="28"/>
      <c r="AR1043" s="28"/>
      <c r="AS1043" s="28"/>
      <c r="AT1043" s="28"/>
      <c r="AU1043" s="28"/>
      <c r="AV1043" s="28"/>
      <c r="AW1043" s="28"/>
      <c r="AX1043" s="28"/>
      <c r="AY1043" s="28"/>
      <c r="AZ1043" s="28"/>
      <c r="BA1043" s="28"/>
      <c r="BB1043" s="28"/>
      <c r="BC1043" s="28"/>
      <c r="BD1043" s="28"/>
      <c r="BE1043" s="28"/>
    </row>
    <row r="1044" spans="2:57" ht="15.75" customHeight="1" x14ac:dyDescent="0.25">
      <c r="B1044" s="28"/>
      <c r="C1044" s="28"/>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c r="Z1044" s="28"/>
      <c r="AA1044" s="28"/>
      <c r="AB1044" s="28"/>
      <c r="AC1044" s="28"/>
      <c r="AD1044" s="28"/>
      <c r="AE1044" s="28"/>
      <c r="AF1044" s="28"/>
      <c r="AG1044" s="28"/>
      <c r="AH1044" s="28"/>
      <c r="AI1044" s="28"/>
      <c r="AJ1044" s="28"/>
      <c r="AK1044" s="28"/>
      <c r="AL1044" s="28"/>
      <c r="AM1044" s="28"/>
      <c r="AN1044" s="28"/>
      <c r="AO1044" s="28"/>
      <c r="AP1044" s="28"/>
      <c r="AQ1044" s="28"/>
      <c r="AR1044" s="28"/>
      <c r="AS1044" s="28"/>
      <c r="AT1044" s="28"/>
      <c r="AU1044" s="28"/>
      <c r="AV1044" s="28"/>
      <c r="AW1044" s="28"/>
      <c r="AX1044" s="28"/>
      <c r="AY1044" s="28"/>
      <c r="AZ1044" s="28"/>
      <c r="BA1044" s="28"/>
      <c r="BB1044" s="28"/>
      <c r="BC1044" s="28"/>
      <c r="BD1044" s="28"/>
      <c r="BE1044" s="28"/>
    </row>
    <row r="1045" spans="2:57" ht="15.75" customHeight="1" x14ac:dyDescent="0.25">
      <c r="B1045" s="28"/>
      <c r="C1045" s="28"/>
      <c r="D1045" s="28"/>
      <c r="E1045" s="28"/>
      <c r="F1045" s="28"/>
      <c r="G1045" s="28"/>
      <c r="H1045" s="28"/>
      <c r="I1045" s="28"/>
      <c r="J1045" s="28"/>
      <c r="K1045" s="28"/>
      <c r="L1045" s="28"/>
      <c r="M1045" s="28"/>
      <c r="N1045" s="28"/>
      <c r="O1045" s="28"/>
      <c r="P1045" s="28"/>
      <c r="Q1045" s="28"/>
      <c r="R1045" s="28"/>
      <c r="S1045" s="28"/>
      <c r="T1045" s="28"/>
      <c r="U1045" s="28"/>
      <c r="V1045" s="28"/>
      <c r="W1045" s="28"/>
      <c r="X1045" s="28"/>
      <c r="Y1045" s="28"/>
      <c r="Z1045" s="28"/>
      <c r="AA1045" s="28"/>
      <c r="AB1045" s="28"/>
      <c r="AC1045" s="28"/>
      <c r="AD1045" s="28"/>
      <c r="AE1045" s="28"/>
      <c r="AF1045" s="28"/>
      <c r="AG1045" s="28"/>
      <c r="AH1045" s="28"/>
      <c r="AI1045" s="28"/>
      <c r="AJ1045" s="28"/>
      <c r="AK1045" s="28"/>
      <c r="AL1045" s="28"/>
      <c r="AM1045" s="28"/>
      <c r="AN1045" s="28"/>
      <c r="AO1045" s="28"/>
      <c r="AP1045" s="28"/>
      <c r="AQ1045" s="28"/>
      <c r="AR1045" s="28"/>
      <c r="AS1045" s="28"/>
      <c r="AT1045" s="28"/>
      <c r="AU1045" s="28"/>
      <c r="AV1045" s="28"/>
      <c r="AW1045" s="28"/>
      <c r="AX1045" s="28"/>
      <c r="AY1045" s="28"/>
      <c r="AZ1045" s="28"/>
      <c r="BA1045" s="28"/>
      <c r="BB1045" s="28"/>
      <c r="BC1045" s="28"/>
      <c r="BD1045" s="28"/>
      <c r="BE1045" s="28"/>
    </row>
    <row r="1046" spans="2:57" ht="15.75" customHeight="1" x14ac:dyDescent="0.25">
      <c r="B1046" s="28"/>
      <c r="C1046" s="28"/>
      <c r="D1046" s="28"/>
      <c r="E1046" s="28"/>
      <c r="F1046" s="28"/>
      <c r="G1046" s="28"/>
      <c r="H1046" s="28"/>
      <c r="I1046" s="28"/>
      <c r="J1046" s="28"/>
      <c r="K1046" s="28"/>
      <c r="L1046" s="28"/>
      <c r="M1046" s="28"/>
      <c r="N1046" s="28"/>
      <c r="O1046" s="28"/>
      <c r="P1046" s="28"/>
      <c r="Q1046" s="28"/>
      <c r="R1046" s="28"/>
      <c r="S1046" s="28"/>
      <c r="T1046" s="28"/>
      <c r="U1046" s="28"/>
      <c r="V1046" s="28"/>
      <c r="W1046" s="28"/>
      <c r="X1046" s="28"/>
      <c r="Y1046" s="28"/>
      <c r="Z1046" s="28"/>
      <c r="AA1046" s="28"/>
      <c r="AB1046" s="28"/>
      <c r="AC1046" s="28"/>
      <c r="AD1046" s="28"/>
      <c r="AE1046" s="28"/>
      <c r="AF1046" s="28"/>
      <c r="AG1046" s="28"/>
      <c r="AH1046" s="28"/>
      <c r="AI1046" s="28"/>
      <c r="AJ1046" s="28"/>
      <c r="AK1046" s="28"/>
      <c r="AL1046" s="28"/>
      <c r="AM1046" s="28"/>
      <c r="AN1046" s="28"/>
      <c r="AO1046" s="28"/>
      <c r="AP1046" s="28"/>
      <c r="AQ1046" s="28"/>
      <c r="AR1046" s="28"/>
      <c r="AS1046" s="28"/>
      <c r="AT1046" s="28"/>
      <c r="AU1046" s="28"/>
      <c r="AV1046" s="28"/>
      <c r="AW1046" s="28"/>
      <c r="AX1046" s="28"/>
      <c r="AY1046" s="28"/>
      <c r="AZ1046" s="28"/>
      <c r="BA1046" s="28"/>
      <c r="BB1046" s="28"/>
      <c r="BC1046" s="28"/>
      <c r="BD1046" s="28"/>
      <c r="BE1046" s="28"/>
    </row>
    <row r="1047" spans="2:57" ht="15.75" customHeight="1" x14ac:dyDescent="0.25">
      <c r="B1047" s="28"/>
      <c r="C1047" s="28"/>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c r="Z1047" s="28"/>
      <c r="AA1047" s="28"/>
      <c r="AB1047" s="28"/>
      <c r="AC1047" s="28"/>
      <c r="AD1047" s="28"/>
      <c r="AE1047" s="28"/>
      <c r="AF1047" s="28"/>
      <c r="AG1047" s="28"/>
      <c r="AH1047" s="28"/>
      <c r="AI1047" s="28"/>
      <c r="AJ1047" s="28"/>
      <c r="AK1047" s="28"/>
      <c r="AL1047" s="28"/>
      <c r="AM1047" s="28"/>
      <c r="AN1047" s="28"/>
      <c r="AO1047" s="28"/>
      <c r="AP1047" s="28"/>
      <c r="AQ1047" s="28"/>
      <c r="AR1047" s="28"/>
      <c r="AS1047" s="28"/>
      <c r="AT1047" s="28"/>
      <c r="AU1047" s="28"/>
      <c r="AV1047" s="28"/>
      <c r="AW1047" s="28"/>
      <c r="AX1047" s="28"/>
      <c r="AY1047" s="28"/>
      <c r="AZ1047" s="28"/>
      <c r="BA1047" s="28"/>
      <c r="BB1047" s="28"/>
      <c r="BC1047" s="28"/>
      <c r="BD1047" s="28"/>
      <c r="BE1047" s="28"/>
    </row>
    <row r="1048" spans="2:57" ht="15.75" customHeight="1" x14ac:dyDescent="0.25">
      <c r="B1048" s="28"/>
      <c r="C1048" s="28"/>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c r="Z1048" s="28"/>
      <c r="AA1048" s="28"/>
      <c r="AB1048" s="28"/>
      <c r="AC1048" s="28"/>
      <c r="AD1048" s="28"/>
      <c r="AE1048" s="28"/>
      <c r="AF1048" s="28"/>
      <c r="AG1048" s="28"/>
      <c r="AH1048" s="28"/>
      <c r="AI1048" s="28"/>
      <c r="AJ1048" s="28"/>
      <c r="AK1048" s="28"/>
      <c r="AL1048" s="28"/>
      <c r="AM1048" s="28"/>
      <c r="AN1048" s="28"/>
      <c r="AO1048" s="28"/>
      <c r="AP1048" s="28"/>
      <c r="AQ1048" s="28"/>
      <c r="AR1048" s="28"/>
      <c r="AS1048" s="28"/>
      <c r="AT1048" s="28"/>
      <c r="AU1048" s="28"/>
      <c r="AV1048" s="28"/>
      <c r="AW1048" s="28"/>
      <c r="AX1048" s="28"/>
      <c r="AY1048" s="28"/>
      <c r="AZ1048" s="28"/>
      <c r="BA1048" s="28"/>
      <c r="BB1048" s="28"/>
      <c r="BC1048" s="28"/>
      <c r="BD1048" s="28"/>
      <c r="BE1048" s="28"/>
    </row>
    <row r="1049" spans="2:57" ht="15.75" customHeight="1" x14ac:dyDescent="0.25">
      <c r="B1049" s="28"/>
      <c r="C1049" s="28"/>
      <c r="D1049" s="28"/>
      <c r="E1049" s="28"/>
      <c r="F1049" s="28"/>
      <c r="G1049" s="28"/>
      <c r="H1049" s="28"/>
      <c r="I1049" s="28"/>
      <c r="J1049" s="28"/>
      <c r="K1049" s="28"/>
      <c r="L1049" s="28"/>
      <c r="M1049" s="28"/>
      <c r="N1049" s="28"/>
      <c r="O1049" s="28"/>
      <c r="P1049" s="28"/>
      <c r="Q1049" s="28"/>
      <c r="R1049" s="28"/>
      <c r="S1049" s="28"/>
      <c r="T1049" s="28"/>
      <c r="U1049" s="28"/>
      <c r="V1049" s="28"/>
      <c r="W1049" s="28"/>
      <c r="X1049" s="28"/>
      <c r="Y1049" s="28"/>
      <c r="Z1049" s="28"/>
      <c r="AA1049" s="28"/>
      <c r="AB1049" s="28"/>
      <c r="AC1049" s="28"/>
      <c r="AD1049" s="28"/>
      <c r="AE1049" s="28"/>
      <c r="AF1049" s="28"/>
      <c r="AG1049" s="28"/>
      <c r="AH1049" s="28"/>
      <c r="AI1049" s="28"/>
      <c r="AJ1049" s="28"/>
      <c r="AK1049" s="28"/>
      <c r="AL1049" s="28"/>
      <c r="AM1049" s="28"/>
      <c r="AN1049" s="28"/>
      <c r="AO1049" s="28"/>
      <c r="AP1049" s="28"/>
      <c r="AQ1049" s="28"/>
      <c r="AR1049" s="28"/>
      <c r="AS1049" s="28"/>
      <c r="AT1049" s="28"/>
      <c r="AU1049" s="28"/>
      <c r="AV1049" s="28"/>
      <c r="AW1049" s="28"/>
      <c r="AX1049" s="28"/>
      <c r="AY1049" s="28"/>
      <c r="AZ1049" s="28"/>
      <c r="BA1049" s="28"/>
      <c r="BB1049" s="28"/>
      <c r="BC1049" s="28"/>
      <c r="BD1049" s="28"/>
      <c r="BE1049" s="28"/>
    </row>
    <row r="1050" spans="2:57" ht="15.75" customHeight="1" x14ac:dyDescent="0.25">
      <c r="B1050" s="28"/>
      <c r="C1050" s="28"/>
      <c r="D1050" s="28"/>
      <c r="E1050" s="28"/>
      <c r="F1050" s="28"/>
      <c r="G1050" s="28"/>
      <c r="H1050" s="28"/>
      <c r="I1050" s="28"/>
      <c r="J1050" s="28"/>
      <c r="K1050" s="28"/>
      <c r="L1050" s="28"/>
      <c r="M1050" s="28"/>
      <c r="N1050" s="28"/>
      <c r="O1050" s="28"/>
      <c r="P1050" s="28"/>
      <c r="Q1050" s="28"/>
      <c r="R1050" s="28"/>
      <c r="S1050" s="28"/>
      <c r="T1050" s="28"/>
      <c r="U1050" s="28"/>
      <c r="V1050" s="28"/>
      <c r="W1050" s="28"/>
      <c r="X1050" s="28"/>
      <c r="Y1050" s="28"/>
      <c r="Z1050" s="28"/>
      <c r="AA1050" s="28"/>
      <c r="AB1050" s="28"/>
      <c r="AC1050" s="28"/>
      <c r="AD1050" s="28"/>
      <c r="AE1050" s="28"/>
      <c r="AF1050" s="28"/>
      <c r="AG1050" s="28"/>
      <c r="AH1050" s="28"/>
      <c r="AI1050" s="28"/>
      <c r="AJ1050" s="28"/>
      <c r="AK1050" s="28"/>
      <c r="AL1050" s="28"/>
      <c r="AM1050" s="28"/>
      <c r="AN1050" s="28"/>
      <c r="AO1050" s="28"/>
      <c r="AP1050" s="28"/>
      <c r="AQ1050" s="28"/>
      <c r="AR1050" s="28"/>
      <c r="AS1050" s="28"/>
      <c r="AT1050" s="28"/>
      <c r="AU1050" s="28"/>
      <c r="AV1050" s="28"/>
      <c r="AW1050" s="28"/>
      <c r="AX1050" s="28"/>
      <c r="AY1050" s="28"/>
      <c r="AZ1050" s="28"/>
      <c r="BA1050" s="28"/>
      <c r="BB1050" s="28"/>
      <c r="BC1050" s="28"/>
      <c r="BD1050" s="28"/>
      <c r="BE1050" s="28"/>
    </row>
    <row r="1051" spans="2:57" ht="15.75" customHeight="1" x14ac:dyDescent="0.25">
      <c r="B1051" s="28"/>
      <c r="C1051" s="28"/>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c r="Z1051" s="28"/>
      <c r="AA1051" s="28"/>
      <c r="AB1051" s="28"/>
      <c r="AC1051" s="28"/>
      <c r="AD1051" s="28"/>
      <c r="AE1051" s="28"/>
      <c r="AF1051" s="28"/>
      <c r="AG1051" s="28"/>
      <c r="AH1051" s="28"/>
      <c r="AI1051" s="28"/>
      <c r="AJ1051" s="28"/>
      <c r="AK1051" s="28"/>
      <c r="AL1051" s="28"/>
      <c r="AM1051" s="28"/>
      <c r="AN1051" s="28"/>
      <c r="AO1051" s="28"/>
      <c r="AP1051" s="28"/>
      <c r="AQ1051" s="28"/>
      <c r="AR1051" s="28"/>
      <c r="AS1051" s="28"/>
      <c r="AT1051" s="28"/>
      <c r="AU1051" s="28"/>
      <c r="AV1051" s="28"/>
      <c r="AW1051" s="28"/>
      <c r="AX1051" s="28"/>
      <c r="AY1051" s="28"/>
      <c r="AZ1051" s="28"/>
      <c r="BA1051" s="28"/>
      <c r="BB1051" s="28"/>
      <c r="BC1051" s="28"/>
      <c r="BD1051" s="28"/>
      <c r="BE1051" s="28"/>
    </row>
    <row r="1052" spans="2:57" ht="15.75" customHeight="1" x14ac:dyDescent="0.25">
      <c r="B1052" s="28"/>
      <c r="C1052" s="28"/>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c r="Z1052" s="28"/>
      <c r="AA1052" s="28"/>
      <c r="AB1052" s="28"/>
      <c r="AC1052" s="28"/>
      <c r="AD1052" s="28"/>
      <c r="AE1052" s="28"/>
      <c r="AF1052" s="28"/>
      <c r="AG1052" s="28"/>
      <c r="AH1052" s="28"/>
      <c r="AI1052" s="28"/>
      <c r="AJ1052" s="28"/>
      <c r="AK1052" s="28"/>
      <c r="AL1052" s="28"/>
      <c r="AM1052" s="28"/>
      <c r="AN1052" s="28"/>
      <c r="AO1052" s="28"/>
      <c r="AP1052" s="28"/>
      <c r="AQ1052" s="28"/>
      <c r="AR1052" s="28"/>
      <c r="AS1052" s="28"/>
      <c r="AT1052" s="28"/>
      <c r="AU1052" s="28"/>
      <c r="AV1052" s="28"/>
      <c r="AW1052" s="28"/>
      <c r="AX1052" s="28"/>
      <c r="AY1052" s="28"/>
      <c r="AZ1052" s="28"/>
      <c r="BA1052" s="28"/>
      <c r="BB1052" s="28"/>
      <c r="BC1052" s="28"/>
      <c r="BD1052" s="28"/>
      <c r="BE1052" s="28"/>
    </row>
    <row r="1053" spans="2:57" ht="15.75" customHeight="1" x14ac:dyDescent="0.25">
      <c r="B1053" s="28"/>
      <c r="C1053" s="28"/>
      <c r="D1053" s="28"/>
      <c r="E1053" s="28"/>
      <c r="F1053" s="28"/>
      <c r="G1053" s="28"/>
      <c r="H1053" s="28"/>
      <c r="I1053" s="28"/>
      <c r="J1053" s="28"/>
      <c r="K1053" s="28"/>
      <c r="L1053" s="28"/>
      <c r="M1053" s="28"/>
      <c r="N1053" s="28"/>
      <c r="O1053" s="28"/>
      <c r="P1053" s="28"/>
      <c r="Q1053" s="28"/>
      <c r="R1053" s="28"/>
      <c r="S1053" s="28"/>
      <c r="T1053" s="28"/>
      <c r="U1053" s="28"/>
      <c r="V1053" s="28"/>
      <c r="W1053" s="28"/>
      <c r="X1053" s="28"/>
      <c r="Y1053" s="28"/>
      <c r="Z1053" s="28"/>
      <c r="AA1053" s="28"/>
      <c r="AB1053" s="28"/>
      <c r="AC1053" s="28"/>
      <c r="AD1053" s="28"/>
      <c r="AE1053" s="28"/>
      <c r="AF1053" s="28"/>
      <c r="AG1053" s="28"/>
      <c r="AH1053" s="28"/>
      <c r="AI1053" s="28"/>
      <c r="AJ1053" s="28"/>
      <c r="AK1053" s="28"/>
      <c r="AL1053" s="28"/>
      <c r="AM1053" s="28"/>
      <c r="AN1053" s="28"/>
      <c r="AO1053" s="28"/>
      <c r="AP1053" s="28"/>
      <c r="AQ1053" s="28"/>
      <c r="AR1053" s="28"/>
      <c r="AS1053" s="28"/>
      <c r="AT1053" s="28"/>
      <c r="AU1053" s="28"/>
      <c r="AV1053" s="28"/>
      <c r="AW1053" s="28"/>
      <c r="AX1053" s="28"/>
      <c r="AY1053" s="28"/>
      <c r="AZ1053" s="28"/>
      <c r="BA1053" s="28"/>
      <c r="BB1053" s="28"/>
      <c r="BC1053" s="28"/>
      <c r="BD1053" s="28"/>
      <c r="BE1053" s="28"/>
    </row>
    <row r="1054" spans="2:57" ht="15.75" customHeight="1" x14ac:dyDescent="0.25">
      <c r="B1054" s="28"/>
      <c r="C1054" s="28"/>
      <c r="D1054" s="28"/>
      <c r="E1054" s="28"/>
      <c r="F1054" s="28"/>
      <c r="G1054" s="28"/>
      <c r="H1054" s="28"/>
      <c r="I1054" s="28"/>
      <c r="J1054" s="28"/>
      <c r="K1054" s="28"/>
      <c r="L1054" s="28"/>
      <c r="M1054" s="28"/>
      <c r="N1054" s="28"/>
      <c r="O1054" s="28"/>
      <c r="P1054" s="28"/>
      <c r="Q1054" s="28"/>
      <c r="R1054" s="28"/>
      <c r="S1054" s="28"/>
      <c r="T1054" s="28"/>
      <c r="U1054" s="28"/>
      <c r="V1054" s="28"/>
      <c r="W1054" s="28"/>
      <c r="X1054" s="28"/>
      <c r="Y1054" s="28"/>
      <c r="Z1054" s="28"/>
      <c r="AA1054" s="28"/>
      <c r="AB1054" s="28"/>
      <c r="AC1054" s="28"/>
      <c r="AD1054" s="28"/>
      <c r="AE1054" s="28"/>
      <c r="AF1054" s="28"/>
      <c r="AG1054" s="28"/>
      <c r="AH1054" s="28"/>
      <c r="AI1054" s="28"/>
      <c r="AJ1054" s="28"/>
      <c r="AK1054" s="28"/>
      <c r="AL1054" s="28"/>
      <c r="AM1054" s="28"/>
      <c r="AN1054" s="28"/>
      <c r="AO1054" s="28"/>
      <c r="AP1054" s="28"/>
      <c r="AQ1054" s="28"/>
      <c r="AR1054" s="28"/>
      <c r="AS1054" s="28"/>
      <c r="AT1054" s="28"/>
      <c r="AU1054" s="28"/>
      <c r="AV1054" s="28"/>
      <c r="AW1054" s="28"/>
      <c r="AX1054" s="28"/>
      <c r="AY1054" s="28"/>
      <c r="AZ1054" s="28"/>
      <c r="BA1054" s="28"/>
      <c r="BB1054" s="28"/>
      <c r="BC1054" s="28"/>
      <c r="BD1054" s="28"/>
      <c r="BE1054" s="28"/>
    </row>
    <row r="1055" spans="2:57" ht="15.75" customHeight="1" x14ac:dyDescent="0.25">
      <c r="B1055" s="28"/>
      <c r="C1055" s="28"/>
      <c r="D1055" s="28"/>
      <c r="E1055" s="28"/>
      <c r="F1055" s="28"/>
      <c r="G1055" s="28"/>
      <c r="H1055" s="28"/>
      <c r="I1055" s="28"/>
      <c r="J1055" s="28"/>
      <c r="K1055" s="28"/>
      <c r="L1055" s="28"/>
      <c r="M1055" s="28"/>
      <c r="N1055" s="28"/>
      <c r="O1055" s="28"/>
      <c r="P1055" s="28"/>
      <c r="Q1055" s="28"/>
      <c r="R1055" s="28"/>
      <c r="S1055" s="28"/>
      <c r="T1055" s="28"/>
      <c r="U1055" s="28"/>
      <c r="V1055" s="28"/>
      <c r="W1055" s="28"/>
      <c r="X1055" s="28"/>
      <c r="Y1055" s="28"/>
      <c r="Z1055" s="28"/>
      <c r="AA1055" s="28"/>
      <c r="AB1055" s="28"/>
      <c r="AC1055" s="28"/>
      <c r="AD1055" s="28"/>
      <c r="AE1055" s="28"/>
      <c r="AF1055" s="28"/>
      <c r="AG1055" s="28"/>
      <c r="AH1055" s="28"/>
      <c r="AI1055" s="28"/>
      <c r="AJ1055" s="28"/>
      <c r="AK1055" s="28"/>
      <c r="AL1055" s="28"/>
      <c r="AM1055" s="28"/>
      <c r="AN1055" s="28"/>
      <c r="AO1055" s="28"/>
      <c r="AP1055" s="28"/>
      <c r="AQ1055" s="28"/>
      <c r="AR1055" s="28"/>
      <c r="AS1055" s="28"/>
      <c r="AT1055" s="28"/>
      <c r="AU1055" s="28"/>
      <c r="AV1055" s="28"/>
      <c r="AW1055" s="28"/>
      <c r="AX1055" s="28"/>
      <c r="AY1055" s="28"/>
      <c r="AZ1055" s="28"/>
      <c r="BA1055" s="28"/>
      <c r="BB1055" s="28"/>
      <c r="BC1055" s="28"/>
      <c r="BD1055" s="28"/>
      <c r="BE1055" s="28"/>
    </row>
    <row r="1056" spans="2:57" ht="15.75" customHeight="1" x14ac:dyDescent="0.25">
      <c r="B1056" s="28"/>
      <c r="C1056" s="28"/>
      <c r="D1056" s="28"/>
      <c r="E1056" s="28"/>
      <c r="F1056" s="28"/>
      <c r="G1056" s="28"/>
      <c r="H1056" s="28"/>
      <c r="I1056" s="28"/>
      <c r="J1056" s="28"/>
      <c r="K1056" s="28"/>
      <c r="L1056" s="28"/>
      <c r="M1056" s="28"/>
      <c r="N1056" s="28"/>
      <c r="O1056" s="28"/>
      <c r="P1056" s="28"/>
      <c r="Q1056" s="28"/>
      <c r="R1056" s="28"/>
      <c r="S1056" s="28"/>
      <c r="T1056" s="28"/>
      <c r="U1056" s="28"/>
      <c r="V1056" s="28"/>
      <c r="W1056" s="28"/>
      <c r="X1056" s="28"/>
      <c r="Y1056" s="28"/>
      <c r="Z1056" s="28"/>
      <c r="AA1056" s="28"/>
      <c r="AB1056" s="28"/>
      <c r="AC1056" s="28"/>
      <c r="AD1056" s="28"/>
      <c r="AE1056" s="28"/>
      <c r="AF1056" s="28"/>
      <c r="AG1056" s="28"/>
      <c r="AH1056" s="28"/>
      <c r="AI1056" s="28"/>
      <c r="AJ1056" s="28"/>
      <c r="AK1056" s="28"/>
      <c r="AL1056" s="28"/>
      <c r="AM1056" s="28"/>
      <c r="AN1056" s="28"/>
      <c r="AO1056" s="28"/>
      <c r="AP1056" s="28"/>
      <c r="AQ1056" s="28"/>
      <c r="AR1056" s="28"/>
      <c r="AS1056" s="28"/>
      <c r="AT1056" s="28"/>
      <c r="AU1056" s="28"/>
      <c r="AV1056" s="28"/>
      <c r="AW1056" s="28"/>
      <c r="AX1056" s="28"/>
      <c r="AY1056" s="28"/>
      <c r="AZ1056" s="28"/>
      <c r="BA1056" s="28"/>
      <c r="BB1056" s="28"/>
      <c r="BC1056" s="28"/>
      <c r="BD1056" s="28"/>
      <c r="BE1056" s="28"/>
    </row>
    <row r="1057" spans="2:57" ht="15.75" customHeight="1" x14ac:dyDescent="0.25">
      <c r="B1057" s="28"/>
      <c r="C1057" s="28"/>
      <c r="D1057" s="28"/>
      <c r="E1057" s="28"/>
      <c r="F1057" s="28"/>
      <c r="G1057" s="28"/>
      <c r="H1057" s="28"/>
      <c r="I1057" s="28"/>
      <c r="J1057" s="28"/>
      <c r="K1057" s="28"/>
      <c r="L1057" s="28"/>
      <c r="M1057" s="28"/>
      <c r="N1057" s="28"/>
      <c r="O1057" s="28"/>
      <c r="P1057" s="28"/>
      <c r="Q1057" s="28"/>
      <c r="R1057" s="28"/>
      <c r="S1057" s="28"/>
      <c r="T1057" s="28"/>
      <c r="U1057" s="28"/>
      <c r="V1057" s="28"/>
      <c r="W1057" s="28"/>
      <c r="X1057" s="28"/>
      <c r="Y1057" s="28"/>
      <c r="Z1057" s="28"/>
      <c r="AA1057" s="28"/>
      <c r="AB1057" s="28"/>
      <c r="AC1057" s="28"/>
      <c r="AD1057" s="28"/>
      <c r="AE1057" s="28"/>
      <c r="AF1057" s="28"/>
      <c r="AG1057" s="28"/>
      <c r="AH1057" s="28"/>
      <c r="AI1057" s="28"/>
      <c r="AJ1057" s="28"/>
      <c r="AK1057" s="28"/>
      <c r="AL1057" s="28"/>
      <c r="AM1057" s="28"/>
      <c r="AN1057" s="28"/>
      <c r="AO1057" s="28"/>
      <c r="AP1057" s="28"/>
      <c r="AQ1057" s="28"/>
      <c r="AR1057" s="28"/>
      <c r="AS1057" s="28"/>
      <c r="AT1057" s="28"/>
      <c r="AU1057" s="28"/>
      <c r="AV1057" s="28"/>
      <c r="AW1057" s="28"/>
      <c r="AX1057" s="28"/>
      <c r="AY1057" s="28"/>
      <c r="AZ1057" s="28"/>
      <c r="BA1057" s="28"/>
      <c r="BB1057" s="28"/>
      <c r="BC1057" s="28"/>
      <c r="BD1057" s="28"/>
      <c r="BE1057" s="28"/>
    </row>
    <row r="1058" spans="2:57" ht="15.75" customHeight="1" x14ac:dyDescent="0.25">
      <c r="B1058" s="28"/>
      <c r="C1058" s="28"/>
      <c r="D1058" s="28"/>
      <c r="E1058" s="28"/>
      <c r="F1058" s="28"/>
      <c r="G1058" s="28"/>
      <c r="H1058" s="28"/>
      <c r="I1058" s="28"/>
      <c r="J1058" s="28"/>
      <c r="K1058" s="28"/>
      <c r="L1058" s="28"/>
      <c r="M1058" s="28"/>
      <c r="N1058" s="28"/>
      <c r="O1058" s="28"/>
      <c r="P1058" s="28"/>
      <c r="Q1058" s="28"/>
      <c r="R1058" s="28"/>
      <c r="S1058" s="28"/>
      <c r="T1058" s="28"/>
      <c r="U1058" s="28"/>
      <c r="V1058" s="28"/>
      <c r="W1058" s="28"/>
      <c r="X1058" s="28"/>
      <c r="Y1058" s="28"/>
      <c r="Z1058" s="28"/>
      <c r="AA1058" s="28"/>
      <c r="AB1058" s="28"/>
      <c r="AC1058" s="28"/>
      <c r="AD1058" s="28"/>
      <c r="AE1058" s="28"/>
      <c r="AF1058" s="28"/>
      <c r="AG1058" s="28"/>
      <c r="AH1058" s="28"/>
      <c r="AI1058" s="28"/>
      <c r="AJ1058" s="28"/>
      <c r="AK1058" s="28"/>
      <c r="AL1058" s="28"/>
      <c r="AM1058" s="28"/>
      <c r="AN1058" s="28"/>
      <c r="AO1058" s="28"/>
      <c r="AP1058" s="28"/>
      <c r="AQ1058" s="28"/>
      <c r="AR1058" s="28"/>
      <c r="AS1058" s="28"/>
      <c r="AT1058" s="28"/>
      <c r="AU1058" s="28"/>
      <c r="AV1058" s="28"/>
      <c r="AW1058" s="28"/>
      <c r="AX1058" s="28"/>
      <c r="AY1058" s="28"/>
      <c r="AZ1058" s="28"/>
      <c r="BA1058" s="28"/>
      <c r="BB1058" s="28"/>
      <c r="BC1058" s="28"/>
      <c r="BD1058" s="28"/>
      <c r="BE1058" s="28"/>
    </row>
    <row r="1059" spans="2:57" ht="15.75" customHeight="1" x14ac:dyDescent="0.25">
      <c r="B1059" s="28"/>
      <c r="C1059" s="28"/>
      <c r="D1059" s="28"/>
      <c r="E1059" s="28"/>
      <c r="F1059" s="28"/>
      <c r="G1059" s="28"/>
      <c r="H1059" s="28"/>
      <c r="I1059" s="28"/>
      <c r="J1059" s="28"/>
      <c r="K1059" s="28"/>
      <c r="L1059" s="28"/>
      <c r="M1059" s="28"/>
      <c r="N1059" s="28"/>
      <c r="O1059" s="28"/>
      <c r="P1059" s="28"/>
      <c r="Q1059" s="28"/>
      <c r="R1059" s="28"/>
      <c r="S1059" s="28"/>
      <c r="T1059" s="28"/>
      <c r="U1059" s="28"/>
      <c r="V1059" s="28"/>
      <c r="W1059" s="28"/>
      <c r="X1059" s="28"/>
      <c r="Y1059" s="28"/>
      <c r="Z1059" s="28"/>
      <c r="AA1059" s="28"/>
      <c r="AB1059" s="28"/>
      <c r="AC1059" s="28"/>
      <c r="AD1059" s="28"/>
      <c r="AE1059" s="28"/>
      <c r="AF1059" s="28"/>
      <c r="AG1059" s="28"/>
      <c r="AH1059" s="28"/>
      <c r="AI1059" s="28"/>
      <c r="AJ1059" s="28"/>
      <c r="AK1059" s="28"/>
      <c r="AL1059" s="28"/>
      <c r="AM1059" s="28"/>
      <c r="AN1059" s="28"/>
      <c r="AO1059" s="28"/>
      <c r="AP1059" s="28"/>
      <c r="AQ1059" s="28"/>
      <c r="AR1059" s="28"/>
      <c r="AS1059" s="28"/>
      <c r="AT1059" s="28"/>
      <c r="AU1059" s="28"/>
      <c r="AV1059" s="28"/>
      <c r="AW1059" s="28"/>
      <c r="AX1059" s="28"/>
      <c r="AY1059" s="28"/>
      <c r="AZ1059" s="28"/>
      <c r="BA1059" s="28"/>
      <c r="BB1059" s="28"/>
      <c r="BC1059" s="28"/>
      <c r="BD1059" s="28"/>
      <c r="BE1059" s="28"/>
    </row>
    <row r="1060" spans="2:57" ht="15.75" customHeight="1" x14ac:dyDescent="0.25">
      <c r="B1060" s="28"/>
      <c r="C1060" s="28"/>
      <c r="D1060" s="28"/>
      <c r="E1060" s="28"/>
      <c r="F1060" s="28"/>
      <c r="G1060" s="28"/>
      <c r="H1060" s="28"/>
      <c r="I1060" s="28"/>
      <c r="J1060" s="28"/>
      <c r="K1060" s="28"/>
      <c r="L1060" s="28"/>
      <c r="M1060" s="28"/>
      <c r="N1060" s="28"/>
      <c r="O1060" s="28"/>
      <c r="P1060" s="28"/>
      <c r="Q1060" s="28"/>
      <c r="R1060" s="28"/>
      <c r="S1060" s="28"/>
      <c r="T1060" s="28"/>
      <c r="U1060" s="28"/>
      <c r="V1060" s="28"/>
      <c r="W1060" s="28"/>
      <c r="X1060" s="28"/>
      <c r="Y1060" s="28"/>
      <c r="Z1060" s="28"/>
      <c r="AA1060" s="28"/>
      <c r="AB1060" s="28"/>
      <c r="AC1060" s="28"/>
      <c r="AD1060" s="28"/>
      <c r="AE1060" s="28"/>
      <c r="AF1060" s="28"/>
      <c r="AG1060" s="28"/>
      <c r="AH1060" s="28"/>
      <c r="AI1060" s="28"/>
      <c r="AJ1060" s="28"/>
      <c r="AK1060" s="28"/>
      <c r="AL1060" s="28"/>
      <c r="AM1060" s="28"/>
      <c r="AN1060" s="28"/>
      <c r="AO1060" s="28"/>
      <c r="AP1060" s="28"/>
      <c r="AQ1060" s="28"/>
      <c r="AR1060" s="28"/>
      <c r="AS1060" s="28"/>
      <c r="AT1060" s="28"/>
      <c r="AU1060" s="28"/>
      <c r="AV1060" s="28"/>
      <c r="AW1060" s="28"/>
      <c r="AX1060" s="28"/>
      <c r="AY1060" s="28"/>
      <c r="AZ1060" s="28"/>
      <c r="BA1060" s="28"/>
      <c r="BB1060" s="28"/>
      <c r="BC1060" s="28"/>
      <c r="BD1060" s="28"/>
      <c r="BE1060" s="28"/>
    </row>
    <row r="1061" spans="2:57" ht="15.75" customHeight="1" x14ac:dyDescent="0.25">
      <c r="B1061" s="28"/>
      <c r="C1061" s="28"/>
      <c r="D1061" s="28"/>
      <c r="E1061" s="28"/>
      <c r="F1061" s="28"/>
      <c r="G1061" s="28"/>
      <c r="H1061" s="28"/>
      <c r="I1061" s="28"/>
      <c r="J1061" s="28"/>
      <c r="K1061" s="28"/>
      <c r="L1061" s="28"/>
      <c r="M1061" s="28"/>
      <c r="N1061" s="28"/>
      <c r="O1061" s="28"/>
      <c r="P1061" s="28"/>
      <c r="Q1061" s="28"/>
      <c r="R1061" s="28"/>
      <c r="S1061" s="28"/>
      <c r="T1061" s="28"/>
      <c r="U1061" s="28"/>
      <c r="V1061" s="28"/>
      <c r="W1061" s="28"/>
      <c r="X1061" s="28"/>
      <c r="Y1061" s="28"/>
      <c r="Z1061" s="28"/>
      <c r="AA1061" s="28"/>
      <c r="AB1061" s="28"/>
      <c r="AC1061" s="28"/>
      <c r="AD1061" s="28"/>
      <c r="AE1061" s="28"/>
      <c r="AF1061" s="28"/>
      <c r="AG1061" s="28"/>
      <c r="AH1061" s="28"/>
      <c r="AI1061" s="28"/>
      <c r="AJ1061" s="28"/>
      <c r="AK1061" s="28"/>
      <c r="AL1061" s="28"/>
      <c r="AM1061" s="28"/>
      <c r="AN1061" s="28"/>
      <c r="AO1061" s="28"/>
      <c r="AP1061" s="28"/>
      <c r="AQ1061" s="28"/>
      <c r="AR1061" s="28"/>
      <c r="AS1061" s="28"/>
      <c r="AT1061" s="28"/>
      <c r="AU1061" s="28"/>
      <c r="AV1061" s="28"/>
      <c r="AW1061" s="28"/>
      <c r="AX1061" s="28"/>
      <c r="AY1061" s="28"/>
      <c r="AZ1061" s="28"/>
      <c r="BA1061" s="28"/>
      <c r="BB1061" s="28"/>
      <c r="BC1061" s="28"/>
      <c r="BD1061" s="28"/>
      <c r="BE1061" s="28"/>
    </row>
    <row r="1062" spans="2:57" ht="15.75" customHeight="1" x14ac:dyDescent="0.25">
      <c r="B1062" s="28"/>
      <c r="C1062" s="28"/>
      <c r="D1062" s="28"/>
      <c r="E1062" s="28"/>
      <c r="F1062" s="28"/>
      <c r="G1062" s="28"/>
      <c r="H1062" s="28"/>
      <c r="I1062" s="28"/>
      <c r="J1062" s="28"/>
      <c r="K1062" s="28"/>
      <c r="L1062" s="28"/>
      <c r="M1062" s="28"/>
      <c r="N1062" s="28"/>
      <c r="O1062" s="28"/>
      <c r="P1062" s="28"/>
      <c r="Q1062" s="28"/>
      <c r="R1062" s="28"/>
      <c r="S1062" s="28"/>
      <c r="T1062" s="28"/>
      <c r="U1062" s="28"/>
      <c r="V1062" s="28"/>
      <c r="W1062" s="28"/>
      <c r="X1062" s="28"/>
      <c r="Y1062" s="28"/>
      <c r="Z1062" s="28"/>
      <c r="AA1062" s="28"/>
      <c r="AB1062" s="28"/>
      <c r="AC1062" s="28"/>
      <c r="AD1062" s="28"/>
      <c r="AE1062" s="28"/>
      <c r="AF1062" s="28"/>
      <c r="AG1062" s="28"/>
      <c r="AH1062" s="28"/>
      <c r="AI1062" s="28"/>
      <c r="AJ1062" s="28"/>
      <c r="AK1062" s="28"/>
      <c r="AL1062" s="28"/>
      <c r="AM1062" s="28"/>
      <c r="AN1062" s="28"/>
      <c r="AO1062" s="28"/>
      <c r="AP1062" s="28"/>
      <c r="AQ1062" s="28"/>
      <c r="AR1062" s="28"/>
      <c r="AS1062" s="28"/>
      <c r="AT1062" s="28"/>
      <c r="AU1062" s="28"/>
      <c r="AV1062" s="28"/>
      <c r="AW1062" s="28"/>
      <c r="AX1062" s="28"/>
      <c r="AY1062" s="28"/>
      <c r="AZ1062" s="28"/>
      <c r="BA1062" s="28"/>
      <c r="BB1062" s="28"/>
      <c r="BC1062" s="28"/>
      <c r="BD1062" s="28"/>
      <c r="BE1062" s="28"/>
    </row>
    <row r="1063" spans="2:57" ht="15.75" customHeight="1" x14ac:dyDescent="0.25">
      <c r="B1063" s="28"/>
      <c r="C1063" s="28"/>
      <c r="D1063" s="28"/>
      <c r="E1063" s="28"/>
      <c r="F1063" s="28"/>
      <c r="G1063" s="28"/>
      <c r="H1063" s="28"/>
      <c r="I1063" s="28"/>
      <c r="J1063" s="28"/>
      <c r="K1063" s="28"/>
      <c r="L1063" s="28"/>
      <c r="M1063" s="28"/>
      <c r="N1063" s="28"/>
      <c r="O1063" s="28"/>
      <c r="P1063" s="28"/>
      <c r="Q1063" s="28"/>
      <c r="R1063" s="28"/>
      <c r="S1063" s="28"/>
      <c r="T1063" s="28"/>
      <c r="U1063" s="28"/>
      <c r="V1063" s="28"/>
      <c r="W1063" s="28"/>
      <c r="X1063" s="28"/>
      <c r="Y1063" s="28"/>
      <c r="Z1063" s="28"/>
      <c r="AA1063" s="28"/>
      <c r="AB1063" s="28"/>
      <c r="AC1063" s="28"/>
      <c r="AD1063" s="28"/>
      <c r="AE1063" s="28"/>
      <c r="AF1063" s="28"/>
      <c r="AG1063" s="28"/>
      <c r="AH1063" s="28"/>
      <c r="AI1063" s="28"/>
      <c r="AJ1063" s="28"/>
      <c r="AK1063" s="28"/>
      <c r="AL1063" s="28"/>
      <c r="AM1063" s="28"/>
      <c r="AN1063" s="28"/>
      <c r="AO1063" s="28"/>
      <c r="AP1063" s="28"/>
      <c r="AQ1063" s="28"/>
      <c r="AR1063" s="28"/>
      <c r="AS1063" s="28"/>
      <c r="AT1063" s="28"/>
      <c r="AU1063" s="28"/>
      <c r="AV1063" s="28"/>
      <c r="AW1063" s="28"/>
      <c r="AX1063" s="28"/>
      <c r="AY1063" s="28"/>
      <c r="AZ1063" s="28"/>
      <c r="BA1063" s="28"/>
      <c r="BB1063" s="28"/>
      <c r="BC1063" s="28"/>
      <c r="BD1063" s="28"/>
      <c r="BE1063" s="28"/>
    </row>
    <row r="1064" spans="2:57" ht="15.75" customHeight="1" x14ac:dyDescent="0.25">
      <c r="B1064" s="28"/>
      <c r="C1064" s="28"/>
      <c r="D1064" s="28"/>
      <c r="E1064" s="28"/>
      <c r="F1064" s="28"/>
      <c r="G1064" s="28"/>
      <c r="H1064" s="28"/>
      <c r="I1064" s="28"/>
      <c r="J1064" s="28"/>
      <c r="K1064" s="28"/>
      <c r="L1064" s="28"/>
      <c r="M1064" s="28"/>
      <c r="N1064" s="28"/>
      <c r="O1064" s="28"/>
      <c r="P1064" s="28"/>
      <c r="Q1064" s="28"/>
      <c r="R1064" s="28"/>
      <c r="S1064" s="28"/>
      <c r="T1064" s="28"/>
      <c r="U1064" s="28"/>
      <c r="V1064" s="28"/>
      <c r="W1064" s="28"/>
      <c r="X1064" s="28"/>
      <c r="Y1064" s="28"/>
      <c r="Z1064" s="28"/>
      <c r="AA1064" s="28"/>
      <c r="AB1064" s="28"/>
      <c r="AC1064" s="28"/>
      <c r="AD1064" s="28"/>
      <c r="AE1064" s="28"/>
      <c r="AF1064" s="28"/>
      <c r="AG1064" s="28"/>
      <c r="AH1064" s="28"/>
      <c r="AI1064" s="28"/>
      <c r="AJ1064" s="28"/>
      <c r="AK1064" s="28"/>
      <c r="AL1064" s="28"/>
      <c r="AM1064" s="28"/>
      <c r="AN1064" s="28"/>
      <c r="AO1064" s="28"/>
      <c r="AP1064" s="28"/>
      <c r="AQ1064" s="28"/>
      <c r="AR1064" s="28"/>
      <c r="AS1064" s="28"/>
      <c r="AT1064" s="28"/>
      <c r="AU1064" s="28"/>
      <c r="AV1064" s="28"/>
      <c r="AW1064" s="28"/>
      <c r="AX1064" s="28"/>
      <c r="AY1064" s="28"/>
      <c r="AZ1064" s="28"/>
      <c r="BA1064" s="28"/>
      <c r="BB1064" s="28"/>
      <c r="BC1064" s="28"/>
      <c r="BD1064" s="28"/>
      <c r="BE1064" s="28"/>
    </row>
    <row r="1065" spans="2:57" ht="15.75" customHeight="1" x14ac:dyDescent="0.25">
      <c r="B1065" s="28"/>
      <c r="C1065" s="28"/>
      <c r="D1065" s="28"/>
      <c r="E1065" s="28"/>
      <c r="F1065" s="28"/>
      <c r="G1065" s="28"/>
      <c r="H1065" s="28"/>
      <c r="I1065" s="28"/>
      <c r="J1065" s="28"/>
      <c r="K1065" s="28"/>
      <c r="L1065" s="28"/>
      <c r="M1065" s="28"/>
      <c r="N1065" s="28"/>
      <c r="O1065" s="28"/>
      <c r="P1065" s="28"/>
      <c r="Q1065" s="28"/>
      <c r="R1065" s="28"/>
      <c r="S1065" s="28"/>
      <c r="T1065" s="28"/>
      <c r="U1065" s="28"/>
      <c r="V1065" s="28"/>
      <c r="W1065" s="28"/>
      <c r="X1065" s="28"/>
      <c r="Y1065" s="28"/>
      <c r="Z1065" s="28"/>
      <c r="AA1065" s="28"/>
      <c r="AB1065" s="28"/>
      <c r="AC1065" s="28"/>
      <c r="AD1065" s="28"/>
      <c r="AE1065" s="28"/>
      <c r="AF1065" s="28"/>
      <c r="AG1065" s="28"/>
      <c r="AH1065" s="28"/>
      <c r="AI1065" s="28"/>
      <c r="AJ1065" s="28"/>
      <c r="AK1065" s="28"/>
      <c r="AL1065" s="28"/>
      <c r="AM1065" s="28"/>
      <c r="AN1065" s="28"/>
      <c r="AO1065" s="28"/>
      <c r="AP1065" s="28"/>
      <c r="AQ1065" s="28"/>
      <c r="AR1065" s="28"/>
      <c r="AS1065" s="28"/>
      <c r="AT1065" s="28"/>
      <c r="AU1065" s="28"/>
      <c r="AV1065" s="28"/>
      <c r="AW1065" s="28"/>
      <c r="AX1065" s="28"/>
      <c r="AY1065" s="28"/>
      <c r="AZ1065" s="28"/>
      <c r="BA1065" s="28"/>
      <c r="BB1065" s="28"/>
      <c r="BC1065" s="28"/>
      <c r="BD1065" s="28"/>
      <c r="BE1065" s="28"/>
    </row>
    <row r="1066" spans="2:57" ht="15.75" customHeight="1" x14ac:dyDescent="0.25">
      <c r="B1066" s="28"/>
      <c r="C1066" s="28"/>
      <c r="D1066" s="28"/>
      <c r="E1066" s="28"/>
      <c r="F1066" s="28"/>
      <c r="G1066" s="28"/>
      <c r="H1066" s="28"/>
      <c r="I1066" s="28"/>
      <c r="J1066" s="28"/>
      <c r="K1066" s="28"/>
      <c r="L1066" s="28"/>
      <c r="M1066" s="28"/>
      <c r="N1066" s="28"/>
      <c r="O1066" s="28"/>
      <c r="P1066" s="28"/>
      <c r="Q1066" s="28"/>
      <c r="R1066" s="28"/>
      <c r="S1066" s="28"/>
      <c r="T1066" s="28"/>
      <c r="U1066" s="28"/>
      <c r="V1066" s="28"/>
      <c r="W1066" s="28"/>
      <c r="X1066" s="28"/>
      <c r="Y1066" s="28"/>
      <c r="Z1066" s="28"/>
      <c r="AA1066" s="28"/>
      <c r="AB1066" s="28"/>
      <c r="AC1066" s="28"/>
      <c r="AD1066" s="28"/>
      <c r="AE1066" s="28"/>
      <c r="AF1066" s="28"/>
      <c r="AG1066" s="28"/>
      <c r="AH1066" s="28"/>
      <c r="AI1066" s="28"/>
      <c r="AJ1066" s="28"/>
      <c r="AK1066" s="28"/>
      <c r="AL1066" s="28"/>
      <c r="AM1066" s="28"/>
      <c r="AN1066" s="28"/>
      <c r="AO1066" s="28"/>
      <c r="AP1066" s="28"/>
      <c r="AQ1066" s="28"/>
      <c r="AR1066" s="28"/>
      <c r="AS1066" s="28"/>
      <c r="AT1066" s="28"/>
      <c r="AU1066" s="28"/>
      <c r="AV1066" s="28"/>
      <c r="AW1066" s="28"/>
      <c r="AX1066" s="28"/>
      <c r="AY1066" s="28"/>
      <c r="AZ1066" s="28"/>
      <c r="BA1066" s="28"/>
      <c r="BB1066" s="28"/>
      <c r="BC1066" s="28"/>
      <c r="BD1066" s="28"/>
      <c r="BE1066" s="28"/>
    </row>
    <row r="1067" spans="2:57" ht="15.75" customHeight="1" x14ac:dyDescent="0.25">
      <c r="B1067" s="28"/>
      <c r="C1067" s="28"/>
      <c r="D1067" s="28"/>
      <c r="E1067" s="28"/>
      <c r="F1067" s="28"/>
      <c r="G1067" s="28"/>
      <c r="H1067" s="28"/>
      <c r="I1067" s="28"/>
      <c r="J1067" s="28"/>
      <c r="K1067" s="28"/>
      <c r="L1067" s="28"/>
      <c r="M1067" s="28"/>
      <c r="N1067" s="28"/>
      <c r="O1067" s="28"/>
      <c r="P1067" s="28"/>
      <c r="Q1067" s="28"/>
      <c r="R1067" s="28"/>
      <c r="S1067" s="28"/>
      <c r="T1067" s="28"/>
      <c r="U1067" s="28"/>
      <c r="V1067" s="28"/>
      <c r="W1067" s="28"/>
      <c r="X1067" s="28"/>
      <c r="Y1067" s="28"/>
      <c r="Z1067" s="28"/>
      <c r="AA1067" s="28"/>
      <c r="AB1067" s="28"/>
      <c r="AC1067" s="28"/>
      <c r="AD1067" s="28"/>
      <c r="AE1067" s="28"/>
      <c r="AF1067" s="28"/>
      <c r="AG1067" s="28"/>
      <c r="AH1067" s="28"/>
      <c r="AI1067" s="28"/>
      <c r="AJ1067" s="28"/>
      <c r="AK1067" s="28"/>
      <c r="AL1067" s="28"/>
      <c r="AM1067" s="28"/>
      <c r="AN1067" s="28"/>
      <c r="AO1067" s="28"/>
      <c r="AP1067" s="28"/>
      <c r="AQ1067" s="28"/>
      <c r="AR1067" s="28"/>
      <c r="AS1067" s="28"/>
      <c r="AT1067" s="28"/>
      <c r="AU1067" s="28"/>
      <c r="AV1067" s="28"/>
      <c r="AW1067" s="28"/>
      <c r="AX1067" s="28"/>
      <c r="AY1067" s="28"/>
      <c r="AZ1067" s="28"/>
      <c r="BA1067" s="28"/>
      <c r="BB1067" s="28"/>
      <c r="BC1067" s="28"/>
      <c r="BD1067" s="28"/>
      <c r="BE1067" s="28"/>
    </row>
    <row r="1068" spans="2:57" ht="15.75" customHeight="1" x14ac:dyDescent="0.25">
      <c r="B1068" s="28"/>
      <c r="C1068" s="28"/>
      <c r="D1068" s="28"/>
      <c r="E1068" s="28"/>
      <c r="F1068" s="28"/>
      <c r="G1068" s="28"/>
      <c r="H1068" s="28"/>
      <c r="I1068" s="28"/>
      <c r="J1068" s="28"/>
      <c r="K1068" s="28"/>
      <c r="L1068" s="28"/>
      <c r="M1068" s="28"/>
      <c r="N1068" s="28"/>
      <c r="O1068" s="28"/>
      <c r="P1068" s="28"/>
      <c r="Q1068" s="28"/>
      <c r="R1068" s="28"/>
      <c r="S1068" s="28"/>
      <c r="T1068" s="28"/>
      <c r="U1068" s="28"/>
      <c r="V1068" s="28"/>
      <c r="W1068" s="28"/>
      <c r="X1068" s="28"/>
      <c r="Y1068" s="28"/>
      <c r="Z1068" s="28"/>
      <c r="AA1068" s="28"/>
      <c r="AB1068" s="28"/>
      <c r="AC1068" s="28"/>
      <c r="AD1068" s="28"/>
      <c r="AE1068" s="28"/>
      <c r="AF1068" s="28"/>
      <c r="AG1068" s="28"/>
      <c r="AH1068" s="28"/>
      <c r="AI1068" s="28"/>
      <c r="AJ1068" s="28"/>
      <c r="AK1068" s="28"/>
      <c r="AL1068" s="28"/>
      <c r="AM1068" s="28"/>
      <c r="AN1068" s="28"/>
      <c r="AO1068" s="28"/>
      <c r="AP1068" s="28"/>
      <c r="AQ1068" s="28"/>
      <c r="AR1068" s="28"/>
      <c r="AS1068" s="28"/>
      <c r="AT1068" s="28"/>
      <c r="AU1068" s="28"/>
      <c r="AV1068" s="28"/>
      <c r="AW1068" s="28"/>
      <c r="AX1068" s="28"/>
      <c r="AY1068" s="28"/>
      <c r="AZ1068" s="28"/>
      <c r="BA1068" s="28"/>
      <c r="BB1068" s="28"/>
      <c r="BC1068" s="28"/>
      <c r="BD1068" s="28"/>
      <c r="BE1068" s="28"/>
    </row>
    <row r="1069" spans="2:57" ht="15.75" customHeight="1" x14ac:dyDescent="0.25">
      <c r="B1069" s="28"/>
      <c r="C1069" s="28"/>
      <c r="D1069" s="28"/>
      <c r="E1069" s="28"/>
      <c r="F1069" s="28"/>
      <c r="G1069" s="28"/>
      <c r="H1069" s="28"/>
      <c r="I1069" s="28"/>
      <c r="J1069" s="28"/>
      <c r="K1069" s="28"/>
      <c r="L1069" s="28"/>
      <c r="M1069" s="28"/>
      <c r="N1069" s="28"/>
      <c r="O1069" s="28"/>
      <c r="P1069" s="28"/>
      <c r="Q1069" s="28"/>
      <c r="R1069" s="28"/>
      <c r="S1069" s="28"/>
      <c r="T1069" s="28"/>
      <c r="U1069" s="28"/>
      <c r="V1069" s="28"/>
      <c r="W1069" s="28"/>
      <c r="X1069" s="28"/>
      <c r="Y1069" s="28"/>
      <c r="Z1069" s="28"/>
      <c r="AA1069" s="28"/>
      <c r="AB1069" s="28"/>
      <c r="AC1069" s="28"/>
      <c r="AD1069" s="28"/>
      <c r="AE1069" s="28"/>
      <c r="AF1069" s="28"/>
      <c r="AG1069" s="28"/>
      <c r="AH1069" s="28"/>
      <c r="AI1069" s="28"/>
      <c r="AJ1069" s="28"/>
      <c r="AK1069" s="28"/>
      <c r="AL1069" s="28"/>
      <c r="AM1069" s="28"/>
      <c r="AN1069" s="28"/>
      <c r="AO1069" s="28"/>
      <c r="AP1069" s="28"/>
      <c r="AQ1069" s="28"/>
      <c r="AR1069" s="28"/>
      <c r="AS1069" s="28"/>
      <c r="AT1069" s="28"/>
      <c r="AU1069" s="28"/>
      <c r="AV1069" s="28"/>
      <c r="AW1069" s="28"/>
      <c r="AX1069" s="28"/>
      <c r="AY1069" s="28"/>
      <c r="AZ1069" s="28"/>
      <c r="BA1069" s="28"/>
      <c r="BB1069" s="28"/>
      <c r="BC1069" s="28"/>
      <c r="BD1069" s="28"/>
      <c r="BE1069" s="28"/>
    </row>
    <row r="1070" spans="2:57" ht="15.75" customHeight="1" x14ac:dyDescent="0.25">
      <c r="B1070" s="28"/>
      <c r="C1070" s="28"/>
      <c r="D1070" s="28"/>
      <c r="E1070" s="28"/>
      <c r="F1070" s="28"/>
      <c r="G1070" s="28"/>
      <c r="H1070" s="28"/>
      <c r="I1070" s="28"/>
      <c r="J1070" s="28"/>
      <c r="K1070" s="28"/>
      <c r="L1070" s="28"/>
      <c r="M1070" s="28"/>
      <c r="N1070" s="28"/>
      <c r="O1070" s="28"/>
      <c r="P1070" s="28"/>
      <c r="Q1070" s="28"/>
      <c r="R1070" s="28"/>
      <c r="S1070" s="28"/>
      <c r="T1070" s="28"/>
      <c r="U1070" s="28"/>
      <c r="V1070" s="28"/>
      <c r="W1070" s="28"/>
      <c r="X1070" s="28"/>
      <c r="Y1070" s="28"/>
      <c r="Z1070" s="28"/>
      <c r="AA1070" s="28"/>
      <c r="AB1070" s="28"/>
      <c r="AC1070" s="28"/>
      <c r="AD1070" s="28"/>
      <c r="AE1070" s="28"/>
      <c r="AF1070" s="28"/>
      <c r="AG1070" s="28"/>
      <c r="AH1070" s="28"/>
      <c r="AI1070" s="28"/>
      <c r="AJ1070" s="28"/>
      <c r="AK1070" s="28"/>
      <c r="AL1070" s="28"/>
      <c r="AM1070" s="28"/>
      <c r="AN1070" s="28"/>
      <c r="AO1070" s="28"/>
      <c r="AP1070" s="28"/>
      <c r="AQ1070" s="28"/>
      <c r="AR1070" s="28"/>
      <c r="AS1070" s="28"/>
      <c r="AT1070" s="28"/>
      <c r="AU1070" s="28"/>
      <c r="AV1070" s="28"/>
      <c r="AW1070" s="28"/>
      <c r="AX1070" s="28"/>
      <c r="AY1070" s="28"/>
      <c r="AZ1070" s="28"/>
      <c r="BA1070" s="28"/>
      <c r="BB1070" s="28"/>
      <c r="BC1070" s="28"/>
      <c r="BD1070" s="28"/>
      <c r="BE1070" s="28"/>
    </row>
    <row r="1071" spans="2:57" ht="15.75" customHeight="1" x14ac:dyDescent="0.25">
      <c r="B1071" s="28"/>
      <c r="C1071" s="28"/>
      <c r="D1071" s="28"/>
      <c r="E1071" s="28"/>
      <c r="F1071" s="28"/>
      <c r="G1071" s="28"/>
      <c r="H1071" s="28"/>
      <c r="I1071" s="28"/>
      <c r="J1071" s="28"/>
      <c r="K1071" s="28"/>
      <c r="L1071" s="28"/>
      <c r="M1071" s="28"/>
      <c r="N1071" s="28"/>
      <c r="O1071" s="28"/>
      <c r="P1071" s="28"/>
      <c r="Q1071" s="28"/>
      <c r="R1071" s="28"/>
      <c r="S1071" s="28"/>
      <c r="T1071" s="28"/>
      <c r="U1071" s="28"/>
      <c r="V1071" s="28"/>
      <c r="W1071" s="28"/>
      <c r="X1071" s="28"/>
      <c r="Y1071" s="28"/>
      <c r="Z1071" s="28"/>
      <c r="AA1071" s="28"/>
      <c r="AB1071" s="28"/>
      <c r="AC1071" s="28"/>
      <c r="AD1071" s="28"/>
      <c r="AE1071" s="28"/>
      <c r="AF1071" s="28"/>
      <c r="AG1071" s="28"/>
      <c r="AH1071" s="28"/>
      <c r="AI1071" s="28"/>
      <c r="AJ1071" s="28"/>
      <c r="AK1071" s="28"/>
      <c r="AL1071" s="28"/>
      <c r="AM1071" s="28"/>
      <c r="AN1071" s="28"/>
      <c r="AO1071" s="28"/>
      <c r="AP1071" s="28"/>
      <c r="AQ1071" s="28"/>
      <c r="AR1071" s="28"/>
      <c r="AS1071" s="28"/>
      <c r="AT1071" s="28"/>
      <c r="AU1071" s="28"/>
      <c r="AV1071" s="28"/>
      <c r="AW1071" s="28"/>
      <c r="AX1071" s="28"/>
      <c r="AY1071" s="28"/>
      <c r="AZ1071" s="28"/>
      <c r="BA1071" s="28"/>
      <c r="BB1071" s="28"/>
      <c r="BC1071" s="28"/>
      <c r="BD1071" s="28"/>
      <c r="BE1071" s="28"/>
    </row>
    <row r="1072" spans="2:57" ht="15.75" customHeight="1" x14ac:dyDescent="0.25">
      <c r="B1072" s="28"/>
      <c r="C1072" s="28"/>
      <c r="D1072" s="28"/>
      <c r="E1072" s="28"/>
      <c r="F1072" s="28"/>
      <c r="G1072" s="28"/>
      <c r="H1072" s="28"/>
      <c r="I1072" s="28"/>
      <c r="J1072" s="28"/>
      <c r="K1072" s="28"/>
      <c r="L1072" s="28"/>
      <c r="M1072" s="28"/>
      <c r="N1072" s="28"/>
      <c r="O1072" s="28"/>
      <c r="P1072" s="28"/>
      <c r="Q1072" s="28"/>
      <c r="R1072" s="28"/>
      <c r="S1072" s="28"/>
      <c r="T1072" s="28"/>
      <c r="U1072" s="28"/>
      <c r="V1072" s="28"/>
      <c r="W1072" s="28"/>
      <c r="X1072" s="28"/>
      <c r="Y1072" s="28"/>
      <c r="Z1072" s="28"/>
      <c r="AA1072" s="28"/>
      <c r="AB1072" s="28"/>
      <c r="AC1072" s="28"/>
      <c r="AD1072" s="28"/>
      <c r="AE1072" s="28"/>
      <c r="AF1072" s="28"/>
      <c r="AG1072" s="28"/>
      <c r="AH1072" s="28"/>
      <c r="AI1072" s="28"/>
      <c r="AJ1072" s="28"/>
      <c r="AK1072" s="28"/>
      <c r="AL1072" s="28"/>
      <c r="AM1072" s="28"/>
      <c r="AN1072" s="28"/>
      <c r="AO1072" s="28"/>
      <c r="AP1072" s="28"/>
      <c r="AQ1072" s="28"/>
      <c r="AR1072" s="28"/>
      <c r="AS1072" s="28"/>
      <c r="AT1072" s="28"/>
      <c r="AU1072" s="28"/>
      <c r="AV1072" s="28"/>
      <c r="AW1072" s="28"/>
      <c r="AX1072" s="28"/>
      <c r="AY1072" s="28"/>
      <c r="AZ1072" s="28"/>
      <c r="BA1072" s="28"/>
      <c r="BB1072" s="28"/>
      <c r="BC1072" s="28"/>
      <c r="BD1072" s="28"/>
      <c r="BE1072" s="28"/>
    </row>
    <row r="1073" spans="2:57" ht="15.75" customHeight="1" x14ac:dyDescent="0.25">
      <c r="B1073" s="28"/>
      <c r="C1073" s="28"/>
      <c r="D1073" s="28"/>
      <c r="E1073" s="28"/>
      <c r="F1073" s="28"/>
      <c r="G1073" s="28"/>
      <c r="H1073" s="28"/>
      <c r="I1073" s="28"/>
      <c r="J1073" s="28"/>
      <c r="K1073" s="28"/>
      <c r="L1073" s="28"/>
      <c r="M1073" s="28"/>
      <c r="N1073" s="28"/>
      <c r="O1073" s="28"/>
      <c r="P1073" s="28"/>
      <c r="Q1073" s="28"/>
      <c r="R1073" s="28"/>
      <c r="S1073" s="28"/>
      <c r="T1073" s="28"/>
      <c r="U1073" s="28"/>
      <c r="V1073" s="28"/>
      <c r="W1073" s="28"/>
      <c r="X1073" s="28"/>
      <c r="Y1073" s="28"/>
      <c r="Z1073" s="28"/>
      <c r="AA1073" s="28"/>
      <c r="AB1073" s="28"/>
      <c r="AC1073" s="28"/>
      <c r="AD1073" s="28"/>
      <c r="AE1073" s="28"/>
      <c r="AF1073" s="28"/>
      <c r="AG1073" s="28"/>
      <c r="AH1073" s="28"/>
      <c r="AI1073" s="28"/>
      <c r="AJ1073" s="28"/>
      <c r="AK1073" s="28"/>
      <c r="AL1073" s="28"/>
      <c r="AM1073" s="28"/>
      <c r="AN1073" s="28"/>
      <c r="AO1073" s="28"/>
      <c r="AP1073" s="28"/>
      <c r="AQ1073" s="28"/>
      <c r="AR1073" s="28"/>
      <c r="AS1073" s="28"/>
      <c r="AT1073" s="28"/>
      <c r="AU1073" s="28"/>
      <c r="AV1073" s="28"/>
      <c r="AW1073" s="28"/>
      <c r="AX1073" s="28"/>
      <c r="AY1073" s="28"/>
      <c r="AZ1073" s="28"/>
      <c r="BA1073" s="28"/>
      <c r="BB1073" s="28"/>
      <c r="BC1073" s="28"/>
      <c r="BD1073" s="28"/>
      <c r="BE1073" s="28"/>
    </row>
    <row r="1074" spans="2:57" ht="15.75" customHeight="1" x14ac:dyDescent="0.25">
      <c r="B1074" s="28"/>
      <c r="C1074" s="28"/>
      <c r="D1074" s="28"/>
      <c r="E1074" s="28"/>
      <c r="F1074" s="28"/>
      <c r="G1074" s="28"/>
      <c r="H1074" s="28"/>
      <c r="I1074" s="28"/>
      <c r="J1074" s="28"/>
      <c r="K1074" s="28"/>
      <c r="L1074" s="28"/>
      <c r="M1074" s="28"/>
      <c r="N1074" s="28"/>
      <c r="O1074" s="28"/>
      <c r="P1074" s="28"/>
      <c r="Q1074" s="28"/>
      <c r="R1074" s="28"/>
      <c r="S1074" s="28"/>
      <c r="T1074" s="28"/>
      <c r="U1074" s="28"/>
      <c r="V1074" s="28"/>
      <c r="W1074" s="28"/>
      <c r="X1074" s="28"/>
      <c r="Y1074" s="28"/>
      <c r="Z1074" s="28"/>
      <c r="AA1074" s="28"/>
      <c r="AB1074" s="28"/>
      <c r="AC1074" s="28"/>
      <c r="AD1074" s="28"/>
      <c r="AE1074" s="28"/>
      <c r="AF1074" s="28"/>
      <c r="AG1074" s="28"/>
      <c r="AH1074" s="28"/>
      <c r="AI1074" s="28"/>
      <c r="AJ1074" s="28"/>
      <c r="AK1074" s="28"/>
      <c r="AL1074" s="28"/>
      <c r="AM1074" s="28"/>
      <c r="AN1074" s="28"/>
      <c r="AO1074" s="28"/>
      <c r="AP1074" s="28"/>
      <c r="AQ1074" s="28"/>
      <c r="AR1074" s="28"/>
      <c r="AS1074" s="28"/>
      <c r="AT1074" s="28"/>
      <c r="AU1074" s="28"/>
      <c r="AV1074" s="28"/>
      <c r="AW1074" s="28"/>
      <c r="AX1074" s="28"/>
      <c r="AY1074" s="28"/>
      <c r="AZ1074" s="28"/>
      <c r="BA1074" s="28"/>
      <c r="BB1074" s="28"/>
      <c r="BC1074" s="28"/>
      <c r="BD1074" s="28"/>
      <c r="BE1074" s="28"/>
    </row>
    <row r="1075" spans="2:57" ht="15.75" customHeight="1" x14ac:dyDescent="0.25">
      <c r="B1075" s="28"/>
      <c r="C1075" s="28"/>
      <c r="D1075" s="28"/>
      <c r="E1075" s="28"/>
      <c r="F1075" s="28"/>
      <c r="G1075" s="28"/>
      <c r="H1075" s="28"/>
      <c r="I1075" s="28"/>
      <c r="J1075" s="28"/>
      <c r="K1075" s="28"/>
      <c r="L1075" s="28"/>
      <c r="M1075" s="28"/>
      <c r="N1075" s="28"/>
      <c r="O1075" s="28"/>
      <c r="P1075" s="28"/>
      <c r="Q1075" s="28"/>
      <c r="R1075" s="28"/>
      <c r="S1075" s="28"/>
      <c r="T1075" s="28"/>
      <c r="U1075" s="28"/>
      <c r="V1075" s="28"/>
      <c r="W1075" s="28"/>
      <c r="X1075" s="28"/>
      <c r="Y1075" s="28"/>
      <c r="Z1075" s="28"/>
      <c r="AA1075" s="28"/>
      <c r="AB1075" s="28"/>
      <c r="AC1075" s="28"/>
      <c r="AD1075" s="28"/>
      <c r="AE1075" s="28"/>
      <c r="AF1075" s="28"/>
      <c r="AG1075" s="28"/>
      <c r="AH1075" s="28"/>
      <c r="AI1075" s="28"/>
      <c r="AJ1075" s="28"/>
      <c r="AK1075" s="28"/>
      <c r="AL1075" s="28"/>
      <c r="AM1075" s="28"/>
      <c r="AN1075" s="28"/>
      <c r="AO1075" s="28"/>
      <c r="AP1075" s="28"/>
      <c r="AQ1075" s="28"/>
      <c r="AR1075" s="28"/>
      <c r="AS1075" s="28"/>
      <c r="AT1075" s="28"/>
      <c r="AU1075" s="28"/>
      <c r="AV1075" s="28"/>
      <c r="AW1075" s="28"/>
      <c r="AX1075" s="28"/>
      <c r="AY1075" s="28"/>
      <c r="AZ1075" s="28"/>
      <c r="BA1075" s="28"/>
      <c r="BB1075" s="28"/>
      <c r="BC1075" s="28"/>
      <c r="BD1075" s="28"/>
      <c r="BE1075" s="28"/>
    </row>
    <row r="1076" spans="2:57" ht="15.75" customHeight="1" x14ac:dyDescent="0.25">
      <c r="B1076" s="28"/>
      <c r="C1076" s="28"/>
      <c r="D1076" s="28"/>
      <c r="E1076" s="28"/>
      <c r="F1076" s="28"/>
      <c r="G1076" s="28"/>
      <c r="H1076" s="28"/>
      <c r="I1076" s="28"/>
      <c r="J1076" s="28"/>
      <c r="K1076" s="28"/>
      <c r="L1076" s="28"/>
      <c r="M1076" s="28"/>
      <c r="N1076" s="28"/>
      <c r="O1076" s="28"/>
      <c r="P1076" s="28"/>
      <c r="Q1076" s="28"/>
      <c r="R1076" s="28"/>
      <c r="S1076" s="28"/>
      <c r="T1076" s="28"/>
      <c r="U1076" s="28"/>
      <c r="V1076" s="28"/>
      <c r="W1076" s="28"/>
      <c r="X1076" s="28"/>
      <c r="Y1076" s="28"/>
      <c r="Z1076" s="28"/>
      <c r="AA1076" s="28"/>
      <c r="AB1076" s="28"/>
      <c r="AC1076" s="28"/>
      <c r="AD1076" s="28"/>
      <c r="AE1076" s="28"/>
      <c r="AF1076" s="28"/>
      <c r="AG1076" s="28"/>
      <c r="AH1076" s="28"/>
      <c r="AI1076" s="28"/>
      <c r="AJ1076" s="28"/>
      <c r="AK1076" s="28"/>
      <c r="AL1076" s="28"/>
      <c r="AM1076" s="28"/>
      <c r="AN1076" s="28"/>
      <c r="AO1076" s="28"/>
      <c r="AP1076" s="28"/>
      <c r="AQ1076" s="28"/>
      <c r="AR1076" s="28"/>
      <c r="AS1076" s="28"/>
      <c r="AT1076" s="28"/>
      <c r="AU1076" s="28"/>
      <c r="AV1076" s="28"/>
      <c r="AW1076" s="28"/>
      <c r="AX1076" s="28"/>
      <c r="AY1076" s="28"/>
      <c r="AZ1076" s="28"/>
      <c r="BA1076" s="28"/>
      <c r="BB1076" s="28"/>
      <c r="BC1076" s="28"/>
      <c r="BD1076" s="28"/>
      <c r="BE1076" s="28"/>
    </row>
    <row r="1077" spans="2:57" ht="15.75" customHeight="1" x14ac:dyDescent="0.25">
      <c r="B1077" s="28"/>
      <c r="C1077" s="28"/>
      <c r="D1077" s="28"/>
      <c r="E1077" s="28"/>
      <c r="F1077" s="28"/>
      <c r="G1077" s="28"/>
      <c r="H1077" s="28"/>
      <c r="I1077" s="28"/>
      <c r="J1077" s="28"/>
      <c r="K1077" s="28"/>
      <c r="L1077" s="28"/>
      <c r="M1077" s="28"/>
      <c r="N1077" s="28"/>
      <c r="O1077" s="28"/>
      <c r="P1077" s="28"/>
      <c r="Q1077" s="28"/>
      <c r="R1077" s="28"/>
      <c r="S1077" s="28"/>
      <c r="T1077" s="28"/>
      <c r="U1077" s="28"/>
      <c r="V1077" s="28"/>
      <c r="W1077" s="28"/>
      <c r="X1077" s="28"/>
      <c r="Y1077" s="28"/>
      <c r="Z1077" s="28"/>
      <c r="AA1077" s="28"/>
      <c r="AB1077" s="28"/>
      <c r="AC1077" s="28"/>
      <c r="AD1077" s="28"/>
      <c r="AE1077" s="28"/>
      <c r="AF1077" s="28"/>
      <c r="AG1077" s="28"/>
      <c r="AH1077" s="28"/>
      <c r="AI1077" s="28"/>
      <c r="AJ1077" s="28"/>
      <c r="AK1077" s="28"/>
      <c r="AL1077" s="28"/>
      <c r="AM1077" s="28"/>
      <c r="AN1077" s="28"/>
      <c r="AO1077" s="28"/>
      <c r="AP1077" s="28"/>
      <c r="AQ1077" s="28"/>
      <c r="AR1077" s="28"/>
      <c r="AS1077" s="28"/>
      <c r="AT1077" s="28"/>
      <c r="AU1077" s="28"/>
      <c r="AV1077" s="28"/>
      <c r="AW1077" s="28"/>
      <c r="AX1077" s="28"/>
      <c r="AY1077" s="28"/>
      <c r="AZ1077" s="28"/>
      <c r="BA1077" s="28"/>
      <c r="BB1077" s="28"/>
      <c r="BC1077" s="28"/>
      <c r="BD1077" s="28"/>
      <c r="BE1077" s="28"/>
    </row>
    <row r="1078" spans="2:57" ht="15.75" customHeight="1" x14ac:dyDescent="0.25">
      <c r="B1078" s="28"/>
      <c r="C1078" s="28"/>
      <c r="D1078" s="28"/>
      <c r="E1078" s="28"/>
      <c r="F1078" s="28"/>
      <c r="G1078" s="28"/>
      <c r="H1078" s="28"/>
      <c r="I1078" s="28"/>
      <c r="J1078" s="28"/>
      <c r="K1078" s="28"/>
      <c r="L1078" s="28"/>
      <c r="M1078" s="28"/>
      <c r="N1078" s="28"/>
      <c r="O1078" s="28"/>
      <c r="P1078" s="28"/>
      <c r="Q1078" s="28"/>
      <c r="R1078" s="28"/>
      <c r="S1078" s="28"/>
      <c r="T1078" s="28"/>
      <c r="U1078" s="28"/>
      <c r="V1078" s="28"/>
      <c r="W1078" s="28"/>
      <c r="X1078" s="28"/>
      <c r="Y1078" s="28"/>
      <c r="Z1078" s="28"/>
      <c r="AA1078" s="28"/>
      <c r="AB1078" s="28"/>
      <c r="AC1078" s="28"/>
      <c r="AD1078" s="28"/>
      <c r="AE1078" s="28"/>
      <c r="AF1078" s="28"/>
      <c r="AG1078" s="28"/>
      <c r="AH1078" s="28"/>
      <c r="AI1078" s="28"/>
      <c r="AJ1078" s="28"/>
      <c r="AK1078" s="28"/>
      <c r="AL1078" s="28"/>
      <c r="AM1078" s="28"/>
      <c r="AN1078" s="28"/>
      <c r="AO1078" s="28"/>
      <c r="AP1078" s="28"/>
      <c r="AQ1078" s="28"/>
      <c r="AR1078" s="28"/>
      <c r="AS1078" s="28"/>
      <c r="AT1078" s="28"/>
      <c r="AU1078" s="28"/>
      <c r="AV1078" s="28"/>
      <c r="AW1078" s="28"/>
      <c r="AX1078" s="28"/>
      <c r="AY1078" s="28"/>
      <c r="AZ1078" s="28"/>
      <c r="BA1078" s="28"/>
      <c r="BB1078" s="28"/>
      <c r="BC1078" s="28"/>
      <c r="BD1078" s="28"/>
      <c r="BE1078" s="28"/>
    </row>
    <row r="1079" spans="2:57" ht="15.75" customHeight="1" x14ac:dyDescent="0.25">
      <c r="B1079" s="28"/>
      <c r="C1079" s="28"/>
      <c r="D1079" s="28"/>
      <c r="E1079" s="28"/>
      <c r="F1079" s="28"/>
      <c r="G1079" s="28"/>
      <c r="H1079" s="28"/>
      <c r="I1079" s="28"/>
      <c r="J1079" s="28"/>
      <c r="K1079" s="28"/>
      <c r="L1079" s="28"/>
      <c r="M1079" s="28"/>
      <c r="N1079" s="28"/>
      <c r="O1079" s="28"/>
      <c r="P1079" s="28"/>
      <c r="Q1079" s="28"/>
      <c r="R1079" s="28"/>
      <c r="S1079" s="28"/>
      <c r="T1079" s="28"/>
      <c r="U1079" s="28"/>
      <c r="V1079" s="28"/>
      <c r="W1079" s="28"/>
      <c r="X1079" s="28"/>
      <c r="Y1079" s="28"/>
      <c r="Z1079" s="28"/>
      <c r="AA1079" s="28"/>
      <c r="AB1079" s="28"/>
      <c r="AC1079" s="28"/>
      <c r="AD1079" s="28"/>
      <c r="AE1079" s="28"/>
      <c r="AF1079" s="28"/>
      <c r="AG1079" s="28"/>
      <c r="AH1079" s="28"/>
      <c r="AI1079" s="28"/>
      <c r="AJ1079" s="28"/>
      <c r="AK1079" s="28"/>
      <c r="AL1079" s="28"/>
      <c r="AM1079" s="28"/>
      <c r="AN1079" s="28"/>
      <c r="AO1079" s="28"/>
      <c r="AP1079" s="28"/>
      <c r="AQ1079" s="28"/>
      <c r="AR1079" s="28"/>
      <c r="AS1079" s="28"/>
      <c r="AT1079" s="28"/>
      <c r="AU1079" s="28"/>
      <c r="AV1079" s="28"/>
      <c r="AW1079" s="28"/>
      <c r="AX1079" s="28"/>
      <c r="AY1079" s="28"/>
      <c r="AZ1079" s="28"/>
      <c r="BA1079" s="28"/>
      <c r="BB1079" s="28"/>
      <c r="BC1079" s="28"/>
      <c r="BD1079" s="28"/>
      <c r="BE1079" s="28"/>
    </row>
    <row r="1080" spans="2:57" ht="15.75" customHeight="1" x14ac:dyDescent="0.25">
      <c r="B1080" s="28"/>
      <c r="C1080" s="28"/>
      <c r="D1080" s="28"/>
      <c r="E1080" s="28"/>
      <c r="F1080" s="28"/>
      <c r="G1080" s="28"/>
      <c r="H1080" s="28"/>
      <c r="I1080" s="28"/>
      <c r="J1080" s="28"/>
      <c r="K1080" s="28"/>
      <c r="L1080" s="28"/>
      <c r="M1080" s="28"/>
      <c r="N1080" s="28"/>
      <c r="O1080" s="28"/>
      <c r="P1080" s="28"/>
      <c r="Q1080" s="28"/>
      <c r="R1080" s="28"/>
      <c r="S1080" s="28"/>
      <c r="T1080" s="28"/>
      <c r="U1080" s="28"/>
      <c r="V1080" s="28"/>
      <c r="W1080" s="28"/>
      <c r="X1080" s="28"/>
      <c r="Y1080" s="28"/>
      <c r="Z1080" s="28"/>
      <c r="AA1080" s="28"/>
      <c r="AB1080" s="28"/>
      <c r="AC1080" s="28"/>
      <c r="AD1080" s="28"/>
      <c r="AE1080" s="28"/>
      <c r="AF1080" s="28"/>
      <c r="AG1080" s="28"/>
      <c r="AH1080" s="28"/>
      <c r="AI1080" s="28"/>
      <c r="AJ1080" s="28"/>
      <c r="AK1080" s="28"/>
      <c r="AL1080" s="28"/>
      <c r="AM1080" s="28"/>
      <c r="AN1080" s="28"/>
      <c r="AO1080" s="28"/>
      <c r="AP1080" s="28"/>
      <c r="AQ1080" s="28"/>
      <c r="AR1080" s="28"/>
      <c r="AS1080" s="28"/>
      <c r="AT1080" s="28"/>
      <c r="AU1080" s="28"/>
      <c r="AV1080" s="28"/>
      <c r="AW1080" s="28"/>
      <c r="AX1080" s="28"/>
      <c r="AY1080" s="28"/>
      <c r="AZ1080" s="28"/>
      <c r="BA1080" s="28"/>
      <c r="BB1080" s="28"/>
      <c r="BC1080" s="28"/>
      <c r="BD1080" s="28"/>
      <c r="BE1080" s="28"/>
    </row>
    <row r="1081" spans="2:57" ht="15.75" customHeight="1" x14ac:dyDescent="0.25">
      <c r="B1081" s="28"/>
      <c r="C1081" s="28"/>
      <c r="D1081" s="28"/>
      <c r="E1081" s="28"/>
      <c r="F1081" s="28"/>
      <c r="G1081" s="28"/>
      <c r="H1081" s="28"/>
      <c r="I1081" s="28"/>
      <c r="J1081" s="28"/>
      <c r="K1081" s="28"/>
      <c r="L1081" s="28"/>
      <c r="M1081" s="28"/>
      <c r="N1081" s="28"/>
      <c r="O1081" s="28"/>
      <c r="P1081" s="28"/>
      <c r="Q1081" s="28"/>
      <c r="R1081" s="28"/>
      <c r="S1081" s="28"/>
      <c r="T1081" s="28"/>
      <c r="U1081" s="28"/>
      <c r="V1081" s="28"/>
      <c r="W1081" s="28"/>
      <c r="X1081" s="28"/>
      <c r="Y1081" s="28"/>
      <c r="Z1081" s="28"/>
      <c r="AA1081" s="28"/>
      <c r="AB1081" s="28"/>
      <c r="AC1081" s="28"/>
      <c r="AD1081" s="28"/>
      <c r="AE1081" s="28"/>
      <c r="AF1081" s="28"/>
      <c r="AG1081" s="28"/>
      <c r="AH1081" s="28"/>
      <c r="AI1081" s="28"/>
      <c r="AJ1081" s="28"/>
      <c r="AK1081" s="28"/>
      <c r="AL1081" s="28"/>
      <c r="AM1081" s="28"/>
      <c r="AN1081" s="28"/>
      <c r="AO1081" s="28"/>
      <c r="AP1081" s="28"/>
      <c r="AQ1081" s="28"/>
      <c r="AR1081" s="28"/>
      <c r="AS1081" s="28"/>
      <c r="AT1081" s="28"/>
      <c r="AU1081" s="28"/>
      <c r="AV1081" s="28"/>
      <c r="AW1081" s="28"/>
      <c r="AX1081" s="28"/>
      <c r="AY1081" s="28"/>
      <c r="AZ1081" s="28"/>
      <c r="BA1081" s="28"/>
      <c r="BB1081" s="28"/>
      <c r="BC1081" s="28"/>
      <c r="BD1081" s="28"/>
      <c r="BE1081" s="28"/>
    </row>
    <row r="1082" spans="2:57" ht="15.75" customHeight="1" x14ac:dyDescent="0.25">
      <c r="B1082" s="28"/>
      <c r="C1082" s="28"/>
      <c r="D1082" s="28"/>
      <c r="E1082" s="28"/>
      <c r="F1082" s="28"/>
      <c r="G1082" s="28"/>
      <c r="H1082" s="28"/>
      <c r="I1082" s="28"/>
      <c r="J1082" s="28"/>
      <c r="K1082" s="28"/>
      <c r="L1082" s="28"/>
      <c r="M1082" s="28"/>
      <c r="N1082" s="28"/>
      <c r="O1082" s="28"/>
      <c r="P1082" s="28"/>
      <c r="Q1082" s="28"/>
      <c r="R1082" s="28"/>
      <c r="S1082" s="28"/>
      <c r="T1082" s="28"/>
      <c r="U1082" s="28"/>
      <c r="V1082" s="28"/>
      <c r="W1082" s="28"/>
      <c r="X1082" s="28"/>
      <c r="Y1082" s="28"/>
      <c r="Z1082" s="28"/>
      <c r="AA1082" s="28"/>
      <c r="AB1082" s="28"/>
      <c r="AC1082" s="28"/>
      <c r="AD1082" s="28"/>
      <c r="AE1082" s="28"/>
      <c r="AF1082" s="28"/>
      <c r="AG1082" s="28"/>
      <c r="AH1082" s="28"/>
      <c r="AI1082" s="28"/>
      <c r="AJ1082" s="28"/>
      <c r="AK1082" s="28"/>
      <c r="AL1082" s="28"/>
      <c r="AM1082" s="28"/>
      <c r="AN1082" s="28"/>
      <c r="AO1082" s="28"/>
      <c r="AP1082" s="28"/>
      <c r="AQ1082" s="28"/>
      <c r="AR1082" s="28"/>
      <c r="AS1082" s="28"/>
      <c r="AT1082" s="28"/>
      <c r="AU1082" s="28"/>
      <c r="AV1082" s="28"/>
      <c r="AW1082" s="28"/>
      <c r="AX1082" s="28"/>
      <c r="AY1082" s="28"/>
      <c r="AZ1082" s="28"/>
      <c r="BA1082" s="28"/>
      <c r="BB1082" s="28"/>
      <c r="BC1082" s="28"/>
      <c r="BD1082" s="28"/>
      <c r="BE1082" s="28"/>
    </row>
    <row r="1083" spans="2:57" ht="15.75" customHeight="1" x14ac:dyDescent="0.25">
      <c r="B1083" s="28"/>
      <c r="C1083" s="28"/>
      <c r="D1083" s="28"/>
      <c r="E1083" s="28"/>
      <c r="F1083" s="28"/>
      <c r="G1083" s="28"/>
      <c r="H1083" s="28"/>
      <c r="I1083" s="28"/>
      <c r="J1083" s="28"/>
      <c r="K1083" s="28"/>
      <c r="L1083" s="28"/>
      <c r="M1083" s="28"/>
      <c r="N1083" s="28"/>
      <c r="O1083" s="28"/>
      <c r="P1083" s="28"/>
      <c r="Q1083" s="28"/>
      <c r="R1083" s="28"/>
      <c r="S1083" s="28"/>
      <c r="T1083" s="28"/>
      <c r="U1083" s="28"/>
      <c r="V1083" s="28"/>
      <c r="W1083" s="28"/>
      <c r="X1083" s="28"/>
      <c r="Y1083" s="28"/>
      <c r="Z1083" s="28"/>
      <c r="AA1083" s="28"/>
      <c r="AB1083" s="28"/>
      <c r="AC1083" s="28"/>
      <c r="AD1083" s="28"/>
      <c r="AE1083" s="28"/>
      <c r="AF1083" s="28"/>
      <c r="AG1083" s="28"/>
      <c r="AH1083" s="28"/>
      <c r="AI1083" s="28"/>
      <c r="AJ1083" s="28"/>
      <c r="AK1083" s="28"/>
      <c r="AL1083" s="28"/>
      <c r="AM1083" s="28"/>
      <c r="AN1083" s="28"/>
      <c r="AO1083" s="28"/>
      <c r="AP1083" s="28"/>
      <c r="AQ1083" s="28"/>
      <c r="AR1083" s="28"/>
      <c r="AS1083" s="28"/>
      <c r="AT1083" s="28"/>
      <c r="AU1083" s="28"/>
      <c r="AV1083" s="28"/>
      <c r="AW1083" s="28"/>
      <c r="AX1083" s="28"/>
      <c r="AY1083" s="28"/>
      <c r="AZ1083" s="28"/>
      <c r="BA1083" s="28"/>
      <c r="BB1083" s="28"/>
      <c r="BC1083" s="28"/>
      <c r="BD1083" s="28"/>
      <c r="BE1083" s="28"/>
    </row>
    <row r="1084" spans="2:57" ht="15.75" customHeight="1" x14ac:dyDescent="0.25">
      <c r="B1084" s="28"/>
      <c r="C1084" s="28"/>
      <c r="D1084" s="28"/>
      <c r="E1084" s="28"/>
      <c r="F1084" s="28"/>
      <c r="G1084" s="28"/>
      <c r="H1084" s="28"/>
      <c r="I1084" s="28"/>
      <c r="J1084" s="28"/>
      <c r="K1084" s="28"/>
      <c r="L1084" s="28"/>
      <c r="M1084" s="28"/>
      <c r="N1084" s="28"/>
      <c r="O1084" s="28"/>
      <c r="P1084" s="28"/>
      <c r="Q1084" s="28"/>
      <c r="R1084" s="28"/>
      <c r="S1084" s="28"/>
      <c r="T1084" s="28"/>
      <c r="U1084" s="28"/>
      <c r="V1084" s="28"/>
      <c r="W1084" s="28"/>
      <c r="X1084" s="28"/>
      <c r="Y1084" s="28"/>
      <c r="Z1084" s="28"/>
      <c r="AA1084" s="28"/>
      <c r="AB1084" s="28"/>
      <c r="AC1084" s="28"/>
      <c r="AD1084" s="28"/>
      <c r="AE1084" s="28"/>
      <c r="AF1084" s="28"/>
      <c r="AG1084" s="28"/>
      <c r="AH1084" s="28"/>
      <c r="AI1084" s="28"/>
      <c r="AJ1084" s="28"/>
      <c r="AK1084" s="28"/>
      <c r="AL1084" s="28"/>
      <c r="AM1084" s="28"/>
      <c r="AN1084" s="28"/>
      <c r="AO1084" s="28"/>
      <c r="AP1084" s="28"/>
      <c r="AQ1084" s="28"/>
      <c r="AR1084" s="28"/>
      <c r="AS1084" s="28"/>
      <c r="AT1084" s="28"/>
      <c r="AU1084" s="28"/>
      <c r="AV1084" s="28"/>
      <c r="AW1084" s="28"/>
      <c r="AX1084" s="28"/>
      <c r="AY1084" s="28"/>
      <c r="AZ1084" s="28"/>
      <c r="BA1084" s="28"/>
      <c r="BB1084" s="28"/>
      <c r="BC1084" s="28"/>
      <c r="BD1084" s="28"/>
      <c r="BE1084" s="28"/>
    </row>
    <row r="1085" spans="2:57" ht="15.75" customHeight="1" x14ac:dyDescent="0.25">
      <c r="B1085" s="28"/>
      <c r="C1085" s="28"/>
      <c r="D1085" s="28"/>
      <c r="E1085" s="28"/>
      <c r="F1085" s="28"/>
      <c r="G1085" s="28"/>
      <c r="H1085" s="28"/>
      <c r="I1085" s="28"/>
      <c r="J1085" s="28"/>
      <c r="K1085" s="28"/>
      <c r="L1085" s="28"/>
      <c r="M1085" s="28"/>
      <c r="N1085" s="28"/>
      <c r="O1085" s="28"/>
      <c r="P1085" s="28"/>
      <c r="Q1085" s="28"/>
      <c r="R1085" s="28"/>
      <c r="S1085" s="28"/>
      <c r="T1085" s="28"/>
      <c r="U1085" s="28"/>
      <c r="V1085" s="28"/>
      <c r="W1085" s="28"/>
      <c r="X1085" s="28"/>
      <c r="Y1085" s="28"/>
      <c r="Z1085" s="28"/>
      <c r="AA1085" s="28"/>
      <c r="AB1085" s="28"/>
      <c r="AC1085" s="28"/>
      <c r="AD1085" s="28"/>
      <c r="AE1085" s="28"/>
      <c r="AF1085" s="28"/>
      <c r="AG1085" s="28"/>
      <c r="AH1085" s="28"/>
      <c r="AI1085" s="28"/>
      <c r="AJ1085" s="28"/>
      <c r="AK1085" s="28"/>
      <c r="AL1085" s="28"/>
      <c r="AM1085" s="28"/>
      <c r="AN1085" s="28"/>
      <c r="AO1085" s="28"/>
      <c r="AP1085" s="28"/>
      <c r="AQ1085" s="28"/>
      <c r="AR1085" s="28"/>
      <c r="AS1085" s="28"/>
      <c r="AT1085" s="28"/>
      <c r="AU1085" s="28"/>
      <c r="AV1085" s="28"/>
      <c r="AW1085" s="28"/>
      <c r="AX1085" s="28"/>
      <c r="AY1085" s="28"/>
      <c r="AZ1085" s="28"/>
      <c r="BA1085" s="28"/>
      <c r="BB1085" s="28"/>
      <c r="BC1085" s="28"/>
      <c r="BD1085" s="28"/>
      <c r="BE1085" s="28"/>
    </row>
    <row r="1086" spans="2:57" ht="15.75" customHeight="1" x14ac:dyDescent="0.25">
      <c r="B1086" s="28"/>
      <c r="C1086" s="28"/>
      <c r="D1086" s="28"/>
      <c r="E1086" s="28"/>
      <c r="F1086" s="28"/>
      <c r="G1086" s="28"/>
      <c r="H1086" s="28"/>
      <c r="I1086" s="28"/>
      <c r="J1086" s="28"/>
      <c r="K1086" s="28"/>
      <c r="L1086" s="28"/>
      <c r="M1086" s="28"/>
      <c r="N1086" s="28"/>
      <c r="O1086" s="28"/>
      <c r="P1086" s="28"/>
      <c r="Q1086" s="28"/>
      <c r="R1086" s="28"/>
      <c r="S1086" s="28"/>
      <c r="T1086" s="28"/>
      <c r="U1086" s="28"/>
      <c r="V1086" s="28"/>
      <c r="W1086" s="28"/>
      <c r="X1086" s="28"/>
      <c r="Y1086" s="28"/>
      <c r="Z1086" s="28"/>
      <c r="AA1086" s="28"/>
      <c r="AB1086" s="28"/>
      <c r="AC1086" s="28"/>
      <c r="AD1086" s="28"/>
      <c r="AE1086" s="28"/>
      <c r="AF1086" s="28"/>
      <c r="AG1086" s="28"/>
      <c r="AH1086" s="28"/>
      <c r="AI1086" s="28"/>
      <c r="AJ1086" s="28"/>
      <c r="AK1086" s="28"/>
      <c r="AL1086" s="28"/>
      <c r="AM1086" s="28"/>
      <c r="AN1086" s="28"/>
      <c r="AO1086" s="28"/>
      <c r="AP1086" s="28"/>
      <c r="AQ1086" s="28"/>
      <c r="AR1086" s="28"/>
      <c r="AS1086" s="28"/>
      <c r="AT1086" s="28"/>
      <c r="AU1086" s="28"/>
      <c r="AV1086" s="28"/>
      <c r="AW1086" s="28"/>
      <c r="AX1086" s="28"/>
      <c r="AY1086" s="28"/>
      <c r="AZ1086" s="28"/>
      <c r="BA1086" s="28"/>
      <c r="BB1086" s="28"/>
      <c r="BC1086" s="28"/>
      <c r="BD1086" s="28"/>
      <c r="BE1086" s="28"/>
    </row>
    <row r="1087" spans="2:57" ht="15.75" customHeight="1" x14ac:dyDescent="0.25">
      <c r="B1087" s="28"/>
      <c r="C1087" s="28"/>
      <c r="D1087" s="28"/>
      <c r="E1087" s="28"/>
      <c r="F1087" s="28"/>
      <c r="G1087" s="28"/>
      <c r="H1087" s="28"/>
      <c r="I1087" s="28"/>
      <c r="J1087" s="28"/>
      <c r="K1087" s="28"/>
      <c r="L1087" s="28"/>
      <c r="M1087" s="28"/>
      <c r="N1087" s="28"/>
      <c r="O1087" s="28"/>
      <c r="P1087" s="28"/>
      <c r="Q1087" s="28"/>
      <c r="R1087" s="28"/>
      <c r="S1087" s="28"/>
      <c r="T1087" s="28"/>
      <c r="U1087" s="28"/>
      <c r="V1087" s="28"/>
      <c r="W1087" s="28"/>
      <c r="X1087" s="28"/>
      <c r="Y1087" s="28"/>
      <c r="Z1087" s="28"/>
      <c r="AA1087" s="28"/>
      <c r="AB1087" s="28"/>
      <c r="AC1087" s="28"/>
      <c r="AD1087" s="28"/>
      <c r="AE1087" s="28"/>
      <c r="AF1087" s="28"/>
      <c r="AG1087" s="28"/>
      <c r="AH1087" s="28"/>
      <c r="AI1087" s="28"/>
      <c r="AJ1087" s="28"/>
      <c r="AK1087" s="28"/>
      <c r="AL1087" s="28"/>
      <c r="AM1087" s="28"/>
      <c r="AN1087" s="28"/>
      <c r="AO1087" s="28"/>
      <c r="AP1087" s="28"/>
      <c r="AQ1087" s="28"/>
      <c r="AR1087" s="28"/>
      <c r="AS1087" s="28"/>
      <c r="AT1087" s="28"/>
      <c r="AU1087" s="28"/>
      <c r="AV1087" s="28"/>
      <c r="AW1087" s="28"/>
      <c r="AX1087" s="28"/>
      <c r="AY1087" s="28"/>
      <c r="AZ1087" s="28"/>
      <c r="BA1087" s="28"/>
      <c r="BB1087" s="28"/>
      <c r="BC1087" s="28"/>
      <c r="BD1087" s="28"/>
      <c r="BE1087" s="28"/>
    </row>
    <row r="1088" spans="2:57" ht="15.75" customHeight="1" x14ac:dyDescent="0.25">
      <c r="B1088" s="28"/>
      <c r="C1088" s="28"/>
      <c r="D1088" s="28"/>
      <c r="E1088" s="28"/>
      <c r="F1088" s="28"/>
      <c r="G1088" s="28"/>
      <c r="H1088" s="28"/>
      <c r="I1088" s="28"/>
      <c r="J1088" s="28"/>
      <c r="K1088" s="28"/>
      <c r="L1088" s="28"/>
      <c r="M1088" s="28"/>
      <c r="N1088" s="28"/>
      <c r="O1088" s="28"/>
      <c r="P1088" s="28"/>
      <c r="Q1088" s="28"/>
      <c r="R1088" s="28"/>
      <c r="S1088" s="28"/>
      <c r="T1088" s="28"/>
      <c r="U1088" s="28"/>
      <c r="V1088" s="28"/>
      <c r="W1088" s="28"/>
      <c r="X1088" s="28"/>
      <c r="Y1088" s="28"/>
      <c r="Z1088" s="28"/>
      <c r="AA1088" s="28"/>
      <c r="AB1088" s="28"/>
      <c r="AC1088" s="28"/>
      <c r="AD1088" s="28"/>
      <c r="AE1088" s="28"/>
      <c r="AF1088" s="28"/>
      <c r="AG1088" s="28"/>
      <c r="AH1088" s="28"/>
      <c r="AI1088" s="28"/>
      <c r="AJ1088" s="28"/>
      <c r="AK1088" s="28"/>
      <c r="AL1088" s="28"/>
      <c r="AM1088" s="28"/>
      <c r="AN1088" s="28"/>
      <c r="AO1088" s="28"/>
      <c r="AP1088" s="28"/>
      <c r="AQ1088" s="28"/>
      <c r="AR1088" s="28"/>
      <c r="AS1088" s="28"/>
      <c r="AT1088" s="28"/>
      <c r="AU1088" s="28"/>
      <c r="AV1088" s="28"/>
      <c r="AW1088" s="28"/>
      <c r="AX1088" s="28"/>
      <c r="AY1088" s="28"/>
      <c r="AZ1088" s="28"/>
      <c r="BA1088" s="28"/>
      <c r="BB1088" s="28"/>
      <c r="BC1088" s="28"/>
      <c r="BD1088" s="28"/>
      <c r="BE1088" s="28"/>
    </row>
  </sheetData>
  <mergeCells count="28">
    <mergeCell ref="B113:D114"/>
    <mergeCell ref="E113:L113"/>
    <mergeCell ref="M113:T113"/>
    <mergeCell ref="E114:L114"/>
    <mergeCell ref="B131:D132"/>
    <mergeCell ref="E131:Q131"/>
    <mergeCell ref="E132:L132"/>
    <mergeCell ref="U63:AB63"/>
    <mergeCell ref="E64:L64"/>
    <mergeCell ref="M64:T64"/>
    <mergeCell ref="U64:AB64"/>
    <mergeCell ref="B89:D90"/>
    <mergeCell ref="E90:L90"/>
    <mergeCell ref="B63:D64"/>
    <mergeCell ref="E63:L63"/>
    <mergeCell ref="M63:T63"/>
    <mergeCell ref="M26:T26"/>
    <mergeCell ref="B44:D45"/>
    <mergeCell ref="E44:L44"/>
    <mergeCell ref="E45:L45"/>
    <mergeCell ref="M45:T45"/>
    <mergeCell ref="B1:K3"/>
    <mergeCell ref="B5:D6"/>
    <mergeCell ref="E5:L5"/>
    <mergeCell ref="E6:L6"/>
    <mergeCell ref="B25:D26"/>
    <mergeCell ref="E25:L25"/>
    <mergeCell ref="E26:L26"/>
  </mergeCells>
  <pageMargins left="0.7" right="0.7" top="0.75" bottom="0.75" header="0" footer="0"/>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D445C-6395-4A51-AAD2-6037B0E42839}">
  <sheetPr>
    <tabColor theme="7" tint="0.39997558519241921"/>
  </sheetPr>
  <dimension ref="A1:AI1011"/>
  <sheetViews>
    <sheetView workbookViewId="0">
      <selection activeCell="B94" sqref="B94:D96"/>
    </sheetView>
  </sheetViews>
  <sheetFormatPr defaultColWidth="12.5703125" defaultRowHeight="15" customHeight="1" x14ac:dyDescent="0.2"/>
  <cols>
    <col min="1" max="1" width="9.42578125" style="1" customWidth="1"/>
    <col min="2" max="2" width="21" style="1" bestFit="1" customWidth="1"/>
    <col min="3" max="3" width="23.85546875" style="1" bestFit="1" customWidth="1"/>
    <col min="4" max="4" width="14.140625" style="1" customWidth="1"/>
    <col min="5" max="5" width="17.28515625" style="1" customWidth="1"/>
    <col min="6" max="6" width="18.5703125" style="1" customWidth="1"/>
    <col min="7" max="7" width="11.7109375" style="1" bestFit="1" customWidth="1"/>
    <col min="8" max="8" width="8.7109375" style="1" bestFit="1" customWidth="1"/>
    <col min="9" max="9" width="17.7109375" style="1" bestFit="1" customWidth="1"/>
    <col min="10" max="10" width="13.5703125" style="1" bestFit="1" customWidth="1"/>
    <col min="11" max="11" width="14.85546875" style="1" customWidth="1"/>
    <col min="12" max="12" width="9.85546875" style="1" customWidth="1"/>
    <col min="13" max="13" width="19" style="1" bestFit="1" customWidth="1"/>
    <col min="14" max="14" width="10" style="1" bestFit="1" customWidth="1"/>
    <col min="15" max="25" width="8.7109375" style="1" bestFit="1" customWidth="1"/>
    <col min="26" max="32" width="12.7109375" style="1" bestFit="1" customWidth="1"/>
    <col min="33" max="16384" width="12.5703125" style="1"/>
  </cols>
  <sheetData>
    <row r="1" spans="2:33" ht="15" customHeight="1" x14ac:dyDescent="0.2">
      <c r="B1" s="289" t="s">
        <v>666</v>
      </c>
      <c r="C1" s="290"/>
      <c r="D1" s="290"/>
      <c r="E1" s="290"/>
      <c r="F1" s="290"/>
      <c r="G1" s="290"/>
      <c r="H1" s="290"/>
      <c r="I1" s="290"/>
      <c r="J1" s="290"/>
      <c r="K1" s="291"/>
    </row>
    <row r="2" spans="2:33" ht="15" customHeight="1" x14ac:dyDescent="0.2">
      <c r="B2" s="292"/>
      <c r="C2" s="293"/>
      <c r="D2" s="293"/>
      <c r="E2" s="293"/>
      <c r="F2" s="293"/>
      <c r="G2" s="293"/>
      <c r="H2" s="293"/>
      <c r="I2" s="293"/>
      <c r="J2" s="293"/>
      <c r="K2" s="294"/>
    </row>
    <row r="3" spans="2:33" ht="15" customHeight="1" thickBot="1" x14ac:dyDescent="0.25">
      <c r="B3" s="295"/>
      <c r="C3" s="296"/>
      <c r="D3" s="296"/>
      <c r="E3" s="296"/>
      <c r="F3" s="296"/>
      <c r="G3" s="296"/>
      <c r="H3" s="296"/>
      <c r="I3" s="296"/>
      <c r="J3" s="296"/>
      <c r="K3" s="297"/>
    </row>
    <row r="4" spans="2:33" ht="15.75" thickBot="1" x14ac:dyDescent="0.3">
      <c r="B4" s="69"/>
      <c r="C4" s="28"/>
      <c r="D4" s="28"/>
      <c r="E4" s="28"/>
      <c r="F4" s="28"/>
      <c r="G4" s="28"/>
      <c r="H4" s="69"/>
      <c r="I4" s="28"/>
      <c r="J4" s="28"/>
      <c r="K4" s="28"/>
      <c r="L4" s="28"/>
      <c r="M4" s="55"/>
      <c r="N4" s="54"/>
      <c r="X4" s="28"/>
      <c r="Y4" s="28"/>
      <c r="Z4" s="28"/>
      <c r="AA4" s="28"/>
      <c r="AB4" s="28"/>
      <c r="AC4" s="28"/>
      <c r="AD4" s="28"/>
      <c r="AE4" s="28"/>
      <c r="AF4" s="28"/>
      <c r="AG4" s="28"/>
    </row>
    <row r="5" spans="2:33" ht="23.25" x14ac:dyDescent="0.35">
      <c r="B5" s="298" t="s">
        <v>667</v>
      </c>
      <c r="C5" s="299"/>
      <c r="D5" s="300"/>
      <c r="E5" s="110"/>
      <c r="F5" s="298" t="s">
        <v>668</v>
      </c>
      <c r="G5" s="299"/>
      <c r="H5" s="300"/>
      <c r="L5" s="110"/>
      <c r="M5" s="55"/>
      <c r="N5" s="56"/>
      <c r="X5" s="28"/>
      <c r="Y5" s="28"/>
      <c r="Z5" s="28"/>
      <c r="AA5" s="28"/>
      <c r="AB5" s="28"/>
      <c r="AC5" s="28"/>
      <c r="AD5" s="28"/>
      <c r="AE5" s="28"/>
      <c r="AF5" s="28"/>
      <c r="AG5" s="28"/>
    </row>
    <row r="6" spans="2:33" ht="39.75" customHeight="1" thickBot="1" x14ac:dyDescent="0.4">
      <c r="B6" s="301"/>
      <c r="C6" s="302"/>
      <c r="D6" s="303"/>
      <c r="E6" s="220"/>
      <c r="F6" s="301"/>
      <c r="G6" s="302"/>
      <c r="H6" s="303"/>
      <c r="L6" s="220"/>
      <c r="M6" s="55"/>
      <c r="N6" s="56"/>
      <c r="R6" s="30"/>
      <c r="S6" s="30"/>
      <c r="T6" s="55"/>
      <c r="U6" s="221"/>
      <c r="V6" s="55"/>
      <c r="W6" s="222"/>
      <c r="X6" s="70"/>
      <c r="Y6" s="70"/>
      <c r="Z6" s="70"/>
      <c r="AA6" s="70"/>
      <c r="AB6" s="70"/>
      <c r="AC6" s="70"/>
      <c r="AD6" s="70"/>
      <c r="AE6" s="70"/>
      <c r="AF6" s="70"/>
      <c r="AG6" s="70"/>
    </row>
    <row r="7" spans="2:33" ht="15" customHeight="1" x14ac:dyDescent="0.25">
      <c r="B7" s="28"/>
      <c r="C7" s="71"/>
      <c r="D7" s="28"/>
      <c r="E7" s="28"/>
      <c r="F7" s="28"/>
      <c r="G7" s="71"/>
      <c r="H7" s="28"/>
      <c r="L7" s="73"/>
      <c r="M7" s="55"/>
      <c r="N7" s="56"/>
      <c r="R7" s="30"/>
      <c r="S7" s="30"/>
      <c r="T7" s="55"/>
      <c r="U7" s="221"/>
      <c r="V7" s="55"/>
      <c r="W7" s="222"/>
      <c r="X7" s="74"/>
      <c r="Y7" s="74"/>
      <c r="Z7" s="74"/>
      <c r="AA7" s="74"/>
      <c r="AB7" s="74"/>
      <c r="AC7" s="74"/>
      <c r="AD7" s="74"/>
      <c r="AE7" s="74"/>
      <c r="AF7" s="74"/>
      <c r="AG7" s="74"/>
    </row>
    <row r="8" spans="2:33" ht="15" customHeight="1" x14ac:dyDescent="0.25">
      <c r="B8" s="69" t="s">
        <v>669</v>
      </c>
      <c r="C8" s="223">
        <v>0.85</v>
      </c>
      <c r="D8" s="155" t="s">
        <v>670</v>
      </c>
      <c r="F8" s="326" t="s">
        <v>668</v>
      </c>
      <c r="R8" s="30"/>
      <c r="S8" s="30"/>
      <c r="T8" s="55"/>
      <c r="U8" s="221"/>
      <c r="V8" s="55"/>
      <c r="W8" s="222"/>
    </row>
    <row r="9" spans="2:33" ht="15" customHeight="1" x14ac:dyDescent="0.25">
      <c r="B9" s="69" t="s">
        <v>671</v>
      </c>
      <c r="C9" s="223">
        <v>0.85</v>
      </c>
      <c r="D9" s="155" t="s">
        <v>670</v>
      </c>
      <c r="F9" s="326"/>
      <c r="G9" s="223">
        <v>0.95</v>
      </c>
      <c r="H9" s="155" t="s">
        <v>670</v>
      </c>
      <c r="R9" s="30"/>
      <c r="S9" s="30"/>
      <c r="T9" s="55"/>
      <c r="U9" s="221"/>
      <c r="V9" s="55"/>
      <c r="W9" s="222"/>
    </row>
    <row r="10" spans="2:33" ht="15.75" thickBot="1" x14ac:dyDescent="0.3">
      <c r="B10" s="69" t="s">
        <v>640</v>
      </c>
      <c r="C10" s="223">
        <v>0.54</v>
      </c>
      <c r="D10" s="155" t="s">
        <v>670</v>
      </c>
      <c r="F10" s="69"/>
      <c r="G10" s="224"/>
      <c r="H10" s="155"/>
      <c r="M10" s="55"/>
      <c r="N10" s="30"/>
      <c r="R10" s="30"/>
      <c r="S10" s="30"/>
      <c r="T10" s="55"/>
      <c r="U10" s="221"/>
      <c r="V10" s="55"/>
      <c r="W10" s="222"/>
    </row>
    <row r="11" spans="2:33" ht="21" customHeight="1" x14ac:dyDescent="0.25">
      <c r="B11" s="69" t="s">
        <v>634</v>
      </c>
      <c r="C11" s="223">
        <v>0.54</v>
      </c>
      <c r="D11" s="155" t="s">
        <v>670</v>
      </c>
      <c r="F11" s="298" t="s">
        <v>672</v>
      </c>
      <c r="G11" s="299"/>
      <c r="H11" s="300"/>
      <c r="R11" s="30"/>
      <c r="S11" s="30"/>
      <c r="T11" s="55"/>
      <c r="U11" s="221"/>
      <c r="V11" s="55"/>
      <c r="W11" s="222"/>
    </row>
    <row r="12" spans="2:33" ht="13.5" customHeight="1" thickBot="1" x14ac:dyDescent="0.25">
      <c r="F12" s="327"/>
      <c r="G12" s="328"/>
      <c r="H12" s="329"/>
      <c r="M12" s="55"/>
      <c r="N12" s="56"/>
      <c r="R12" s="30"/>
      <c r="S12" s="30"/>
      <c r="T12" s="55"/>
      <c r="U12" s="221"/>
      <c r="V12" s="55"/>
      <c r="W12" s="222"/>
    </row>
    <row r="13" spans="2:33" ht="23.25" customHeight="1" thickBot="1" x14ac:dyDescent="0.4">
      <c r="B13" s="298" t="s">
        <v>673</v>
      </c>
      <c r="C13" s="299"/>
      <c r="D13" s="300"/>
      <c r="E13" s="110"/>
      <c r="F13" s="301"/>
      <c r="G13" s="302"/>
      <c r="H13" s="303"/>
      <c r="L13" s="110"/>
      <c r="M13" s="55"/>
      <c r="N13" s="56"/>
      <c r="R13" s="30"/>
      <c r="S13" s="30"/>
      <c r="T13" s="55"/>
      <c r="U13" s="221"/>
      <c r="V13" s="55"/>
      <c r="W13" s="222"/>
      <c r="X13" s="28"/>
      <c r="Y13" s="28"/>
      <c r="Z13" s="28"/>
      <c r="AA13" s="28"/>
      <c r="AB13" s="28"/>
      <c r="AC13" s="28"/>
      <c r="AD13" s="28"/>
      <c r="AE13" s="28"/>
      <c r="AF13" s="28"/>
      <c r="AG13" s="28"/>
    </row>
    <row r="14" spans="2:33" ht="39.75" customHeight="1" thickBot="1" x14ac:dyDescent="0.4">
      <c r="B14" s="301"/>
      <c r="C14" s="302"/>
      <c r="D14" s="303"/>
      <c r="E14" s="220"/>
      <c r="L14" s="220"/>
      <c r="M14" s="30"/>
      <c r="N14" s="56"/>
      <c r="R14" s="30"/>
      <c r="S14" s="30"/>
      <c r="T14" s="55"/>
      <c r="U14" s="221"/>
      <c r="V14" s="55"/>
      <c r="W14" s="222"/>
      <c r="X14" s="70"/>
      <c r="Y14" s="70"/>
      <c r="Z14" s="70"/>
      <c r="AA14" s="70"/>
      <c r="AB14" s="70"/>
      <c r="AC14" s="70"/>
      <c r="AD14" s="70"/>
      <c r="AE14" s="70"/>
      <c r="AF14" s="70"/>
      <c r="AG14" s="70"/>
    </row>
    <row r="15" spans="2:33" ht="15" customHeight="1" x14ac:dyDescent="0.25">
      <c r="B15" s="28"/>
      <c r="C15" s="71"/>
      <c r="D15" s="28"/>
      <c r="E15" s="28"/>
      <c r="F15" s="332" t="s">
        <v>674</v>
      </c>
      <c r="L15" s="73"/>
      <c r="M15" s="30"/>
      <c r="N15" s="56"/>
      <c r="R15" s="30"/>
      <c r="S15" s="30"/>
      <c r="T15" s="55"/>
      <c r="U15" s="221"/>
      <c r="V15" s="55"/>
      <c r="W15" s="222"/>
      <c r="X15" s="74"/>
      <c r="Y15" s="74"/>
      <c r="Z15" s="74"/>
      <c r="AA15" s="74"/>
      <c r="AB15" s="74"/>
      <c r="AC15" s="74"/>
      <c r="AD15" s="74"/>
      <c r="AE15" s="74"/>
      <c r="AF15" s="74"/>
      <c r="AG15" s="74"/>
    </row>
    <row r="16" spans="2:33" ht="15" customHeight="1" x14ac:dyDescent="0.25">
      <c r="F16" s="332"/>
      <c r="G16" s="225">
        <v>0.25</v>
      </c>
      <c r="H16" s="226" t="s">
        <v>670</v>
      </c>
      <c r="M16" s="28"/>
      <c r="N16" s="227"/>
      <c r="O16" s="28"/>
      <c r="P16" s="28"/>
      <c r="Q16" s="28"/>
      <c r="R16" s="30"/>
      <c r="S16" s="30"/>
      <c r="T16" s="55"/>
      <c r="U16" s="221"/>
      <c r="V16" s="55"/>
      <c r="W16" s="222"/>
    </row>
    <row r="17" spans="2:33" ht="15" customHeight="1" x14ac:dyDescent="0.25">
      <c r="B17" s="69" t="s">
        <v>675</v>
      </c>
      <c r="C17" s="228">
        <v>25</v>
      </c>
      <c r="D17" s="155" t="s">
        <v>670</v>
      </c>
      <c r="M17" s="28"/>
      <c r="N17" s="227"/>
      <c r="O17" s="28"/>
      <c r="P17" s="28"/>
      <c r="Q17" s="28"/>
      <c r="R17" s="30"/>
      <c r="S17" s="30"/>
      <c r="T17" s="55"/>
      <c r="U17" s="221"/>
      <c r="V17" s="55"/>
      <c r="W17" s="222"/>
    </row>
    <row r="18" spans="2:33" ht="12.75" customHeight="1" thickBot="1" x14ac:dyDescent="0.3">
      <c r="M18" s="28"/>
      <c r="N18" s="227"/>
      <c r="O18" s="28"/>
      <c r="P18" s="28"/>
      <c r="Q18" s="28"/>
      <c r="R18" s="30"/>
      <c r="S18" s="30"/>
      <c r="T18" s="55"/>
      <c r="U18" s="221"/>
      <c r="V18" s="55"/>
      <c r="W18" s="222"/>
    </row>
    <row r="19" spans="2:33" ht="23.25" customHeight="1" x14ac:dyDescent="0.35">
      <c r="B19" s="298" t="s">
        <v>676</v>
      </c>
      <c r="C19" s="299"/>
      <c r="D19" s="300"/>
      <c r="E19" s="110"/>
      <c r="F19" s="229"/>
      <c r="G19" s="229"/>
      <c r="H19" s="229"/>
      <c r="I19" s="229"/>
      <c r="L19" s="110"/>
      <c r="M19" s="28"/>
      <c r="N19" s="28"/>
      <c r="O19" s="28"/>
      <c r="P19" s="28"/>
      <c r="Q19" s="28"/>
      <c r="R19" s="30"/>
      <c r="S19" s="30"/>
      <c r="T19" s="55"/>
      <c r="U19" s="221"/>
      <c r="V19" s="55"/>
      <c r="W19" s="222"/>
      <c r="X19" s="28"/>
      <c r="Y19" s="28"/>
      <c r="Z19" s="28"/>
      <c r="AA19" s="28"/>
      <c r="AB19" s="28"/>
      <c r="AC19" s="28"/>
      <c r="AD19" s="28"/>
      <c r="AE19" s="28"/>
      <c r="AF19" s="28"/>
      <c r="AG19" s="28"/>
    </row>
    <row r="20" spans="2:33" ht="39.75" customHeight="1" thickBot="1" x14ac:dyDescent="0.4">
      <c r="B20" s="301"/>
      <c r="C20" s="302"/>
      <c r="D20" s="303"/>
      <c r="E20" s="220"/>
      <c r="F20" s="229"/>
      <c r="G20" s="229"/>
      <c r="H20" s="229"/>
      <c r="I20" s="229"/>
      <c r="L20" s="220"/>
      <c r="M20" s="28"/>
      <c r="N20" s="28"/>
      <c r="O20" s="28"/>
      <c r="P20" s="28"/>
      <c r="Q20" s="28"/>
      <c r="R20" s="30"/>
      <c r="S20" s="30"/>
      <c r="T20" s="55"/>
      <c r="U20" s="221"/>
      <c r="V20" s="55"/>
      <c r="W20" s="222"/>
      <c r="X20" s="70"/>
      <c r="Y20" s="70"/>
      <c r="Z20" s="70"/>
      <c r="AA20" s="70"/>
      <c r="AB20" s="70"/>
      <c r="AC20" s="70"/>
      <c r="AD20" s="70"/>
      <c r="AE20" s="70"/>
      <c r="AF20" s="70"/>
      <c r="AG20" s="70"/>
    </row>
    <row r="21" spans="2:33" ht="15" customHeight="1" x14ac:dyDescent="0.25">
      <c r="B21" s="28"/>
      <c r="C21" s="71"/>
      <c r="D21" s="28"/>
      <c r="E21" s="28"/>
      <c r="F21" s="229"/>
      <c r="G21" s="229"/>
      <c r="H21" s="229"/>
      <c r="I21" s="229"/>
      <c r="L21" s="73"/>
      <c r="M21" s="28"/>
      <c r="N21" s="28"/>
      <c r="O21" s="28"/>
      <c r="P21" s="28"/>
      <c r="Q21" s="28"/>
      <c r="R21" s="30"/>
      <c r="S21" s="30"/>
      <c r="T21" s="55"/>
      <c r="U21" s="221"/>
      <c r="V21" s="55"/>
      <c r="W21" s="222"/>
      <c r="X21" s="74"/>
      <c r="Y21" s="74"/>
      <c r="Z21" s="74"/>
      <c r="AA21" s="74"/>
      <c r="AB21" s="74"/>
      <c r="AC21" s="74"/>
      <c r="AD21" s="74"/>
      <c r="AE21" s="74"/>
      <c r="AF21" s="74"/>
      <c r="AG21" s="74"/>
    </row>
    <row r="22" spans="2:33" ht="15" customHeight="1" x14ac:dyDescent="0.25">
      <c r="F22" s="229"/>
      <c r="G22" s="229"/>
      <c r="H22" s="229"/>
      <c r="I22" s="229"/>
      <c r="M22" s="28"/>
      <c r="N22" s="28"/>
      <c r="O22" s="28"/>
      <c r="P22" s="28"/>
      <c r="Q22" s="28"/>
      <c r="R22" s="30"/>
      <c r="S22" s="30"/>
      <c r="T22" s="55"/>
      <c r="U22" s="221"/>
      <c r="V22" s="55"/>
      <c r="W22" s="222"/>
    </row>
    <row r="23" spans="2:33" ht="15" customHeight="1" x14ac:dyDescent="0.25">
      <c r="B23" s="69" t="s">
        <v>676</v>
      </c>
      <c r="C23" s="223">
        <v>0.1</v>
      </c>
      <c r="D23" s="155" t="s">
        <v>670</v>
      </c>
      <c r="F23" s="229"/>
      <c r="G23" s="229"/>
      <c r="H23" s="229"/>
      <c r="I23" s="229"/>
      <c r="M23" s="28"/>
      <c r="N23" s="28"/>
      <c r="O23" s="28"/>
      <c r="P23" s="28"/>
      <c r="Q23" s="28"/>
      <c r="R23" s="30"/>
      <c r="S23" s="30"/>
      <c r="T23" s="55"/>
      <c r="U23" s="221"/>
      <c r="V23" s="55"/>
      <c r="W23" s="222"/>
    </row>
    <row r="24" spans="2:33" ht="12.75" customHeight="1" x14ac:dyDescent="0.25">
      <c r="B24" s="230" t="s">
        <v>677</v>
      </c>
      <c r="F24" s="229"/>
      <c r="G24" s="229"/>
      <c r="H24" s="229"/>
      <c r="I24" s="229"/>
      <c r="M24" s="28"/>
      <c r="N24" s="28"/>
      <c r="O24" s="28"/>
      <c r="P24" s="28"/>
      <c r="Q24" s="28"/>
      <c r="R24" s="30"/>
      <c r="S24" s="231"/>
      <c r="T24" s="55"/>
      <c r="U24" s="221"/>
      <c r="V24" s="221"/>
      <c r="W24" s="222"/>
    </row>
    <row r="25" spans="2:33" ht="12.75" customHeight="1" x14ac:dyDescent="0.25">
      <c r="F25" s="229"/>
      <c r="G25" s="229"/>
      <c r="H25" s="229"/>
      <c r="I25" s="229"/>
      <c r="M25" s="28"/>
      <c r="N25" s="28"/>
      <c r="O25" s="28"/>
      <c r="P25" s="28"/>
      <c r="Q25" s="28"/>
      <c r="R25" s="30"/>
      <c r="S25" s="231"/>
      <c r="T25" s="55"/>
      <c r="U25" s="221"/>
      <c r="V25" s="221"/>
      <c r="W25" s="222"/>
    </row>
    <row r="26" spans="2:33" ht="12.75" customHeight="1" thickBot="1" x14ac:dyDescent="0.3">
      <c r="M26" s="28"/>
      <c r="N26" s="28"/>
      <c r="O26" s="28"/>
      <c r="P26" s="28"/>
      <c r="Q26" s="28"/>
      <c r="R26" s="30"/>
      <c r="S26" s="231"/>
      <c r="T26" s="55"/>
      <c r="U26" s="221"/>
      <c r="V26" s="221"/>
      <c r="W26" s="222"/>
    </row>
    <row r="27" spans="2:33" ht="12.75" customHeight="1" x14ac:dyDescent="0.25">
      <c r="B27" s="298" t="s">
        <v>678</v>
      </c>
      <c r="C27" s="299"/>
      <c r="D27" s="300"/>
      <c r="M27" s="28"/>
      <c r="N27" s="28"/>
      <c r="O27" s="28"/>
      <c r="P27" s="28"/>
      <c r="Q27" s="28"/>
      <c r="R27" s="30"/>
      <c r="S27" s="231"/>
      <c r="T27" s="55"/>
      <c r="U27" s="221"/>
      <c r="V27" s="221"/>
      <c r="W27" s="222"/>
    </row>
    <row r="28" spans="2:33" ht="12.75" customHeight="1" thickBot="1" x14ac:dyDescent="0.3">
      <c r="B28" s="301"/>
      <c r="C28" s="302"/>
      <c r="D28" s="303"/>
      <c r="M28" s="28"/>
      <c r="N28" s="28"/>
      <c r="O28" s="28"/>
      <c r="P28" s="28"/>
      <c r="Q28" s="28"/>
      <c r="R28" s="30"/>
      <c r="S28" s="30"/>
      <c r="T28" s="55"/>
      <c r="U28" s="221"/>
      <c r="V28" s="55"/>
      <c r="W28" s="232"/>
    </row>
    <row r="29" spans="2:33" ht="12.75" customHeight="1" x14ac:dyDescent="0.25">
      <c r="B29" s="28"/>
      <c r="C29" s="71"/>
      <c r="D29" s="28"/>
      <c r="M29" s="28"/>
      <c r="N29" s="28"/>
      <c r="O29" s="28"/>
      <c r="P29" s="28"/>
      <c r="Q29" s="28"/>
      <c r="R29" s="30"/>
      <c r="S29" s="30"/>
      <c r="T29" s="55"/>
      <c r="U29" s="221"/>
      <c r="V29" s="55"/>
      <c r="W29" s="232"/>
    </row>
    <row r="30" spans="2:33" ht="12.75" customHeight="1" x14ac:dyDescent="0.25">
      <c r="B30" s="69" t="s">
        <v>679</v>
      </c>
      <c r="C30" s="223">
        <v>0.1</v>
      </c>
      <c r="D30" s="155" t="s">
        <v>670</v>
      </c>
      <c r="M30" s="28"/>
      <c r="N30" s="28"/>
      <c r="O30" s="28"/>
      <c r="P30" s="28"/>
      <c r="Q30" s="28"/>
      <c r="R30" s="30"/>
      <c r="S30" s="30"/>
      <c r="T30" s="55"/>
      <c r="U30" s="221"/>
      <c r="V30" s="55"/>
      <c r="W30" s="232"/>
    </row>
    <row r="31" spans="2:33" ht="12.75" customHeight="1" x14ac:dyDescent="0.25">
      <c r="B31" s="69"/>
      <c r="C31" s="224"/>
      <c r="D31" s="155"/>
      <c r="M31" s="28"/>
      <c r="N31" s="28"/>
      <c r="O31" s="28"/>
      <c r="P31" s="28"/>
      <c r="Q31" s="28"/>
      <c r="R31" s="30"/>
      <c r="S31" s="30"/>
      <c r="T31" s="55"/>
      <c r="U31" s="221"/>
      <c r="V31" s="55"/>
      <c r="W31" s="232"/>
    </row>
    <row r="32" spans="2:33" ht="12.75" customHeight="1" thickBot="1" x14ac:dyDescent="0.3">
      <c r="B32" s="69"/>
      <c r="C32" s="224"/>
      <c r="D32" s="155"/>
    </row>
    <row r="33" spans="1:35" ht="12.75" customHeight="1" x14ac:dyDescent="0.2">
      <c r="B33" s="298" t="s">
        <v>680</v>
      </c>
      <c r="C33" s="299"/>
      <c r="D33" s="300"/>
    </row>
    <row r="34" spans="1:35" ht="12.75" customHeight="1" thickBot="1" x14ac:dyDescent="0.25">
      <c r="B34" s="301"/>
      <c r="C34" s="302"/>
      <c r="D34" s="303"/>
    </row>
    <row r="35" spans="1:35" ht="12.75" customHeight="1" x14ac:dyDescent="0.2">
      <c r="B35" s="233"/>
      <c r="C35" s="233"/>
      <c r="D35" s="233"/>
    </row>
    <row r="36" spans="1:35" ht="12.75" customHeight="1" x14ac:dyDescent="0.2">
      <c r="B36" s="234" t="s">
        <v>680</v>
      </c>
      <c r="C36" s="235">
        <v>0.2</v>
      </c>
      <c r="D36" s="226" t="s">
        <v>670</v>
      </c>
    </row>
    <row r="37" spans="1:35" ht="12.75" customHeight="1" x14ac:dyDescent="0.25">
      <c r="B37" s="28"/>
      <c r="C37" s="28"/>
      <c r="D37" s="28"/>
      <c r="L37" s="28"/>
    </row>
    <row r="38" spans="1:35" ht="12.75" customHeight="1" x14ac:dyDescent="0.25">
      <c r="L38" s="28"/>
    </row>
    <row r="39" spans="1:35" ht="12.75" customHeight="1" x14ac:dyDescent="0.25">
      <c r="A39" s="28"/>
      <c r="B39" s="28"/>
      <c r="C39" s="28"/>
      <c r="D39" s="28"/>
      <c r="E39" s="28"/>
      <c r="F39" s="28"/>
      <c r="G39" s="28"/>
      <c r="H39" s="28"/>
      <c r="I39" s="28"/>
      <c r="J39" s="28"/>
      <c r="K39" s="28"/>
      <c r="L39" s="28"/>
      <c r="AI39" s="236"/>
    </row>
    <row r="40" spans="1:35" x14ac:dyDescent="0.25">
      <c r="A40" s="28"/>
      <c r="B40" s="28"/>
      <c r="C40" s="28"/>
      <c r="D40" s="28"/>
      <c r="E40" s="28"/>
      <c r="F40" s="28"/>
      <c r="G40" s="28"/>
      <c r="H40" s="28"/>
      <c r="I40" s="28"/>
      <c r="J40" s="28"/>
      <c r="K40" s="28"/>
      <c r="L40" s="28"/>
    </row>
    <row r="41" spans="1:35" ht="15.75" thickBot="1" x14ac:dyDescent="0.3">
      <c r="A41" s="28"/>
      <c r="B41" s="28"/>
      <c r="C41" s="28"/>
      <c r="D41" s="28"/>
      <c r="E41" s="28"/>
      <c r="F41" s="28"/>
      <c r="G41" s="28"/>
      <c r="H41" s="28"/>
      <c r="I41" s="28"/>
      <c r="J41" s="28"/>
      <c r="K41" s="28"/>
      <c r="L41" s="28"/>
    </row>
    <row r="42" spans="1:35" ht="32.25" customHeight="1" x14ac:dyDescent="0.25">
      <c r="A42" s="28"/>
      <c r="B42" s="298" t="s">
        <v>681</v>
      </c>
      <c r="C42" s="299"/>
      <c r="D42" s="300"/>
      <c r="E42" s="333" t="s">
        <v>682</v>
      </c>
      <c r="F42" s="334"/>
      <c r="G42" s="334"/>
      <c r="H42" s="334"/>
      <c r="I42" s="334"/>
      <c r="J42" s="334"/>
      <c r="K42" s="334"/>
      <c r="L42" s="334"/>
      <c r="M42" s="330" t="s">
        <v>683</v>
      </c>
      <c r="N42" s="330"/>
      <c r="O42" s="330"/>
      <c r="P42" s="330"/>
      <c r="Q42" s="330"/>
      <c r="R42" s="330"/>
      <c r="S42" s="330"/>
      <c r="T42" s="330"/>
      <c r="U42" s="330"/>
      <c r="V42" s="330"/>
      <c r="W42" s="330"/>
      <c r="X42" s="330"/>
      <c r="Y42" s="330"/>
      <c r="Z42" s="330"/>
      <c r="AA42" s="237"/>
      <c r="AB42" s="237"/>
      <c r="AC42" s="28"/>
      <c r="AD42" s="28"/>
      <c r="AE42" s="28"/>
      <c r="AF42" s="28"/>
      <c r="AG42" s="28"/>
    </row>
    <row r="43" spans="1:35" ht="31.5" customHeight="1" thickBot="1" x14ac:dyDescent="0.4">
      <c r="A43" s="28"/>
      <c r="B43" s="301"/>
      <c r="C43" s="302"/>
      <c r="D43" s="303"/>
      <c r="E43" s="333"/>
      <c r="F43" s="334"/>
      <c r="G43" s="334"/>
      <c r="H43" s="334"/>
      <c r="I43" s="334"/>
      <c r="J43" s="334"/>
      <c r="K43" s="334"/>
      <c r="L43" s="334"/>
      <c r="M43" s="330"/>
      <c r="N43" s="330"/>
      <c r="O43" s="330"/>
      <c r="P43" s="330"/>
      <c r="Q43" s="330"/>
      <c r="R43" s="330"/>
      <c r="S43" s="330"/>
      <c r="T43" s="330"/>
      <c r="U43" s="330"/>
      <c r="V43" s="330"/>
      <c r="W43" s="330"/>
      <c r="X43" s="330"/>
      <c r="Y43" s="330"/>
      <c r="Z43" s="330"/>
      <c r="AA43" s="220"/>
      <c r="AB43" s="220"/>
      <c r="AC43" s="70"/>
      <c r="AD43" s="70"/>
      <c r="AE43" s="28"/>
      <c r="AF43" s="28"/>
      <c r="AG43" s="28"/>
    </row>
    <row r="44" spans="1:35" ht="12.75" customHeight="1" thickBot="1" x14ac:dyDescent="0.3">
      <c r="A44" s="28"/>
      <c r="B44" s="28"/>
      <c r="C44" s="71"/>
      <c r="D44" s="28"/>
      <c r="E44" s="28"/>
      <c r="F44" s="28"/>
      <c r="G44" s="28"/>
      <c r="H44" s="28"/>
      <c r="I44" s="72"/>
      <c r="J44" s="64"/>
      <c r="K44" s="65"/>
      <c r="L44" s="73"/>
      <c r="M44" s="73"/>
      <c r="N44" s="73"/>
      <c r="O44" s="74"/>
      <c r="P44" s="74"/>
      <c r="Q44" s="74"/>
      <c r="R44" s="74"/>
      <c r="S44" s="74"/>
      <c r="T44" s="74"/>
      <c r="U44" s="74"/>
      <c r="V44" s="74"/>
      <c r="W44" s="74"/>
      <c r="X44" s="74"/>
      <c r="Y44" s="74"/>
      <c r="Z44" s="74"/>
      <c r="AA44" s="74"/>
      <c r="AB44" s="74"/>
      <c r="AC44" s="74"/>
      <c r="AD44" s="74"/>
      <c r="AE44" s="28"/>
      <c r="AF44" s="28"/>
      <c r="AG44" s="28"/>
    </row>
    <row r="45" spans="1:35" ht="12.75" customHeight="1" thickBot="1" x14ac:dyDescent="0.3">
      <c r="A45" s="28"/>
      <c r="B45" s="75" t="s">
        <v>2</v>
      </c>
      <c r="C45" s="76" t="s">
        <v>60</v>
      </c>
      <c r="D45" s="80">
        <v>2021</v>
      </c>
      <c r="E45" s="78">
        <v>2022</v>
      </c>
      <c r="F45" s="79">
        <v>2023</v>
      </c>
      <c r="G45" s="130">
        <v>2024</v>
      </c>
      <c r="H45" s="131">
        <v>2025</v>
      </c>
      <c r="I45" s="131">
        <v>2026</v>
      </c>
      <c r="J45" s="131">
        <v>2027</v>
      </c>
      <c r="K45" s="131">
        <v>2028</v>
      </c>
      <c r="L45" s="131">
        <v>2029</v>
      </c>
      <c r="M45" s="131">
        <v>2030</v>
      </c>
      <c r="N45" s="131">
        <v>2031</v>
      </c>
      <c r="O45" s="131">
        <v>2032</v>
      </c>
      <c r="P45" s="131">
        <v>2033</v>
      </c>
      <c r="Q45" s="131">
        <v>2034</v>
      </c>
      <c r="R45" s="131">
        <v>2035</v>
      </c>
      <c r="S45" s="131">
        <v>2036</v>
      </c>
      <c r="T45" s="131">
        <v>2037</v>
      </c>
      <c r="U45" s="131">
        <v>2038</v>
      </c>
      <c r="V45" s="131">
        <v>2039</v>
      </c>
      <c r="W45" s="131">
        <v>2040</v>
      </c>
      <c r="X45" s="131">
        <v>2041</v>
      </c>
      <c r="Y45" s="131">
        <v>2042</v>
      </c>
      <c r="Z45" s="131">
        <v>2043</v>
      </c>
      <c r="AA45" s="131">
        <v>2044</v>
      </c>
      <c r="AB45" s="131">
        <v>2045</v>
      </c>
      <c r="AC45" s="131">
        <v>2046</v>
      </c>
      <c r="AD45" s="131">
        <v>2047</v>
      </c>
      <c r="AE45" s="131">
        <v>2048</v>
      </c>
      <c r="AF45" s="131">
        <v>2049</v>
      </c>
      <c r="AG45" s="132">
        <v>2050</v>
      </c>
    </row>
    <row r="46" spans="1:35" ht="12.75" customHeight="1" x14ac:dyDescent="0.25">
      <c r="A46" s="28"/>
      <c r="B46" s="82" t="s">
        <v>5</v>
      </c>
      <c r="C46" s="238" t="s">
        <v>22</v>
      </c>
      <c r="D46" s="111"/>
      <c r="E46" s="239"/>
      <c r="F46" s="240"/>
      <c r="G46" s="241">
        <v>1</v>
      </c>
      <c r="H46" s="242">
        <f>G46</f>
        <v>1</v>
      </c>
      <c r="I46" s="242">
        <f t="shared" ref="I46:AG56" si="0">H46</f>
        <v>1</v>
      </c>
      <c r="J46" s="242">
        <f t="shared" si="0"/>
        <v>1</v>
      </c>
      <c r="K46" s="242">
        <f t="shared" si="0"/>
        <v>1</v>
      </c>
      <c r="L46" s="242">
        <f t="shared" si="0"/>
        <v>1</v>
      </c>
      <c r="M46" s="242">
        <f t="shared" si="0"/>
        <v>1</v>
      </c>
      <c r="N46" s="242">
        <f t="shared" si="0"/>
        <v>1</v>
      </c>
      <c r="O46" s="242">
        <f t="shared" si="0"/>
        <v>1</v>
      </c>
      <c r="P46" s="242">
        <f t="shared" si="0"/>
        <v>1</v>
      </c>
      <c r="Q46" s="242">
        <f t="shared" si="0"/>
        <v>1</v>
      </c>
      <c r="R46" s="242">
        <f t="shared" si="0"/>
        <v>1</v>
      </c>
      <c r="S46" s="242">
        <f t="shared" si="0"/>
        <v>1</v>
      </c>
      <c r="T46" s="242">
        <f t="shared" si="0"/>
        <v>1</v>
      </c>
      <c r="U46" s="242">
        <f t="shared" si="0"/>
        <v>1</v>
      </c>
      <c r="V46" s="242">
        <f t="shared" si="0"/>
        <v>1</v>
      </c>
      <c r="W46" s="242">
        <f t="shared" si="0"/>
        <v>1</v>
      </c>
      <c r="X46" s="242">
        <f t="shared" si="0"/>
        <v>1</v>
      </c>
      <c r="Y46" s="242">
        <f t="shared" si="0"/>
        <v>1</v>
      </c>
      <c r="Z46" s="242">
        <f t="shared" si="0"/>
        <v>1</v>
      </c>
      <c r="AA46" s="242">
        <f t="shared" si="0"/>
        <v>1</v>
      </c>
      <c r="AB46" s="242">
        <f t="shared" si="0"/>
        <v>1</v>
      </c>
      <c r="AC46" s="242">
        <f t="shared" si="0"/>
        <v>1</v>
      </c>
      <c r="AD46" s="242">
        <f t="shared" si="0"/>
        <v>1</v>
      </c>
      <c r="AE46" s="242">
        <f t="shared" si="0"/>
        <v>1</v>
      </c>
      <c r="AF46" s="242">
        <f t="shared" si="0"/>
        <v>1</v>
      </c>
      <c r="AG46" s="243">
        <f t="shared" si="0"/>
        <v>1</v>
      </c>
    </row>
    <row r="47" spans="1:35" ht="12.75" customHeight="1" x14ac:dyDescent="0.25">
      <c r="A47" s="28"/>
      <c r="B47" s="82" t="s">
        <v>6</v>
      </c>
      <c r="C47" s="238" t="s">
        <v>23</v>
      </c>
      <c r="D47" s="117"/>
      <c r="E47" s="244"/>
      <c r="F47" s="245"/>
      <c r="G47" s="246">
        <v>1</v>
      </c>
      <c r="H47" s="247">
        <f t="shared" ref="H47:H56" si="1">G47</f>
        <v>1</v>
      </c>
      <c r="I47" s="247">
        <f t="shared" si="0"/>
        <v>1</v>
      </c>
      <c r="J47" s="247">
        <f t="shared" si="0"/>
        <v>1</v>
      </c>
      <c r="K47" s="247">
        <f t="shared" si="0"/>
        <v>1</v>
      </c>
      <c r="L47" s="247">
        <f t="shared" si="0"/>
        <v>1</v>
      </c>
      <c r="M47" s="247">
        <f t="shared" si="0"/>
        <v>1</v>
      </c>
      <c r="N47" s="247">
        <f t="shared" si="0"/>
        <v>1</v>
      </c>
      <c r="O47" s="247">
        <f t="shared" si="0"/>
        <v>1</v>
      </c>
      <c r="P47" s="247">
        <f t="shared" si="0"/>
        <v>1</v>
      </c>
      <c r="Q47" s="247">
        <f t="shared" si="0"/>
        <v>1</v>
      </c>
      <c r="R47" s="247">
        <f t="shared" si="0"/>
        <v>1</v>
      </c>
      <c r="S47" s="247">
        <f t="shared" si="0"/>
        <v>1</v>
      </c>
      <c r="T47" s="247">
        <f t="shared" si="0"/>
        <v>1</v>
      </c>
      <c r="U47" s="247">
        <f t="shared" si="0"/>
        <v>1</v>
      </c>
      <c r="V47" s="247">
        <f t="shared" si="0"/>
        <v>1</v>
      </c>
      <c r="W47" s="247">
        <f t="shared" si="0"/>
        <v>1</v>
      </c>
      <c r="X47" s="247">
        <f t="shared" si="0"/>
        <v>1</v>
      </c>
      <c r="Y47" s="247">
        <f t="shared" si="0"/>
        <v>1</v>
      </c>
      <c r="Z47" s="247">
        <f t="shared" si="0"/>
        <v>1</v>
      </c>
      <c r="AA47" s="247">
        <f t="shared" si="0"/>
        <v>1</v>
      </c>
      <c r="AB47" s="247">
        <f t="shared" si="0"/>
        <v>1</v>
      </c>
      <c r="AC47" s="247">
        <f t="shared" si="0"/>
        <v>1</v>
      </c>
      <c r="AD47" s="247">
        <f t="shared" si="0"/>
        <v>1</v>
      </c>
      <c r="AE47" s="247">
        <f t="shared" si="0"/>
        <v>1</v>
      </c>
      <c r="AF47" s="247">
        <f t="shared" si="0"/>
        <v>1</v>
      </c>
      <c r="AG47" s="248">
        <f t="shared" si="0"/>
        <v>1</v>
      </c>
    </row>
    <row r="48" spans="1:35" ht="12.75" customHeight="1" x14ac:dyDescent="0.25">
      <c r="A48" s="28"/>
      <c r="B48" s="82" t="s">
        <v>7</v>
      </c>
      <c r="C48" s="238" t="s">
        <v>24</v>
      </c>
      <c r="D48" s="117"/>
      <c r="E48" s="244"/>
      <c r="F48" s="245"/>
      <c r="G48" s="246">
        <v>1</v>
      </c>
      <c r="H48" s="247">
        <f t="shared" si="1"/>
        <v>1</v>
      </c>
      <c r="I48" s="247">
        <f t="shared" si="0"/>
        <v>1</v>
      </c>
      <c r="J48" s="247">
        <f t="shared" si="0"/>
        <v>1</v>
      </c>
      <c r="K48" s="247">
        <f t="shared" si="0"/>
        <v>1</v>
      </c>
      <c r="L48" s="247">
        <f t="shared" si="0"/>
        <v>1</v>
      </c>
      <c r="M48" s="247">
        <f t="shared" si="0"/>
        <v>1</v>
      </c>
      <c r="N48" s="247">
        <f t="shared" si="0"/>
        <v>1</v>
      </c>
      <c r="O48" s="247">
        <f t="shared" si="0"/>
        <v>1</v>
      </c>
      <c r="P48" s="247">
        <f t="shared" si="0"/>
        <v>1</v>
      </c>
      <c r="Q48" s="247">
        <f t="shared" si="0"/>
        <v>1</v>
      </c>
      <c r="R48" s="247">
        <f t="shared" si="0"/>
        <v>1</v>
      </c>
      <c r="S48" s="247">
        <f t="shared" si="0"/>
        <v>1</v>
      </c>
      <c r="T48" s="247">
        <f t="shared" si="0"/>
        <v>1</v>
      </c>
      <c r="U48" s="247">
        <f t="shared" si="0"/>
        <v>1</v>
      </c>
      <c r="V48" s="247">
        <f t="shared" si="0"/>
        <v>1</v>
      </c>
      <c r="W48" s="247">
        <f t="shared" si="0"/>
        <v>1</v>
      </c>
      <c r="X48" s="247">
        <f t="shared" si="0"/>
        <v>1</v>
      </c>
      <c r="Y48" s="247">
        <f t="shared" si="0"/>
        <v>1</v>
      </c>
      <c r="Z48" s="247">
        <f t="shared" si="0"/>
        <v>1</v>
      </c>
      <c r="AA48" s="247">
        <f t="shared" si="0"/>
        <v>1</v>
      </c>
      <c r="AB48" s="247">
        <f t="shared" si="0"/>
        <v>1</v>
      </c>
      <c r="AC48" s="247">
        <f t="shared" si="0"/>
        <v>1</v>
      </c>
      <c r="AD48" s="247">
        <f t="shared" si="0"/>
        <v>1</v>
      </c>
      <c r="AE48" s="247">
        <f t="shared" si="0"/>
        <v>1</v>
      </c>
      <c r="AF48" s="247">
        <f t="shared" si="0"/>
        <v>1</v>
      </c>
      <c r="AG48" s="248">
        <f t="shared" si="0"/>
        <v>1</v>
      </c>
    </row>
    <row r="49" spans="1:33" ht="12.75" customHeight="1" x14ac:dyDescent="0.25">
      <c r="A49" s="28"/>
      <c r="B49" s="82" t="s">
        <v>9</v>
      </c>
      <c r="C49" s="238" t="s">
        <v>25</v>
      </c>
      <c r="D49" s="117"/>
      <c r="E49" s="244"/>
      <c r="F49" s="245"/>
      <c r="G49" s="246">
        <v>1</v>
      </c>
      <c r="H49" s="247">
        <f t="shared" si="1"/>
        <v>1</v>
      </c>
      <c r="I49" s="247">
        <f t="shared" si="0"/>
        <v>1</v>
      </c>
      <c r="J49" s="247">
        <f t="shared" si="0"/>
        <v>1</v>
      </c>
      <c r="K49" s="247">
        <f t="shared" si="0"/>
        <v>1</v>
      </c>
      <c r="L49" s="247">
        <f t="shared" si="0"/>
        <v>1</v>
      </c>
      <c r="M49" s="247">
        <f t="shared" si="0"/>
        <v>1</v>
      </c>
      <c r="N49" s="247">
        <f t="shared" si="0"/>
        <v>1</v>
      </c>
      <c r="O49" s="247">
        <f t="shared" si="0"/>
        <v>1</v>
      </c>
      <c r="P49" s="247">
        <f t="shared" si="0"/>
        <v>1</v>
      </c>
      <c r="Q49" s="247">
        <f t="shared" si="0"/>
        <v>1</v>
      </c>
      <c r="R49" s="247">
        <f t="shared" si="0"/>
        <v>1</v>
      </c>
      <c r="S49" s="247">
        <f t="shared" si="0"/>
        <v>1</v>
      </c>
      <c r="T49" s="247">
        <f t="shared" si="0"/>
        <v>1</v>
      </c>
      <c r="U49" s="247">
        <f t="shared" si="0"/>
        <v>1</v>
      </c>
      <c r="V49" s="247">
        <f t="shared" si="0"/>
        <v>1</v>
      </c>
      <c r="W49" s="247">
        <f t="shared" si="0"/>
        <v>1</v>
      </c>
      <c r="X49" s="247">
        <f t="shared" si="0"/>
        <v>1</v>
      </c>
      <c r="Y49" s="247">
        <f t="shared" si="0"/>
        <v>1</v>
      </c>
      <c r="Z49" s="247">
        <f t="shared" si="0"/>
        <v>1</v>
      </c>
      <c r="AA49" s="247">
        <f t="shared" si="0"/>
        <v>1</v>
      </c>
      <c r="AB49" s="247">
        <f t="shared" si="0"/>
        <v>1</v>
      </c>
      <c r="AC49" s="247">
        <f t="shared" si="0"/>
        <v>1</v>
      </c>
      <c r="AD49" s="247">
        <f t="shared" si="0"/>
        <v>1</v>
      </c>
      <c r="AE49" s="247">
        <f t="shared" si="0"/>
        <v>1</v>
      </c>
      <c r="AF49" s="247">
        <f t="shared" si="0"/>
        <v>1</v>
      </c>
      <c r="AG49" s="248">
        <f t="shared" si="0"/>
        <v>1</v>
      </c>
    </row>
    <row r="50" spans="1:33" ht="12.75" customHeight="1" x14ac:dyDescent="0.2">
      <c r="B50" s="82" t="s">
        <v>10</v>
      </c>
      <c r="C50" s="238" t="s">
        <v>26</v>
      </c>
      <c r="D50" s="117"/>
      <c r="E50" s="244"/>
      <c r="F50" s="245"/>
      <c r="G50" s="246">
        <v>1</v>
      </c>
      <c r="H50" s="247">
        <f t="shared" si="1"/>
        <v>1</v>
      </c>
      <c r="I50" s="247">
        <f t="shared" si="0"/>
        <v>1</v>
      </c>
      <c r="J50" s="247">
        <f t="shared" si="0"/>
        <v>1</v>
      </c>
      <c r="K50" s="247">
        <f t="shared" si="0"/>
        <v>1</v>
      </c>
      <c r="L50" s="247">
        <f t="shared" si="0"/>
        <v>1</v>
      </c>
      <c r="M50" s="247">
        <f t="shared" si="0"/>
        <v>1</v>
      </c>
      <c r="N50" s="247">
        <f t="shared" si="0"/>
        <v>1</v>
      </c>
      <c r="O50" s="247">
        <f t="shared" si="0"/>
        <v>1</v>
      </c>
      <c r="P50" s="247">
        <f t="shared" si="0"/>
        <v>1</v>
      </c>
      <c r="Q50" s="247">
        <f t="shared" si="0"/>
        <v>1</v>
      </c>
      <c r="R50" s="247">
        <f t="shared" si="0"/>
        <v>1</v>
      </c>
      <c r="S50" s="247">
        <f t="shared" si="0"/>
        <v>1</v>
      </c>
      <c r="T50" s="247">
        <f t="shared" si="0"/>
        <v>1</v>
      </c>
      <c r="U50" s="247">
        <f t="shared" si="0"/>
        <v>1</v>
      </c>
      <c r="V50" s="247">
        <f t="shared" si="0"/>
        <v>1</v>
      </c>
      <c r="W50" s="247">
        <f t="shared" si="0"/>
        <v>1</v>
      </c>
      <c r="X50" s="247">
        <f t="shared" si="0"/>
        <v>1</v>
      </c>
      <c r="Y50" s="247">
        <f t="shared" si="0"/>
        <v>1</v>
      </c>
      <c r="Z50" s="247">
        <f t="shared" si="0"/>
        <v>1</v>
      </c>
      <c r="AA50" s="247">
        <f t="shared" si="0"/>
        <v>1</v>
      </c>
      <c r="AB50" s="247">
        <f t="shared" si="0"/>
        <v>1</v>
      </c>
      <c r="AC50" s="247">
        <f t="shared" si="0"/>
        <v>1</v>
      </c>
      <c r="AD50" s="247">
        <f t="shared" si="0"/>
        <v>1</v>
      </c>
      <c r="AE50" s="247">
        <f t="shared" si="0"/>
        <v>1</v>
      </c>
      <c r="AF50" s="247">
        <f t="shared" si="0"/>
        <v>1</v>
      </c>
      <c r="AG50" s="248">
        <f t="shared" si="0"/>
        <v>1</v>
      </c>
    </row>
    <row r="51" spans="1:33" ht="12.75" customHeight="1" x14ac:dyDescent="0.2">
      <c r="B51" s="82" t="s">
        <v>12</v>
      </c>
      <c r="C51" s="238" t="s">
        <v>27</v>
      </c>
      <c r="D51" s="117"/>
      <c r="E51" s="244"/>
      <c r="F51" s="245"/>
      <c r="G51" s="246">
        <v>1</v>
      </c>
      <c r="H51" s="247">
        <f t="shared" si="1"/>
        <v>1</v>
      </c>
      <c r="I51" s="247">
        <f t="shared" si="0"/>
        <v>1</v>
      </c>
      <c r="J51" s="247">
        <f t="shared" si="0"/>
        <v>1</v>
      </c>
      <c r="K51" s="247">
        <f t="shared" si="0"/>
        <v>1</v>
      </c>
      <c r="L51" s="247">
        <f t="shared" si="0"/>
        <v>1</v>
      </c>
      <c r="M51" s="247">
        <f t="shared" si="0"/>
        <v>1</v>
      </c>
      <c r="N51" s="247">
        <f t="shared" si="0"/>
        <v>1</v>
      </c>
      <c r="O51" s="247">
        <f t="shared" si="0"/>
        <v>1</v>
      </c>
      <c r="P51" s="247">
        <f t="shared" si="0"/>
        <v>1</v>
      </c>
      <c r="Q51" s="247">
        <f t="shared" si="0"/>
        <v>1</v>
      </c>
      <c r="R51" s="247">
        <f t="shared" si="0"/>
        <v>1</v>
      </c>
      <c r="S51" s="247">
        <f t="shared" si="0"/>
        <v>1</v>
      </c>
      <c r="T51" s="247">
        <f t="shared" si="0"/>
        <v>1</v>
      </c>
      <c r="U51" s="247">
        <f t="shared" si="0"/>
        <v>1</v>
      </c>
      <c r="V51" s="247">
        <f t="shared" si="0"/>
        <v>1</v>
      </c>
      <c r="W51" s="247">
        <f t="shared" si="0"/>
        <v>1</v>
      </c>
      <c r="X51" s="247">
        <f t="shared" si="0"/>
        <v>1</v>
      </c>
      <c r="Y51" s="247">
        <f t="shared" si="0"/>
        <v>1</v>
      </c>
      <c r="Z51" s="247">
        <f t="shared" si="0"/>
        <v>1</v>
      </c>
      <c r="AA51" s="247">
        <f t="shared" si="0"/>
        <v>1</v>
      </c>
      <c r="AB51" s="247">
        <f t="shared" si="0"/>
        <v>1</v>
      </c>
      <c r="AC51" s="247">
        <f t="shared" si="0"/>
        <v>1</v>
      </c>
      <c r="AD51" s="247">
        <f t="shared" si="0"/>
        <v>1</v>
      </c>
      <c r="AE51" s="247">
        <f t="shared" si="0"/>
        <v>1</v>
      </c>
      <c r="AF51" s="247">
        <f t="shared" si="0"/>
        <v>1</v>
      </c>
      <c r="AG51" s="248">
        <f t="shared" si="0"/>
        <v>1</v>
      </c>
    </row>
    <row r="52" spans="1:33" ht="12.75" customHeight="1" x14ac:dyDescent="0.2">
      <c r="B52" s="82" t="s">
        <v>13</v>
      </c>
      <c r="C52" s="238" t="s">
        <v>28</v>
      </c>
      <c r="D52" s="117"/>
      <c r="E52" s="244"/>
      <c r="F52" s="245"/>
      <c r="G52" s="246">
        <v>1</v>
      </c>
      <c r="H52" s="247">
        <f t="shared" si="1"/>
        <v>1</v>
      </c>
      <c r="I52" s="247">
        <f t="shared" si="0"/>
        <v>1</v>
      </c>
      <c r="J52" s="247">
        <f t="shared" si="0"/>
        <v>1</v>
      </c>
      <c r="K52" s="247">
        <f t="shared" si="0"/>
        <v>1</v>
      </c>
      <c r="L52" s="247">
        <f t="shared" si="0"/>
        <v>1</v>
      </c>
      <c r="M52" s="247">
        <f t="shared" si="0"/>
        <v>1</v>
      </c>
      <c r="N52" s="247">
        <f t="shared" si="0"/>
        <v>1</v>
      </c>
      <c r="O52" s="247">
        <f t="shared" si="0"/>
        <v>1</v>
      </c>
      <c r="P52" s="247">
        <f t="shared" si="0"/>
        <v>1</v>
      </c>
      <c r="Q52" s="247">
        <f t="shared" si="0"/>
        <v>1</v>
      </c>
      <c r="R52" s="247">
        <f t="shared" si="0"/>
        <v>1</v>
      </c>
      <c r="S52" s="247">
        <f t="shared" si="0"/>
        <v>1</v>
      </c>
      <c r="T52" s="247">
        <f t="shared" si="0"/>
        <v>1</v>
      </c>
      <c r="U52" s="247">
        <f t="shared" si="0"/>
        <v>1</v>
      </c>
      <c r="V52" s="247">
        <f t="shared" si="0"/>
        <v>1</v>
      </c>
      <c r="W52" s="247">
        <f t="shared" si="0"/>
        <v>1</v>
      </c>
      <c r="X52" s="247">
        <f t="shared" si="0"/>
        <v>1</v>
      </c>
      <c r="Y52" s="247">
        <f t="shared" si="0"/>
        <v>1</v>
      </c>
      <c r="Z52" s="247">
        <f t="shared" si="0"/>
        <v>1</v>
      </c>
      <c r="AA52" s="247">
        <f t="shared" si="0"/>
        <v>1</v>
      </c>
      <c r="AB52" s="247">
        <f t="shared" si="0"/>
        <v>1</v>
      </c>
      <c r="AC52" s="247">
        <f t="shared" si="0"/>
        <v>1</v>
      </c>
      <c r="AD52" s="247">
        <f t="shared" si="0"/>
        <v>1</v>
      </c>
      <c r="AE52" s="247">
        <f t="shared" si="0"/>
        <v>1</v>
      </c>
      <c r="AF52" s="247">
        <f t="shared" si="0"/>
        <v>1</v>
      </c>
      <c r="AG52" s="248">
        <f t="shared" si="0"/>
        <v>1</v>
      </c>
    </row>
    <row r="53" spans="1:33" ht="12.75" customHeight="1" x14ac:dyDescent="0.2">
      <c r="B53" s="82" t="s">
        <v>14</v>
      </c>
      <c r="C53" s="238" t="s">
        <v>29</v>
      </c>
      <c r="D53" s="117"/>
      <c r="E53" s="244"/>
      <c r="F53" s="245"/>
      <c r="G53" s="246">
        <v>1</v>
      </c>
      <c r="H53" s="247">
        <f t="shared" si="1"/>
        <v>1</v>
      </c>
      <c r="I53" s="247">
        <f t="shared" si="0"/>
        <v>1</v>
      </c>
      <c r="J53" s="247">
        <f t="shared" si="0"/>
        <v>1</v>
      </c>
      <c r="K53" s="247">
        <f t="shared" si="0"/>
        <v>1</v>
      </c>
      <c r="L53" s="247">
        <f t="shared" si="0"/>
        <v>1</v>
      </c>
      <c r="M53" s="247">
        <f t="shared" si="0"/>
        <v>1</v>
      </c>
      <c r="N53" s="247">
        <f t="shared" si="0"/>
        <v>1</v>
      </c>
      <c r="O53" s="247">
        <f t="shared" si="0"/>
        <v>1</v>
      </c>
      <c r="P53" s="247">
        <f t="shared" si="0"/>
        <v>1</v>
      </c>
      <c r="Q53" s="247">
        <f t="shared" si="0"/>
        <v>1</v>
      </c>
      <c r="R53" s="247">
        <f t="shared" si="0"/>
        <v>1</v>
      </c>
      <c r="S53" s="247">
        <f t="shared" si="0"/>
        <v>1</v>
      </c>
      <c r="T53" s="247">
        <f t="shared" si="0"/>
        <v>1</v>
      </c>
      <c r="U53" s="247">
        <f t="shared" si="0"/>
        <v>1</v>
      </c>
      <c r="V53" s="247">
        <f t="shared" si="0"/>
        <v>1</v>
      </c>
      <c r="W53" s="247">
        <f t="shared" si="0"/>
        <v>1</v>
      </c>
      <c r="X53" s="247">
        <f t="shared" si="0"/>
        <v>1</v>
      </c>
      <c r="Y53" s="247">
        <f t="shared" si="0"/>
        <v>1</v>
      </c>
      <c r="Z53" s="247">
        <f t="shared" si="0"/>
        <v>1</v>
      </c>
      <c r="AA53" s="247">
        <f t="shared" si="0"/>
        <v>1</v>
      </c>
      <c r="AB53" s="247">
        <f t="shared" si="0"/>
        <v>1</v>
      </c>
      <c r="AC53" s="247">
        <f t="shared" si="0"/>
        <v>1</v>
      </c>
      <c r="AD53" s="247">
        <f t="shared" si="0"/>
        <v>1</v>
      </c>
      <c r="AE53" s="247">
        <f t="shared" si="0"/>
        <v>1</v>
      </c>
      <c r="AF53" s="247">
        <f t="shared" si="0"/>
        <v>1</v>
      </c>
      <c r="AG53" s="248">
        <f t="shared" si="0"/>
        <v>1</v>
      </c>
    </row>
    <row r="54" spans="1:33" ht="12.75" customHeight="1" x14ac:dyDescent="0.2">
      <c r="B54" s="249" t="s">
        <v>16</v>
      </c>
      <c r="C54" s="250" t="s">
        <v>30</v>
      </c>
      <c r="D54" s="117"/>
      <c r="E54" s="244"/>
      <c r="F54" s="245"/>
      <c r="G54" s="246">
        <v>1</v>
      </c>
      <c r="H54" s="247">
        <f t="shared" si="1"/>
        <v>1</v>
      </c>
      <c r="I54" s="247">
        <f t="shared" si="0"/>
        <v>1</v>
      </c>
      <c r="J54" s="247">
        <f t="shared" si="0"/>
        <v>1</v>
      </c>
      <c r="K54" s="247">
        <f t="shared" si="0"/>
        <v>1</v>
      </c>
      <c r="L54" s="247">
        <f t="shared" si="0"/>
        <v>1</v>
      </c>
      <c r="M54" s="247">
        <f t="shared" si="0"/>
        <v>1</v>
      </c>
      <c r="N54" s="247">
        <f t="shared" si="0"/>
        <v>1</v>
      </c>
      <c r="O54" s="247">
        <f t="shared" si="0"/>
        <v>1</v>
      </c>
      <c r="P54" s="247">
        <f t="shared" si="0"/>
        <v>1</v>
      </c>
      <c r="Q54" s="247">
        <f t="shared" si="0"/>
        <v>1</v>
      </c>
      <c r="R54" s="247">
        <f t="shared" si="0"/>
        <v>1</v>
      </c>
      <c r="S54" s="247">
        <f t="shared" si="0"/>
        <v>1</v>
      </c>
      <c r="T54" s="247">
        <f t="shared" si="0"/>
        <v>1</v>
      </c>
      <c r="U54" s="247">
        <f t="shared" si="0"/>
        <v>1</v>
      </c>
      <c r="V54" s="247">
        <f t="shared" si="0"/>
        <v>1</v>
      </c>
      <c r="W54" s="247">
        <f t="shared" si="0"/>
        <v>1</v>
      </c>
      <c r="X54" s="247">
        <f t="shared" si="0"/>
        <v>1</v>
      </c>
      <c r="Y54" s="247">
        <f t="shared" si="0"/>
        <v>1</v>
      </c>
      <c r="Z54" s="247">
        <f t="shared" si="0"/>
        <v>1</v>
      </c>
      <c r="AA54" s="247">
        <f t="shared" si="0"/>
        <v>1</v>
      </c>
      <c r="AB54" s="247">
        <f t="shared" si="0"/>
        <v>1</v>
      </c>
      <c r="AC54" s="247">
        <f t="shared" si="0"/>
        <v>1</v>
      </c>
      <c r="AD54" s="247">
        <f t="shared" si="0"/>
        <v>1</v>
      </c>
      <c r="AE54" s="247">
        <f t="shared" si="0"/>
        <v>1</v>
      </c>
      <c r="AF54" s="247">
        <f t="shared" si="0"/>
        <v>1</v>
      </c>
      <c r="AG54" s="248">
        <f t="shared" si="0"/>
        <v>1</v>
      </c>
    </row>
    <row r="55" spans="1:33" ht="12.75" customHeight="1" thickBot="1" x14ac:dyDescent="0.25">
      <c r="B55" s="251" t="s">
        <v>19</v>
      </c>
      <c r="C55" s="252" t="s">
        <v>31</v>
      </c>
      <c r="D55" s="167"/>
      <c r="E55" s="253"/>
      <c r="F55" s="254"/>
      <c r="G55" s="255">
        <v>1</v>
      </c>
      <c r="H55" s="256">
        <f t="shared" si="1"/>
        <v>1</v>
      </c>
      <c r="I55" s="256">
        <f t="shared" si="0"/>
        <v>1</v>
      </c>
      <c r="J55" s="256">
        <f t="shared" si="0"/>
        <v>1</v>
      </c>
      <c r="K55" s="256">
        <f t="shared" si="0"/>
        <v>1</v>
      </c>
      <c r="L55" s="256">
        <f t="shared" si="0"/>
        <v>1</v>
      </c>
      <c r="M55" s="256">
        <f t="shared" si="0"/>
        <v>1</v>
      </c>
      <c r="N55" s="256">
        <f t="shared" si="0"/>
        <v>1</v>
      </c>
      <c r="O55" s="256">
        <f t="shared" si="0"/>
        <v>1</v>
      </c>
      <c r="P55" s="256">
        <f t="shared" si="0"/>
        <v>1</v>
      </c>
      <c r="Q55" s="256">
        <f t="shared" si="0"/>
        <v>1</v>
      </c>
      <c r="R55" s="256">
        <f t="shared" si="0"/>
        <v>1</v>
      </c>
      <c r="S55" s="256">
        <f t="shared" si="0"/>
        <v>1</v>
      </c>
      <c r="T55" s="256">
        <f t="shared" si="0"/>
        <v>1</v>
      </c>
      <c r="U55" s="256">
        <f t="shared" si="0"/>
        <v>1</v>
      </c>
      <c r="V55" s="256">
        <f t="shared" si="0"/>
        <v>1</v>
      </c>
      <c r="W55" s="256">
        <f t="shared" si="0"/>
        <v>1</v>
      </c>
      <c r="X55" s="256">
        <f t="shared" si="0"/>
        <v>1</v>
      </c>
      <c r="Y55" s="256">
        <f t="shared" si="0"/>
        <v>1</v>
      </c>
      <c r="Z55" s="256">
        <f t="shared" si="0"/>
        <v>1</v>
      </c>
      <c r="AA55" s="256">
        <f t="shared" si="0"/>
        <v>1</v>
      </c>
      <c r="AB55" s="256">
        <f t="shared" si="0"/>
        <v>1</v>
      </c>
      <c r="AC55" s="256">
        <f t="shared" si="0"/>
        <v>1</v>
      </c>
      <c r="AD55" s="256">
        <f t="shared" si="0"/>
        <v>1</v>
      </c>
      <c r="AE55" s="256">
        <f t="shared" si="0"/>
        <v>1</v>
      </c>
      <c r="AF55" s="256">
        <f t="shared" si="0"/>
        <v>1</v>
      </c>
      <c r="AG55" s="257">
        <f t="shared" si="0"/>
        <v>1</v>
      </c>
    </row>
    <row r="56" spans="1:33" ht="12.75" customHeight="1" thickBot="1" x14ac:dyDescent="0.3">
      <c r="B56" s="258"/>
      <c r="C56" s="259" t="s">
        <v>532</v>
      </c>
      <c r="D56" s="167"/>
      <c r="E56" s="253"/>
      <c r="F56" s="254"/>
      <c r="G56" s="256">
        <v>1</v>
      </c>
      <c r="H56" s="256">
        <f t="shared" si="1"/>
        <v>1</v>
      </c>
      <c r="I56" s="256">
        <f t="shared" si="0"/>
        <v>1</v>
      </c>
      <c r="J56" s="256">
        <f t="shared" si="0"/>
        <v>1</v>
      </c>
      <c r="K56" s="256">
        <f t="shared" si="0"/>
        <v>1</v>
      </c>
      <c r="L56" s="256">
        <f t="shared" si="0"/>
        <v>1</v>
      </c>
      <c r="M56" s="256">
        <f t="shared" si="0"/>
        <v>1</v>
      </c>
      <c r="N56" s="256">
        <f t="shared" ref="N56:AG56" si="2">M56</f>
        <v>1</v>
      </c>
      <c r="O56" s="256">
        <f t="shared" si="2"/>
        <v>1</v>
      </c>
      <c r="P56" s="256">
        <f t="shared" si="2"/>
        <v>1</v>
      </c>
      <c r="Q56" s="256">
        <f t="shared" si="2"/>
        <v>1</v>
      </c>
      <c r="R56" s="256">
        <f t="shared" si="2"/>
        <v>1</v>
      </c>
      <c r="S56" s="256">
        <f t="shared" si="2"/>
        <v>1</v>
      </c>
      <c r="T56" s="256">
        <f t="shared" si="2"/>
        <v>1</v>
      </c>
      <c r="U56" s="256">
        <f t="shared" si="2"/>
        <v>1</v>
      </c>
      <c r="V56" s="256">
        <f t="shared" si="2"/>
        <v>1</v>
      </c>
      <c r="W56" s="256">
        <f t="shared" si="2"/>
        <v>1</v>
      </c>
      <c r="X56" s="256">
        <f t="shared" si="2"/>
        <v>1</v>
      </c>
      <c r="Y56" s="256">
        <f t="shared" si="2"/>
        <v>1</v>
      </c>
      <c r="Z56" s="256">
        <f t="shared" si="2"/>
        <v>1</v>
      </c>
      <c r="AA56" s="256">
        <f t="shared" si="2"/>
        <v>1</v>
      </c>
      <c r="AB56" s="256">
        <f t="shared" si="2"/>
        <v>1</v>
      </c>
      <c r="AC56" s="256">
        <f t="shared" si="2"/>
        <v>1</v>
      </c>
      <c r="AD56" s="256">
        <f t="shared" si="2"/>
        <v>1</v>
      </c>
      <c r="AE56" s="256">
        <f t="shared" si="2"/>
        <v>1</v>
      </c>
      <c r="AF56" s="256">
        <f t="shared" si="2"/>
        <v>1</v>
      </c>
      <c r="AG56" s="256">
        <f t="shared" si="2"/>
        <v>1</v>
      </c>
    </row>
    <row r="57" spans="1:33" ht="12.75" customHeight="1" x14ac:dyDescent="0.2"/>
    <row r="58" spans="1:33" ht="12.75" customHeight="1" x14ac:dyDescent="0.2"/>
    <row r="59" spans="1:33" ht="12.75" customHeight="1" thickBot="1" x14ac:dyDescent="0.25"/>
    <row r="60" spans="1:33" ht="23.25" customHeight="1" x14ac:dyDescent="0.2">
      <c r="B60" s="298" t="s">
        <v>684</v>
      </c>
      <c r="C60" s="299"/>
      <c r="D60" s="300"/>
    </row>
    <row r="61" spans="1:33" ht="23.25" customHeight="1" thickBot="1" x14ac:dyDescent="0.25">
      <c r="B61" s="301"/>
      <c r="C61" s="302"/>
      <c r="D61" s="303"/>
      <c r="J61" s="39"/>
      <c r="K61" s="260"/>
      <c r="L61" s="39"/>
      <c r="M61" s="39"/>
      <c r="N61" s="39"/>
      <c r="O61" s="39"/>
      <c r="P61" s="331"/>
      <c r="Q61" s="331"/>
    </row>
    <row r="62" spans="1:33" ht="12.75" customHeight="1" x14ac:dyDescent="0.2">
      <c r="J62" s="39"/>
      <c r="K62" s="261"/>
      <c r="L62" s="41"/>
      <c r="M62" s="39"/>
      <c r="N62" s="39"/>
      <c r="O62" s="39"/>
      <c r="P62" s="261"/>
      <c r="Q62" s="261"/>
    </row>
    <row r="63" spans="1:33" ht="12.75" customHeight="1" x14ac:dyDescent="0.2">
      <c r="J63" s="39"/>
      <c r="K63" s="261"/>
      <c r="L63" s="39"/>
      <c r="M63" s="39"/>
      <c r="N63" s="39"/>
      <c r="O63" s="261"/>
      <c r="P63" s="261"/>
      <c r="Q63" s="39"/>
    </row>
    <row r="64" spans="1:33" ht="12.75" customHeight="1" x14ac:dyDescent="0.25">
      <c r="B64" s="69" t="s">
        <v>685</v>
      </c>
      <c r="C64" s="69" t="s">
        <v>686</v>
      </c>
      <c r="D64" s="69" t="s">
        <v>687</v>
      </c>
      <c r="J64" s="39"/>
      <c r="K64" s="261"/>
      <c r="L64" s="39"/>
      <c r="M64" s="39"/>
      <c r="N64" s="39"/>
      <c r="O64" s="261"/>
      <c r="P64" s="261"/>
      <c r="Q64" s="39"/>
    </row>
    <row r="65" spans="2:17" ht="12.75" customHeight="1" x14ac:dyDescent="0.25">
      <c r="B65" s="69" t="s">
        <v>688</v>
      </c>
      <c r="C65" s="262" t="s">
        <v>689</v>
      </c>
      <c r="D65" s="263">
        <v>1.1000000000000001</v>
      </c>
      <c r="E65" s="155" t="s">
        <v>670</v>
      </c>
      <c r="J65" s="39"/>
      <c r="K65" s="39"/>
      <c r="L65" s="39"/>
      <c r="M65" s="39"/>
      <c r="N65" s="39"/>
      <c r="O65" s="40"/>
      <c r="P65" s="261"/>
      <c r="Q65" s="261"/>
    </row>
    <row r="66" spans="2:17" ht="12.75" customHeight="1" x14ac:dyDescent="0.25">
      <c r="B66" s="264" t="s">
        <v>690</v>
      </c>
      <c r="C66" s="265">
        <v>50000</v>
      </c>
      <c r="D66" s="263">
        <v>2</v>
      </c>
      <c r="E66" s="155" t="s">
        <v>670</v>
      </c>
      <c r="J66" s="39"/>
      <c r="L66" s="261"/>
      <c r="M66" s="39"/>
      <c r="N66" s="39"/>
      <c r="O66" s="261"/>
      <c r="P66" s="261"/>
      <c r="Q66" s="261"/>
    </row>
    <row r="67" spans="2:17" ht="12.75" customHeight="1" x14ac:dyDescent="0.25">
      <c r="B67" s="264" t="s">
        <v>691</v>
      </c>
      <c r="C67" s="265">
        <v>20000</v>
      </c>
      <c r="D67" s="263">
        <v>3.8</v>
      </c>
      <c r="E67" s="155" t="s">
        <v>670</v>
      </c>
      <c r="J67" s="38"/>
      <c r="K67" s="261"/>
      <c r="L67" s="39"/>
      <c r="M67" s="39"/>
      <c r="N67" s="39"/>
      <c r="O67" s="261"/>
      <c r="P67" s="261"/>
      <c r="Q67" s="261"/>
    </row>
    <row r="68" spans="2:17" ht="12.75" customHeight="1" x14ac:dyDescent="0.2">
      <c r="B68" s="264" t="s">
        <v>692</v>
      </c>
      <c r="D68" s="1" t="s">
        <v>693</v>
      </c>
      <c r="J68" s="38"/>
      <c r="K68" s="261"/>
      <c r="L68" s="39"/>
      <c r="M68" s="39"/>
      <c r="N68" s="39"/>
      <c r="O68" s="261"/>
      <c r="P68" s="261"/>
      <c r="Q68" s="261"/>
    </row>
    <row r="69" spans="2:17" ht="12.75" customHeight="1" x14ac:dyDescent="0.2">
      <c r="B69" s="266"/>
      <c r="J69" s="38"/>
      <c r="K69" s="261"/>
      <c r="L69" s="39"/>
      <c r="M69" s="39"/>
      <c r="N69" s="39"/>
      <c r="O69" s="39"/>
      <c r="P69" s="39"/>
      <c r="Q69" s="39"/>
    </row>
    <row r="70" spans="2:17" ht="12.75" customHeight="1" x14ac:dyDescent="0.2">
      <c r="J70" s="38"/>
      <c r="K70" s="261"/>
      <c r="L70" s="39"/>
      <c r="M70" s="39"/>
      <c r="N70" s="39"/>
      <c r="O70" s="39"/>
      <c r="P70" s="39"/>
      <c r="Q70" s="39"/>
    </row>
    <row r="71" spans="2:17" ht="12.75" customHeight="1" x14ac:dyDescent="0.2">
      <c r="J71" s="38"/>
      <c r="K71" s="261"/>
      <c r="L71" s="39"/>
      <c r="M71" s="39"/>
      <c r="N71" s="39"/>
      <c r="O71" s="39"/>
      <c r="P71" s="39"/>
      <c r="Q71" s="39"/>
    </row>
    <row r="72" spans="2:17" ht="12.75" customHeight="1" x14ac:dyDescent="0.2">
      <c r="J72" s="39"/>
      <c r="K72" s="39"/>
      <c r="L72" s="39"/>
      <c r="M72" s="39"/>
      <c r="N72" s="39"/>
      <c r="O72" s="39"/>
      <c r="P72" s="39"/>
      <c r="Q72" s="39"/>
    </row>
    <row r="73" spans="2:17" ht="12.75" customHeight="1" x14ac:dyDescent="0.2">
      <c r="J73" s="39"/>
      <c r="K73" s="39"/>
      <c r="L73" s="39"/>
      <c r="M73" s="39"/>
      <c r="N73" s="39"/>
      <c r="O73" s="39"/>
      <c r="P73" s="39"/>
      <c r="Q73" s="39"/>
    </row>
    <row r="74" spans="2:17" ht="12.75" customHeight="1" x14ac:dyDescent="0.2">
      <c r="J74" s="38"/>
      <c r="K74" s="261"/>
      <c r="L74" s="39"/>
      <c r="M74" s="39"/>
      <c r="N74" s="39"/>
      <c r="O74" s="39"/>
      <c r="P74" s="39"/>
      <c r="Q74" s="39"/>
    </row>
    <row r="75" spans="2:17" ht="12.75" customHeight="1" x14ac:dyDescent="0.2">
      <c r="J75" s="38"/>
      <c r="K75" s="261"/>
      <c r="L75" s="39"/>
      <c r="M75" s="39"/>
      <c r="N75" s="39"/>
      <c r="O75" s="39"/>
      <c r="P75" s="39"/>
      <c r="Q75" s="39"/>
    </row>
    <row r="76" spans="2:17" ht="12.75" customHeight="1" x14ac:dyDescent="0.2">
      <c r="J76" s="38"/>
      <c r="K76" s="261"/>
      <c r="L76" s="39"/>
      <c r="M76" s="39"/>
      <c r="N76" s="39"/>
      <c r="O76" s="39"/>
      <c r="P76" s="39"/>
      <c r="Q76" s="39"/>
    </row>
    <row r="77" spans="2:17" ht="12.75" customHeight="1" x14ac:dyDescent="0.2">
      <c r="J77" s="39"/>
      <c r="K77" s="39"/>
      <c r="L77" s="39"/>
      <c r="M77" s="39"/>
      <c r="N77" s="39"/>
      <c r="O77" s="39"/>
      <c r="P77" s="39"/>
      <c r="Q77" s="39"/>
    </row>
    <row r="78" spans="2:17" ht="12.75" customHeight="1" x14ac:dyDescent="0.2">
      <c r="J78" s="39"/>
      <c r="K78" s="39"/>
      <c r="L78" s="39"/>
      <c r="M78" s="39"/>
      <c r="N78" s="39"/>
      <c r="O78" s="39"/>
      <c r="P78" s="39"/>
      <c r="Q78" s="39"/>
    </row>
    <row r="79" spans="2:17" ht="12.75" customHeight="1" x14ac:dyDescent="0.2"/>
    <row r="80" spans="2:17" ht="12.75" customHeight="1" x14ac:dyDescent="0.2"/>
    <row r="81" spans="2:6" ht="12.75" customHeight="1" x14ac:dyDescent="0.2"/>
    <row r="82" spans="2:6" ht="12.75" customHeight="1" x14ac:dyDescent="0.2"/>
    <row r="83" spans="2:6" ht="12.75" customHeight="1" x14ac:dyDescent="0.2"/>
    <row r="84" spans="2:6" ht="12.75" customHeight="1" x14ac:dyDescent="0.2"/>
    <row r="85" spans="2:6" ht="12.75" customHeight="1" x14ac:dyDescent="0.2"/>
    <row r="86" spans="2:6" ht="12.75" customHeight="1" x14ac:dyDescent="0.2"/>
    <row r="87" spans="2:6" ht="12.75" customHeight="1" x14ac:dyDescent="0.2"/>
    <row r="88" spans="2:6" ht="12.75" customHeight="1" thickBot="1" x14ac:dyDescent="0.25"/>
    <row r="89" spans="2:6" ht="22.5" customHeight="1" x14ac:dyDescent="0.2">
      <c r="B89" s="298" t="s">
        <v>694</v>
      </c>
      <c r="C89" s="299"/>
      <c r="D89" s="300"/>
    </row>
    <row r="90" spans="2:6" ht="22.5" customHeight="1" thickBot="1" x14ac:dyDescent="0.25">
      <c r="B90" s="301"/>
      <c r="C90" s="302"/>
      <c r="D90" s="303"/>
    </row>
    <row r="91" spans="2:6" ht="12.75" customHeight="1" x14ac:dyDescent="0.2"/>
    <row r="92" spans="2:6" ht="12.75" customHeight="1" x14ac:dyDescent="0.2"/>
    <row r="93" spans="2:6" ht="12.75" customHeight="1" x14ac:dyDescent="0.2"/>
    <row r="94" spans="2:6" ht="12.75" customHeight="1" x14ac:dyDescent="0.25">
      <c r="B94" s="260" t="s">
        <v>688</v>
      </c>
      <c r="C94" s="138">
        <v>1.02</v>
      </c>
      <c r="D94" s="39" t="s">
        <v>695</v>
      </c>
      <c r="E94" s="155" t="s">
        <v>670</v>
      </c>
      <c r="F94" s="1" t="s">
        <v>696</v>
      </c>
    </row>
    <row r="95" spans="2:6" ht="12.75" customHeight="1" x14ac:dyDescent="0.25">
      <c r="B95" s="260" t="s">
        <v>697</v>
      </c>
      <c r="C95" s="138">
        <v>0.82</v>
      </c>
      <c r="D95" s="39" t="s">
        <v>695</v>
      </c>
      <c r="E95" s="155" t="s">
        <v>670</v>
      </c>
      <c r="F95" s="1" t="s">
        <v>696</v>
      </c>
    </row>
    <row r="96" spans="2:6" ht="12.75" customHeight="1" x14ac:dyDescent="0.25">
      <c r="B96" s="260" t="s">
        <v>698</v>
      </c>
      <c r="C96" s="138">
        <v>0.69</v>
      </c>
      <c r="D96" s="39" t="s">
        <v>695</v>
      </c>
      <c r="E96" s="155" t="s">
        <v>670</v>
      </c>
      <c r="F96" s="1" t="s">
        <v>696</v>
      </c>
    </row>
    <row r="97" spans="2:6" ht="12.75" customHeight="1" x14ac:dyDescent="0.25">
      <c r="B97" s="260" t="s">
        <v>699</v>
      </c>
      <c r="C97" s="138">
        <v>6</v>
      </c>
      <c r="D97" s="39" t="s">
        <v>700</v>
      </c>
      <c r="E97" s="155" t="s">
        <v>670</v>
      </c>
      <c r="F97" s="1" t="s">
        <v>701</v>
      </c>
    </row>
    <row r="98" spans="2:6" ht="12.75" customHeight="1" x14ac:dyDescent="0.25">
      <c r="B98" s="260" t="s">
        <v>702</v>
      </c>
      <c r="C98" s="235">
        <v>0.2</v>
      </c>
      <c r="E98" s="155" t="s">
        <v>670</v>
      </c>
      <c r="F98" s="1" t="s">
        <v>701</v>
      </c>
    </row>
    <row r="99" spans="2:6" ht="12.75" customHeight="1" x14ac:dyDescent="0.25">
      <c r="B99" s="260" t="s">
        <v>703</v>
      </c>
      <c r="C99" s="267">
        <f>C97*C98</f>
        <v>1.2000000000000002</v>
      </c>
      <c r="D99" s="39" t="s">
        <v>700</v>
      </c>
      <c r="E99" s="1" t="s">
        <v>704</v>
      </c>
    </row>
    <row r="100" spans="2:6" ht="45.75" customHeight="1" x14ac:dyDescent="0.2">
      <c r="B100" s="268" t="s">
        <v>705</v>
      </c>
      <c r="C100" s="235">
        <v>0.7</v>
      </c>
      <c r="E100" s="269" t="s">
        <v>670</v>
      </c>
      <c r="F100" s="41" t="s">
        <v>706</v>
      </c>
    </row>
    <row r="101" spans="2:6" ht="12.75" customHeight="1" x14ac:dyDescent="0.2"/>
    <row r="102" spans="2:6" ht="12.75" customHeight="1" x14ac:dyDescent="0.2"/>
    <row r="103" spans="2:6" ht="12.75" customHeight="1" x14ac:dyDescent="0.2">
      <c r="B103" s="39"/>
      <c r="C103" s="38"/>
      <c r="D103" s="39"/>
    </row>
    <row r="104" spans="2:6" ht="12.75" customHeight="1" x14ac:dyDescent="0.2">
      <c r="B104" s="39"/>
      <c r="C104" s="38"/>
      <c r="D104" s="39"/>
    </row>
    <row r="105" spans="2:6" ht="12.75" customHeight="1" x14ac:dyDescent="0.2">
      <c r="B105" s="39"/>
      <c r="C105" s="38"/>
      <c r="D105" s="39"/>
    </row>
    <row r="106" spans="2:6" ht="12.75" customHeight="1" x14ac:dyDescent="0.2">
      <c r="B106" s="39"/>
      <c r="C106" s="38"/>
      <c r="D106" s="39"/>
    </row>
    <row r="107" spans="2:6" ht="12.75" customHeight="1" x14ac:dyDescent="0.2">
      <c r="B107" s="39"/>
      <c r="C107" s="270"/>
      <c r="D107" s="39"/>
    </row>
    <row r="108" spans="2:6" ht="12.75" customHeight="1" x14ac:dyDescent="0.2">
      <c r="B108" s="39"/>
      <c r="C108" s="38"/>
      <c r="D108" s="39"/>
    </row>
    <row r="109" spans="2:6" ht="12.75" customHeight="1" x14ac:dyDescent="0.2">
      <c r="B109" s="39"/>
      <c r="C109" s="39"/>
      <c r="D109" s="39"/>
    </row>
    <row r="110" spans="2:6" ht="12.75" customHeight="1" x14ac:dyDescent="0.2">
      <c r="B110" s="39"/>
      <c r="C110" s="39"/>
      <c r="D110" s="39"/>
    </row>
    <row r="111" spans="2:6" ht="12.75" customHeight="1" x14ac:dyDescent="0.25">
      <c r="B111" s="260"/>
      <c r="C111" s="271"/>
      <c r="D111" s="39"/>
      <c r="E111" s="155"/>
    </row>
    <row r="112" spans="2:6" ht="12.75" customHeight="1" x14ac:dyDescent="0.25">
      <c r="B112" s="260"/>
      <c r="C112" s="272"/>
      <c r="E112" s="155"/>
    </row>
    <row r="113" spans="2:6" ht="12.75" customHeight="1" x14ac:dyDescent="0.25">
      <c r="B113" s="260"/>
      <c r="C113" s="273"/>
      <c r="D113" s="39"/>
    </row>
    <row r="114" spans="2:6" ht="12.75" customHeight="1" x14ac:dyDescent="0.2">
      <c r="B114" s="268"/>
      <c r="C114" s="272"/>
      <c r="E114" s="269"/>
      <c r="F114" s="41"/>
    </row>
    <row r="115" spans="2:6" ht="12.75" customHeight="1" x14ac:dyDescent="0.2"/>
    <row r="116" spans="2:6" ht="12.75" customHeight="1" x14ac:dyDescent="0.2"/>
    <row r="117" spans="2:6" ht="12.75" customHeight="1" x14ac:dyDescent="0.2"/>
    <row r="118" spans="2:6" ht="12.75" customHeight="1" x14ac:dyDescent="0.2"/>
    <row r="119" spans="2:6" ht="12.75" customHeight="1" x14ac:dyDescent="0.2"/>
    <row r="120" spans="2:6" ht="12.75" customHeight="1" x14ac:dyDescent="0.2"/>
    <row r="121" spans="2:6" ht="12.75" customHeight="1" x14ac:dyDescent="0.2"/>
    <row r="122" spans="2:6" ht="12.75" customHeight="1" x14ac:dyDescent="0.2"/>
    <row r="123" spans="2:6" ht="12.75" customHeight="1" x14ac:dyDescent="0.2"/>
    <row r="124" spans="2:6" ht="12.75" customHeight="1" x14ac:dyDescent="0.2"/>
    <row r="125" spans="2:6" ht="12.75" customHeight="1" x14ac:dyDescent="0.2"/>
    <row r="126" spans="2:6" ht="12.75" customHeight="1" x14ac:dyDescent="0.2"/>
    <row r="127" spans="2:6" ht="12.75" customHeight="1" x14ac:dyDescent="0.2"/>
    <row r="128" spans="2:6"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row r="1010" ht="12.75" customHeight="1" x14ac:dyDescent="0.2"/>
    <row r="1011" ht="12.75" customHeight="1" x14ac:dyDescent="0.2"/>
  </sheetData>
  <mergeCells count="16">
    <mergeCell ref="M42:Z43"/>
    <mergeCell ref="B60:D61"/>
    <mergeCell ref="P61:Q61"/>
    <mergeCell ref="B89:D90"/>
    <mergeCell ref="F15:F16"/>
    <mergeCell ref="B19:D20"/>
    <mergeCell ref="B27:D28"/>
    <mergeCell ref="B33:D34"/>
    <mergeCell ref="B42:D43"/>
    <mergeCell ref="E42:L43"/>
    <mergeCell ref="B1:K3"/>
    <mergeCell ref="B5:D6"/>
    <mergeCell ref="F5:H6"/>
    <mergeCell ref="F8:F9"/>
    <mergeCell ref="F11:H13"/>
    <mergeCell ref="B13:D14"/>
  </mergeCells>
  <pageMargins left="0.7" right="0.7" top="0.75" bottom="0.75"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DC9B-0223-4E30-9FD7-EC115474D9B6}">
  <sheetPr>
    <tabColor theme="9"/>
  </sheetPr>
  <dimension ref="A1:CB51"/>
  <sheetViews>
    <sheetView workbookViewId="0">
      <selection activeCell="L19" sqref="L18:L19"/>
    </sheetView>
  </sheetViews>
  <sheetFormatPr defaultRowHeight="15" x14ac:dyDescent="0.25"/>
  <cols>
    <col min="1" max="1" width="9.140625" style="32"/>
    <col min="2" max="2" width="20.7109375" style="32" customWidth="1"/>
    <col min="3" max="3" width="12" style="32" customWidth="1"/>
    <col min="4" max="16384" width="9.140625" style="32"/>
  </cols>
  <sheetData>
    <row r="1" spans="1:80" x14ac:dyDescent="0.25">
      <c r="A1" s="35" t="s">
        <v>59</v>
      </c>
      <c r="B1" s="35" t="s">
        <v>4</v>
      </c>
      <c r="C1" s="43" t="s">
        <v>545</v>
      </c>
      <c r="D1" s="43" t="s">
        <v>546</v>
      </c>
      <c r="E1" s="43" t="s">
        <v>547</v>
      </c>
      <c r="F1" s="43" t="s">
        <v>548</v>
      </c>
      <c r="G1" s="43" t="s">
        <v>549</v>
      </c>
      <c r="H1" s="43" t="s">
        <v>550</v>
      </c>
      <c r="I1" s="43" t="s">
        <v>551</v>
      </c>
      <c r="J1" s="43" t="s">
        <v>552</v>
      </c>
      <c r="K1" s="43" t="s">
        <v>553</v>
      </c>
      <c r="L1" s="43" t="s">
        <v>554</v>
      </c>
      <c r="M1" s="43" t="s">
        <v>555</v>
      </c>
      <c r="N1" s="43" t="s">
        <v>556</v>
      </c>
      <c r="O1" s="43" t="s">
        <v>557</v>
      </c>
      <c r="P1" s="43" t="s">
        <v>558</v>
      </c>
      <c r="Q1" s="43" t="s">
        <v>559</v>
      </c>
      <c r="R1" s="43" t="s">
        <v>560</v>
      </c>
      <c r="S1" s="43" t="s">
        <v>561</v>
      </c>
      <c r="T1" s="43" t="s">
        <v>562</v>
      </c>
      <c r="U1" s="43" t="s">
        <v>563</v>
      </c>
      <c r="V1" s="43" t="s">
        <v>564</v>
      </c>
      <c r="W1" s="43" t="s">
        <v>565</v>
      </c>
      <c r="X1" s="43" t="s">
        <v>566</v>
      </c>
      <c r="Y1" s="43" t="s">
        <v>567</v>
      </c>
      <c r="Z1" s="43" t="s">
        <v>568</v>
      </c>
      <c r="AA1" s="43" t="s">
        <v>569</v>
      </c>
      <c r="AB1" s="43" t="s">
        <v>570</v>
      </c>
      <c r="AC1" s="43" t="s">
        <v>571</v>
      </c>
      <c r="AD1" s="43" t="s">
        <v>572</v>
      </c>
      <c r="AE1" s="45" t="s">
        <v>573</v>
      </c>
      <c r="AF1" s="45" t="s">
        <v>574</v>
      </c>
      <c r="AG1" s="45" t="s">
        <v>575</v>
      </c>
      <c r="AH1" s="45" t="s">
        <v>576</v>
      </c>
      <c r="AI1" s="45" t="s">
        <v>577</v>
      </c>
      <c r="AJ1" s="45" t="s">
        <v>578</v>
      </c>
      <c r="AK1" s="45" t="s">
        <v>579</v>
      </c>
      <c r="AL1" s="45" t="s">
        <v>580</v>
      </c>
      <c r="AM1" s="45" t="s">
        <v>581</v>
      </c>
      <c r="AN1" s="45" t="s">
        <v>582</v>
      </c>
      <c r="AO1" s="45" t="s">
        <v>583</v>
      </c>
      <c r="AP1" s="45" t="s">
        <v>584</v>
      </c>
      <c r="AQ1" s="45" t="s">
        <v>585</v>
      </c>
      <c r="AR1" s="45" t="s">
        <v>586</v>
      </c>
      <c r="AS1" s="45" t="s">
        <v>587</v>
      </c>
      <c r="AT1" s="45" t="s">
        <v>588</v>
      </c>
      <c r="AU1" s="45" t="s">
        <v>589</v>
      </c>
      <c r="AV1" s="45" t="s">
        <v>590</v>
      </c>
      <c r="AW1" s="45" t="s">
        <v>591</v>
      </c>
      <c r="AX1" s="45" t="s">
        <v>592</v>
      </c>
      <c r="AY1" s="45" t="s">
        <v>593</v>
      </c>
      <c r="AZ1" s="45" t="s">
        <v>594</v>
      </c>
      <c r="BA1" s="45" t="s">
        <v>595</v>
      </c>
      <c r="BB1" s="45" t="s">
        <v>596</v>
      </c>
      <c r="BC1" s="45" t="s">
        <v>597</v>
      </c>
      <c r="BD1" s="45" t="s">
        <v>598</v>
      </c>
      <c r="BE1" s="45" t="s">
        <v>599</v>
      </c>
      <c r="BF1" s="45" t="s">
        <v>600</v>
      </c>
      <c r="BG1" s="45" t="s">
        <v>601</v>
      </c>
      <c r="BH1" s="45" t="s">
        <v>602</v>
      </c>
      <c r="BI1" s="45" t="s">
        <v>603</v>
      </c>
      <c r="BJ1" s="45" t="s">
        <v>604</v>
      </c>
      <c r="BK1" s="45" t="s">
        <v>605</v>
      </c>
      <c r="BL1" s="45" t="s">
        <v>606</v>
      </c>
      <c r="BM1" s="45" t="s">
        <v>607</v>
      </c>
      <c r="BN1" s="45" t="s">
        <v>608</v>
      </c>
      <c r="BO1" s="45" t="s">
        <v>609</v>
      </c>
      <c r="BP1" s="45" t="s">
        <v>610</v>
      </c>
      <c r="BQ1" s="45" t="s">
        <v>611</v>
      </c>
      <c r="BR1" s="45" t="s">
        <v>612</v>
      </c>
      <c r="BS1" s="45" t="s">
        <v>613</v>
      </c>
      <c r="BT1" s="45" t="s">
        <v>614</v>
      </c>
      <c r="BU1" s="45" t="s">
        <v>615</v>
      </c>
      <c r="BV1" s="45" t="s">
        <v>616</v>
      </c>
      <c r="BW1" s="45" t="s">
        <v>617</v>
      </c>
      <c r="BX1" s="45" t="s">
        <v>618</v>
      </c>
      <c r="BY1" s="45" t="s">
        <v>619</v>
      </c>
      <c r="BZ1" s="45" t="s">
        <v>620</v>
      </c>
      <c r="CA1" s="45" t="s">
        <v>621</v>
      </c>
      <c r="CB1" s="45" t="s">
        <v>622</v>
      </c>
    </row>
    <row r="2" spans="1:80" x14ac:dyDescent="0.25">
      <c r="A2" s="33">
        <v>1</v>
      </c>
      <c r="B2" s="36" t="s">
        <v>35</v>
      </c>
      <c r="C2" s="34">
        <f>VLOOKUP($B2,'Ibri Pop Settlements'!$H$2:$AJ$240,C$29,FALSE)</f>
        <v>11521.288563279702</v>
      </c>
      <c r="D2" s="34">
        <f>VLOOKUP($B2,'Ibri Pop Settlements'!$H$2:$AJ$240,D$29,FALSE)</f>
        <v>11849.671463717315</v>
      </c>
      <c r="E2" s="34">
        <f>VLOOKUP($B2,'Ibri Pop Settlements'!$H$2:$AJ$240,E$29,FALSE)</f>
        <v>12133.577104787617</v>
      </c>
      <c r="F2" s="34">
        <f>VLOOKUP($B2,'Ibri Pop Settlements'!$H$2:$AJ$240,F$29,FALSE)</f>
        <v>12466.285079793604</v>
      </c>
      <c r="G2" s="34">
        <f>VLOOKUP($B2,'Ibri Pop Settlements'!$H$2:$AJ$240,G$29,FALSE)</f>
        <v>12803.770002830333</v>
      </c>
      <c r="H2" s="34">
        <f>VLOOKUP($B2,'Ibri Pop Settlements'!$H$2:$AJ$240,H$29,FALSE)</f>
        <v>13146.871067470771</v>
      </c>
      <c r="I2" s="34">
        <f>VLOOKUP($B2,'Ibri Pop Settlements'!$H$2:$AJ$240,I$29,FALSE)</f>
        <v>13495.717380418453</v>
      </c>
      <c r="J2" s="34">
        <f>VLOOKUP($B2,'Ibri Pop Settlements'!$H$2:$AJ$240,J$29,FALSE)</f>
        <v>13790.984411399708</v>
      </c>
      <c r="K2" s="34">
        <f>VLOOKUP($B2,'Ibri Pop Settlements'!$H$2:$AJ$240,K$29,FALSE)</f>
        <v>14149.190960353573</v>
      </c>
      <c r="L2" s="34">
        <f>VLOOKUP($B2,'Ibri Pop Settlements'!$H$2:$AJ$240,L$29,FALSE)</f>
        <v>14514.175611242952</v>
      </c>
      <c r="M2" s="34">
        <f>VLOOKUP($B2,'Ibri Pop Settlements'!$H$2:$AJ$240,M$29,FALSE)</f>
        <v>14701.122117959549</v>
      </c>
      <c r="N2" s="34">
        <f>VLOOKUP($B2,'Ibri Pop Settlements'!$H$2:$AJ$240,N$29,FALSE)</f>
        <v>15268.868846748384</v>
      </c>
      <c r="O2" s="34">
        <f>VLOOKUP($B2,'Ibri Pop Settlements'!$H$2:$AJ$240,O$29,FALSE)</f>
        <v>15587.310531013913</v>
      </c>
      <c r="P2" s="34">
        <f>VLOOKUP($B2,'Ibri Pop Settlements'!$H$2:$AJ$240,P$29,FALSE)</f>
        <v>15989.99433933509</v>
      </c>
      <c r="Q2" s="34">
        <f>VLOOKUP($B2,'Ibri Pop Settlements'!$H$2:$AJ$240,Q$29,FALSE)</f>
        <v>16408.558272190894</v>
      </c>
      <c r="R2" s="34">
        <f>VLOOKUP($B2,'Ibri Pop Settlements'!$H$2:$AJ$240,R$29,FALSE)</f>
        <v>16841.840369249527</v>
      </c>
      <c r="S2" s="34">
        <f>VLOOKUP($B2,'Ibri Pop Settlements'!$H$2:$AJ$240,S$29,FALSE)</f>
        <v>17293.713831616991</v>
      </c>
      <c r="T2" s="34">
        <f>VLOOKUP($B2,'Ibri Pop Settlements'!$H$2:$AJ$240,T$29,FALSE)</f>
        <v>17669.86621236202</v>
      </c>
      <c r="U2" s="34">
        <f>VLOOKUP($B2,'Ibri Pop Settlements'!$H$2:$AJ$240,U$29,FALSE)</f>
        <v>18006.945241314021</v>
      </c>
      <c r="V2" s="34">
        <f>VLOOKUP($B2,'Ibri Pop Settlements'!$H$2:$AJ$240,V$29,FALSE)</f>
        <v>18359.413327920953</v>
      </c>
      <c r="W2" s="34">
        <f>VLOOKUP($B2,'Ibri Pop Settlements'!$H$2:$AJ$240,W$29,FALSE)</f>
        <v>18722.854083590762</v>
      </c>
      <c r="X2" s="34">
        <f>VLOOKUP($B2,'Ibri Pop Settlements'!$H$2:$AJ$240,X$29,FALSE)</f>
        <v>19098.02263001764</v>
      </c>
      <c r="Y2" s="34">
        <f>VLOOKUP($B2,'Ibri Pop Settlements'!$H$2:$AJ$240,Y$29,FALSE)</f>
        <v>19485.674088906639</v>
      </c>
      <c r="Z2" s="34">
        <f>VLOOKUP($B2,'Ibri Pop Settlements'!$H$2:$AJ$240,Z$29,FALSE)</f>
        <v>19886.563582549239</v>
      </c>
      <c r="AA2" s="34">
        <f>VLOOKUP($B2,'Ibri Pop Settlements'!$H$2:$AJ$240,AA$29,FALSE)</f>
        <v>20301.446232242852</v>
      </c>
      <c r="AB2" s="34">
        <f>VLOOKUP($B2,'Ibri Pop Settlements'!$H$2:$AJ$240,AB$29,FALSE)</f>
        <v>20731.077160923694</v>
      </c>
      <c r="AC2" s="34">
        <f>VLOOKUP($B2,'Ibri Pop Settlements'!$H$2:$AJ$240,AC$29,FALSE)</f>
        <v>21176.211489321387</v>
      </c>
      <c r="AD2" s="34">
        <f>VLOOKUP($B2,'Ibri Pop Settlements'!$H$2:$AJ$240,AD$29,FALSE)</f>
        <v>21637.604340751077</v>
      </c>
      <c r="AE2" s="44">
        <f>AD2*(1+Pop_Wilayat!AH$10)</f>
        <v>22115.541421974642</v>
      </c>
      <c r="AF2" s="44">
        <f>AE2*(1+Pop_Wilayat!AI$10)</f>
        <v>22610.66996525988</v>
      </c>
      <c r="AG2" s="44">
        <f>AF2*(1+Pop_Wilayat!AJ$10)</f>
        <v>23123.666777256898</v>
      </c>
      <c r="AH2" s="44">
        <f>AG2*(1+Pop_Wilayat!AK$10)</f>
        <v>23655.239695540491</v>
      </c>
      <c r="AI2" s="44">
        <f>AH2*(1+Pop_Wilayat!AL$10)</f>
        <v>24206.129123434428</v>
      </c>
      <c r="AJ2" s="44">
        <f>AI2*(1+Pop_Wilayat!AM$10)</f>
        <v>24777.109647585981</v>
      </c>
      <c r="AK2" s="44">
        <f>AJ2*(1+Pop_Wilayat!AN$10)</f>
        <v>25368.991743030114</v>
      </c>
      <c r="AL2" s="44">
        <f>AK2*(1+Pop_Wilayat!AO$10)</f>
        <v>25977.847544862838</v>
      </c>
      <c r="AM2" s="44">
        <f>AL2*(1+Pop_Wilayat!AP$10)</f>
        <v>26601.315885939548</v>
      </c>
      <c r="AN2" s="44">
        <f>AM2*(1+Pop_Wilayat!AQ$10)</f>
        <v>27239.747467202098</v>
      </c>
      <c r="AO2" s="44">
        <f>AN2*(1+Pop_Wilayat!AR$10)</f>
        <v>27893.501406414947</v>
      </c>
      <c r="AP2" s="44">
        <f>AO2*(1+Pop_Wilayat!AS$10)</f>
        <v>28562.945440168907</v>
      </c>
      <c r="AQ2" s="44">
        <f>AP2*(1+Pop_Wilayat!AT$10)</f>
        <v>29248.45613073296</v>
      </c>
      <c r="AR2" s="44">
        <f>AQ2*(1+Pop_Wilayat!AU$10)</f>
        <v>29950.419077870552</v>
      </c>
      <c r="AS2" s="44">
        <f>AR2*(1+Pop_Wilayat!AV$10)</f>
        <v>30669.229135739446</v>
      </c>
      <c r="AT2" s="44">
        <f>AS2*(1+Pop_Wilayat!AW$10)</f>
        <v>31405.290634997193</v>
      </c>
      <c r="AU2" s="44">
        <f>AT2*(1+Pop_Wilayat!AX$10)</f>
        <v>32159.017610237126</v>
      </c>
      <c r="AV2" s="44">
        <f>AU2*(1+Pop_Wilayat!AY$10)</f>
        <v>32930.83403288282</v>
      </c>
      <c r="AW2" s="44">
        <f>AV2*(1+Pop_Wilayat!AZ$10)</f>
        <v>33721.174049672009</v>
      </c>
      <c r="AX2" s="44">
        <f>AW2*(1+Pop_Wilayat!BA$10)</f>
        <v>34530.482226864136</v>
      </c>
      <c r="AY2" s="44">
        <f>AX2*(1+Pop_Wilayat!BB$10)</f>
        <v>35359.213800308877</v>
      </c>
      <c r="AZ2" s="44">
        <f>AY2*(1+Pop_Wilayat!BC$10)</f>
        <v>36207.834931516292</v>
      </c>
      <c r="BA2" s="44">
        <f>AZ2*(1+Pop_Wilayat!BD$10)</f>
        <v>37076.822969872686</v>
      </c>
      <c r="BB2" s="44">
        <f>BA2*(1+Pop_Wilayat!BE$10)</f>
        <v>37966.666721149631</v>
      </c>
      <c r="BC2" s="44">
        <f>BB2*(1+Pop_Wilayat!BF$10)</f>
        <v>38877.86672245722</v>
      </c>
      <c r="BD2" s="44">
        <f>BC2*(1+Pop_Wilayat!BG$10)</f>
        <v>39810.935523796194</v>
      </c>
      <c r="BE2" s="44">
        <f>BD2*(1+Pop_Wilayat!BH$10)</f>
        <v>40766.397976367305</v>
      </c>
      <c r="BF2" s="44">
        <f>BE2*(1+Pop_Wilayat!BI$10)</f>
        <v>41744.791527800124</v>
      </c>
      <c r="BG2" s="44">
        <f>BF2*(1+Pop_Wilayat!BJ$10)</f>
        <v>42746.666524467328</v>
      </c>
      <c r="BH2" s="44">
        <f>BG2*(1+Pop_Wilayat!BK$10)</f>
        <v>43772.586521054545</v>
      </c>
      <c r="BI2" s="44">
        <f>BH2*(1+Pop_Wilayat!BL$10)</f>
        <v>44823.128597559858</v>
      </c>
      <c r="BJ2" s="44">
        <f>BI2*(1+Pop_Wilayat!BM$10)</f>
        <v>45898.883683901295</v>
      </c>
      <c r="BK2" s="44">
        <f>BJ2*(1+Pop_Wilayat!BN$10)</f>
        <v>47000.456892314927</v>
      </c>
      <c r="BL2" s="44">
        <f>BK2*(1+Pop_Wilayat!BO$10)</f>
        <v>48128.467857730488</v>
      </c>
      <c r="BM2" s="44">
        <f>BL2*(1+Pop_Wilayat!BP$10)</f>
        <v>49283.551086316023</v>
      </c>
      <c r="BN2" s="44">
        <f>BM2*(1+Pop_Wilayat!BQ$10)</f>
        <v>50466.356312387608</v>
      </c>
      <c r="BO2" s="44">
        <f>BN2*(1+Pop_Wilayat!BR$10)</f>
        <v>51677.548863884913</v>
      </c>
      <c r="BP2" s="44">
        <f>BO2*(1+Pop_Wilayat!BS$10)</f>
        <v>52917.810036618153</v>
      </c>
      <c r="BQ2" s="44">
        <f>BP2*(1+Pop_Wilayat!BT$10)</f>
        <v>54187.837477496993</v>
      </c>
      <c r="BR2" s="44">
        <f>BQ2*(1+Pop_Wilayat!BU$10)</f>
        <v>55488.345576956919</v>
      </c>
      <c r="BS2" s="44">
        <f>BR2*(1+Pop_Wilayat!BV$10)</f>
        <v>56820.065870803883</v>
      </c>
      <c r="BT2" s="44">
        <f>BS2*(1+Pop_Wilayat!BW$10)</f>
        <v>58183.747451703181</v>
      </c>
      <c r="BU2" s="44">
        <f>BT2*(1+Pop_Wilayat!BX$10)</f>
        <v>59580.15739054406</v>
      </c>
      <c r="BV2" s="44">
        <f>BU2*(1+Pop_Wilayat!BY$10)</f>
        <v>61010.081167917117</v>
      </c>
      <c r="BW2" s="44">
        <f>BV2*(1+Pop_Wilayat!BZ$10)</f>
        <v>62474.323115947125</v>
      </c>
      <c r="BX2" s="44">
        <f>BW2*(1+Pop_Wilayat!CA$10)</f>
        <v>63973.70687072986</v>
      </c>
      <c r="BY2" s="44">
        <f>BX2*(1+Pop_Wilayat!CB$10)</f>
        <v>65509.07583562738</v>
      </c>
      <c r="BZ2" s="44">
        <f>BY2*(1+Pop_Wilayat!CC$10)</f>
        <v>67081.293655682442</v>
      </c>
      <c r="CA2" s="44">
        <f>BZ2*(1+Pop_Wilayat!CD$10)</f>
        <v>68691.244703418823</v>
      </c>
      <c r="CB2" s="44">
        <f>CA2*(1+Pop_Wilayat!CE$10)</f>
        <v>70339.834576300869</v>
      </c>
    </row>
    <row r="3" spans="1:80" x14ac:dyDescent="0.25">
      <c r="A3" s="33">
        <v>2</v>
      </c>
      <c r="B3" s="36" t="s">
        <v>40</v>
      </c>
      <c r="C3" s="34">
        <f>VLOOKUP($B3,'Ibri Pop Settlements'!$H$2:$AJ$240,C$29,FALSE)</f>
        <v>2344.0867877903811</v>
      </c>
      <c r="D3" s="34">
        <f>VLOOKUP($B3,'Ibri Pop Settlements'!$H$2:$AJ$240,D$29,FALSE)</f>
        <v>2410.8985870109514</v>
      </c>
      <c r="E3" s="34">
        <f>VLOOKUP($B3,'Ibri Pop Settlements'!$H$2:$AJ$240,E$29,FALSE)</f>
        <v>2468.6611765474299</v>
      </c>
      <c r="F3" s="34">
        <f>VLOOKUP($B3,'Ibri Pop Settlements'!$H$2:$AJ$240,F$29,FALSE)</f>
        <v>2536.3529424571643</v>
      </c>
      <c r="G3" s="34">
        <f>VLOOKUP($B3,'Ibri Pop Settlements'!$H$2:$AJ$240,G$29,FALSE)</f>
        <v>2605.0166118743332</v>
      </c>
      <c r="H3" s="34">
        <f>VLOOKUP($B3,'Ibri Pop Settlements'!$H$2:$AJ$240,H$29,FALSE)</f>
        <v>2674.8229246042979</v>
      </c>
      <c r="I3" s="34">
        <f>VLOOKUP($B3,'Ibri Pop Settlements'!$H$2:$AJ$240,I$29,FALSE)</f>
        <v>2745.7981483094209</v>
      </c>
      <c r="J3" s="34">
        <f>VLOOKUP($B3,'Ibri Pop Settlements'!$H$2:$AJ$240,J$29,FALSE)</f>
        <v>2805.8722921338531</v>
      </c>
      <c r="K3" s="34">
        <f>VLOOKUP($B3,'Ibri Pop Settlements'!$H$2:$AJ$240,K$29,FALSE)</f>
        <v>2878.7519213603014</v>
      </c>
      <c r="L3" s="34">
        <f>VLOOKUP($B3,'Ibri Pop Settlements'!$H$2:$AJ$240,L$29,FALSE)</f>
        <v>2953.0106028608129</v>
      </c>
      <c r="M3" s="34">
        <f>VLOOKUP($B3,'Ibri Pop Settlements'!$H$2:$AJ$240,M$29,FALSE)</f>
        <v>2991.0461779625962</v>
      </c>
      <c r="N3" s="34">
        <f>VLOOKUP($B3,'Ibri Pop Settlements'!$H$2:$AJ$240,N$29,FALSE)</f>
        <v>3106.5582232043721</v>
      </c>
      <c r="O3" s="34">
        <f>VLOOKUP($B3,'Ibri Pop Settlements'!$H$2:$AJ$240,O$29,FALSE)</f>
        <v>3171.3474124229824</v>
      </c>
      <c r="P3" s="34">
        <f>VLOOKUP($B3,'Ibri Pop Settlements'!$H$2:$AJ$240,P$29,FALSE)</f>
        <v>3253.2762513335219</v>
      </c>
      <c r="Q3" s="34">
        <f>VLOOKUP($B3,'Ibri Pop Settlements'!$H$2:$AJ$240,Q$29,FALSE)</f>
        <v>3338.4360127147243</v>
      </c>
      <c r="R3" s="34">
        <f>VLOOKUP($B3,'Ibri Pop Settlements'!$H$2:$AJ$240,R$29,FALSE)</f>
        <v>3426.590287605321</v>
      </c>
      <c r="S3" s="34">
        <f>VLOOKUP($B3,'Ibri Pop Settlements'!$H$2:$AJ$240,S$29,FALSE)</f>
        <v>3518.527105876206</v>
      </c>
      <c r="T3" s="34">
        <f>VLOOKUP($B3,'Ibri Pop Settlements'!$H$2:$AJ$240,T$29,FALSE)</f>
        <v>3595.0579401711266</v>
      </c>
      <c r="U3" s="34">
        <f>VLOOKUP($B3,'Ibri Pop Settlements'!$H$2:$AJ$240,U$29,FALSE)</f>
        <v>3663.6390275961835</v>
      </c>
      <c r="V3" s="34">
        <f>VLOOKUP($B3,'Ibri Pop Settlements'!$H$2:$AJ$240,V$29,FALSE)</f>
        <v>3735.3511264985887</v>
      </c>
      <c r="W3" s="34">
        <f>VLOOKUP($B3,'Ibri Pop Settlements'!$H$2:$AJ$240,W$29,FALSE)</f>
        <v>3809.2956917120159</v>
      </c>
      <c r="X3" s="34">
        <f>VLOOKUP($B3,'Ibri Pop Settlements'!$H$2:$AJ$240,X$29,FALSE)</f>
        <v>3885.6263580297273</v>
      </c>
      <c r="Y3" s="34">
        <f>VLOOKUP($B3,'Ibri Pop Settlements'!$H$2:$AJ$240,Y$29,FALSE)</f>
        <v>3964.4967602471938</v>
      </c>
      <c r="Z3" s="34">
        <f>VLOOKUP($B3,'Ibri Pop Settlements'!$H$2:$AJ$240,Z$29,FALSE)</f>
        <v>4046.0605332792006</v>
      </c>
      <c r="AA3" s="34">
        <f>VLOOKUP($B3,'Ibri Pop Settlements'!$H$2:$AJ$240,AA$29,FALSE)</f>
        <v>4130.4713118382797</v>
      </c>
      <c r="AB3" s="34">
        <f>VLOOKUP($B3,'Ibri Pop Settlements'!$H$2:$AJ$240,AB$29,FALSE)</f>
        <v>4217.8827309703938</v>
      </c>
      <c r="AC3" s="34">
        <f>VLOOKUP($B3,'Ibri Pop Settlements'!$H$2:$AJ$240,AC$29,FALSE)</f>
        <v>4308.4484252725561</v>
      </c>
      <c r="AD3" s="34">
        <f>VLOOKUP($B3,'Ibri Pop Settlements'!$H$2:$AJ$240,AD$29,FALSE)</f>
        <v>4402.3220298678207</v>
      </c>
      <c r="AE3" s="44">
        <f>AD3*(1+Pop_Wilayat!AH$10)</f>
        <v>4499.5616737963583</v>
      </c>
      <c r="AF3" s="44">
        <f>AE3*(1+Pop_Wilayat!AI$10)</f>
        <v>4600.2990409925869</v>
      </c>
      <c r="AG3" s="44">
        <f>AF3*(1+Pop_Wilayat!AJ$10)</f>
        <v>4704.6718325059765</v>
      </c>
      <c r="AH3" s="44">
        <f>AG3*(1+Pop_Wilayat!AK$10)</f>
        <v>4812.8240628447884</v>
      </c>
      <c r="AI3" s="44">
        <f>AH3*(1+Pop_Wilayat!AL$10)</f>
        <v>4924.9063722468181</v>
      </c>
      <c r="AJ3" s="44">
        <f>AI3*(1+Pop_Wilayat!AM$10)</f>
        <v>5041.0763557862529</v>
      </c>
      <c r="AK3" s="44">
        <f>AJ3*(1+Pop_Wilayat!AN$10)</f>
        <v>5161.498910280915</v>
      </c>
      <c r="AL3" s="44">
        <f>AK3*(1+Pop_Wilayat!AO$10)</f>
        <v>5285.3748841276574</v>
      </c>
      <c r="AM3" s="44">
        <f>AL3*(1+Pop_Wilayat!AP$10)</f>
        <v>5412.2238813467211</v>
      </c>
      <c r="AN3" s="44">
        <f>AM3*(1+Pop_Wilayat!AQ$10)</f>
        <v>5542.1172544990422</v>
      </c>
      <c r="AO3" s="44">
        <f>AN3*(1+Pop_Wilayat!AR$10)</f>
        <v>5675.1280686070195</v>
      </c>
      <c r="AP3" s="44">
        <f>AO3*(1+Pop_Wilayat!AS$10)</f>
        <v>5811.331142253588</v>
      </c>
      <c r="AQ3" s="44">
        <f>AP3*(1+Pop_Wilayat!AT$10)</f>
        <v>5950.8030896676746</v>
      </c>
      <c r="AR3" s="44">
        <f>AQ3*(1+Pop_Wilayat!AU$10)</f>
        <v>6093.6223638196989</v>
      </c>
      <c r="AS3" s="44">
        <f>AR3*(1+Pop_Wilayat!AV$10)</f>
        <v>6239.8693005513715</v>
      </c>
      <c r="AT3" s="44">
        <f>AS3*(1+Pop_Wilayat!AW$10)</f>
        <v>6389.6261637646048</v>
      </c>
      <c r="AU3" s="44">
        <f>AT3*(1+Pop_Wilayat!AX$10)</f>
        <v>6542.9771916949558</v>
      </c>
      <c r="AV3" s="44">
        <f>AU3*(1+Pop_Wilayat!AY$10)</f>
        <v>6700.0086442956344</v>
      </c>
      <c r="AW3" s="44">
        <f>AV3*(1+Pop_Wilayat!AZ$10)</f>
        <v>6860.8088517587294</v>
      </c>
      <c r="AX3" s="44">
        <f>AW3*(1+Pop_Wilayat!BA$10)</f>
        <v>7025.4682642009393</v>
      </c>
      <c r="AY3" s="44">
        <f>AX3*(1+Pop_Wilayat!BB$10)</f>
        <v>7194.0795025417619</v>
      </c>
      <c r="AZ3" s="44">
        <f>AY3*(1+Pop_Wilayat!BC$10)</f>
        <v>7366.7374106027646</v>
      </c>
      <c r="BA3" s="44">
        <f>AZ3*(1+Pop_Wilayat!BD$10)</f>
        <v>7543.5391084572311</v>
      </c>
      <c r="BB3" s="44">
        <f>BA3*(1+Pop_Wilayat!BE$10)</f>
        <v>7724.5840470602052</v>
      </c>
      <c r="BC3" s="44">
        <f>BB3*(1+Pop_Wilayat!BF$10)</f>
        <v>7909.9740641896506</v>
      </c>
      <c r="BD3" s="44">
        <f>BC3*(1+Pop_Wilayat!BG$10)</f>
        <v>8099.8134417302026</v>
      </c>
      <c r="BE3" s="44">
        <f>BD3*(1+Pop_Wilayat!BH$10)</f>
        <v>8294.2089643317267</v>
      </c>
      <c r="BF3" s="44">
        <f>BE3*(1+Pop_Wilayat!BI$10)</f>
        <v>8493.2699794756882</v>
      </c>
      <c r="BG3" s="44">
        <f>BF3*(1+Pop_Wilayat!BJ$10)</f>
        <v>8697.1084589831044</v>
      </c>
      <c r="BH3" s="44">
        <f>BG3*(1+Pop_Wilayat!BK$10)</f>
        <v>8905.8390619986985</v>
      </c>
      <c r="BI3" s="44">
        <f>BH3*(1+Pop_Wilayat!BL$10)</f>
        <v>9119.5791994866668</v>
      </c>
      <c r="BJ3" s="44">
        <f>BI3*(1+Pop_Wilayat!BM$10)</f>
        <v>9338.4491002743471</v>
      </c>
      <c r="BK3" s="44">
        <f>BJ3*(1+Pop_Wilayat!BN$10)</f>
        <v>9562.5718786809321</v>
      </c>
      <c r="BL3" s="44">
        <f>BK3*(1+Pop_Wilayat!BO$10)</f>
        <v>9792.073603769275</v>
      </c>
      <c r="BM3" s="44">
        <f>BL3*(1+Pop_Wilayat!BP$10)</f>
        <v>10027.083370259737</v>
      </c>
      <c r="BN3" s="44">
        <f>BM3*(1+Pop_Wilayat!BQ$10)</f>
        <v>10267.733371145971</v>
      </c>
      <c r="BO3" s="44">
        <f>BN3*(1+Pop_Wilayat!BR$10)</f>
        <v>10514.158972053474</v>
      </c>
      <c r="BP3" s="44">
        <f>BO3*(1+Pop_Wilayat!BS$10)</f>
        <v>10766.498787382758</v>
      </c>
      <c r="BQ3" s="44">
        <f>BP3*(1+Pop_Wilayat!BT$10)</f>
        <v>11024.894758279945</v>
      </c>
      <c r="BR3" s="44">
        <f>BQ3*(1+Pop_Wilayat!BU$10)</f>
        <v>11289.492232478664</v>
      </c>
      <c r="BS3" s="44">
        <f>BR3*(1+Pop_Wilayat!BV$10)</f>
        <v>11560.440046058153</v>
      </c>
      <c r="BT3" s="44">
        <f>BS3*(1+Pop_Wilayat!BW$10)</f>
        <v>11837.890607163548</v>
      </c>
      <c r="BU3" s="44">
        <f>BT3*(1+Pop_Wilayat!BX$10)</f>
        <v>12121.999981735475</v>
      </c>
      <c r="BV3" s="44">
        <f>BU3*(1+Pop_Wilayat!BY$10)</f>
        <v>12412.927981297127</v>
      </c>
      <c r="BW3" s="44">
        <f>BV3*(1+Pop_Wilayat!BZ$10)</f>
        <v>12710.838252848258</v>
      </c>
      <c r="BX3" s="44">
        <f>BW3*(1+Pop_Wilayat!CA$10)</f>
        <v>13015.898370916617</v>
      </c>
      <c r="BY3" s="44">
        <f>BX3*(1+Pop_Wilayat!CB$10)</f>
        <v>13328.279931818615</v>
      </c>
      <c r="BZ3" s="44">
        <f>BY3*(1+Pop_Wilayat!CC$10)</f>
        <v>13648.158650182262</v>
      </c>
      <c r="CA3" s="44">
        <f>BZ3*(1+Pop_Wilayat!CD$10)</f>
        <v>13975.714457786637</v>
      </c>
      <c r="CB3" s="44">
        <f>CA3*(1+Pop_Wilayat!CE$10)</f>
        <v>14311.131604773516</v>
      </c>
    </row>
    <row r="4" spans="1:80" x14ac:dyDescent="0.25">
      <c r="A4" s="33">
        <v>3</v>
      </c>
      <c r="B4" s="36" t="s">
        <v>55</v>
      </c>
      <c r="C4" s="34">
        <f>VLOOKUP($B4,'Ibri Pop Settlements'!$H$2:$AJ$240,C$29,FALSE)</f>
        <v>192.34528967364091</v>
      </c>
      <c r="D4" s="34">
        <f>VLOOKUP($B4,'Ibri Pop Settlements'!$H$2:$AJ$240,D$29,FALSE)</f>
        <v>197.8275674381137</v>
      </c>
      <c r="E4" s="34">
        <f>VLOOKUP($B4,'Ibri Pop Settlements'!$H$2:$AJ$240,E$29,FALSE)</f>
        <v>202.56730748296357</v>
      </c>
      <c r="F4" s="34">
        <f>VLOOKUP($B4,'Ibri Pop Settlements'!$H$2:$AJ$240,F$29,FALSE)</f>
        <v>208.12179138272626</v>
      </c>
      <c r="G4" s="34">
        <f>VLOOKUP($B4,'Ibri Pop Settlements'!$H$2:$AJ$240,G$29,FALSE)</f>
        <v>213.75602534236137</v>
      </c>
      <c r="H4" s="34">
        <f>VLOOKUP($B4,'Ibri Pop Settlements'!$H$2:$AJ$240,H$29,FALSE)</f>
        <v>219.48401950752216</v>
      </c>
      <c r="I4" s="34">
        <f>VLOOKUP($B4,'Ibri Pop Settlements'!$H$2:$AJ$240,I$29,FALSE)</f>
        <v>225.30792928523221</v>
      </c>
      <c r="J4" s="34">
        <f>VLOOKUP($B4,'Ibri Pop Settlements'!$H$2:$AJ$240,J$29,FALSE)</f>
        <v>230.23734514815703</v>
      </c>
      <c r="K4" s="34">
        <f>VLOOKUP($B4,'Ibri Pop Settlements'!$H$2:$AJ$240,K$29,FALSE)</f>
        <v>236.21752193507655</v>
      </c>
      <c r="L4" s="34">
        <f>VLOOKUP($B4,'Ibri Pop Settlements'!$H$2:$AJ$240,L$29,FALSE)</f>
        <v>242.31085759073395</v>
      </c>
      <c r="M4" s="34">
        <f>VLOOKUP($B4,'Ibri Pop Settlements'!$H$2:$AJ$240,M$29,FALSE)</f>
        <v>245.43188696087611</v>
      </c>
      <c r="N4" s="34">
        <f>VLOOKUP($B4,'Ibri Pop Settlements'!$H$2:$AJ$240,N$29,FALSE)</f>
        <v>254.91028934706409</v>
      </c>
      <c r="O4" s="34">
        <f>VLOOKUP($B4,'Ibri Pop Settlements'!$H$2:$AJ$240,O$29,FALSE)</f>
        <v>260.22660077072129</v>
      </c>
      <c r="P4" s="34">
        <f>VLOOKUP($B4,'Ibri Pop Settlements'!$H$2:$AJ$240,P$29,FALSE)</f>
        <v>266.94931527726374</v>
      </c>
      <c r="Q4" s="34">
        <f>VLOOKUP($B4,'Ibri Pop Settlements'!$H$2:$AJ$240,Q$29,FALSE)</f>
        <v>273.93714484770635</v>
      </c>
      <c r="R4" s="34">
        <f>VLOOKUP($B4,'Ibri Pop Settlements'!$H$2:$AJ$240,R$29,FALSE)</f>
        <v>281.17069081883693</v>
      </c>
      <c r="S4" s="34">
        <f>VLOOKUP($B4,'Ibri Pop Settlements'!$H$2:$AJ$240,S$29,FALSE)</f>
        <v>288.71461540136295</v>
      </c>
      <c r="T4" s="34">
        <f>VLOOKUP($B4,'Ibri Pop Settlements'!$H$2:$AJ$240,T$29,FALSE)</f>
        <v>294.9943937645599</v>
      </c>
      <c r="U4" s="34">
        <f>VLOOKUP($B4,'Ibri Pop Settlements'!$H$2:$AJ$240,U$29,FALSE)</f>
        <v>300.62185141485469</v>
      </c>
      <c r="V4" s="34">
        <f>VLOOKUP($B4,'Ibri Pop Settlements'!$H$2:$AJ$240,V$29,FALSE)</f>
        <v>306.5062258792874</v>
      </c>
      <c r="W4" s="34">
        <f>VLOOKUP($B4,'Ibri Pop Settlements'!$H$2:$AJ$240,W$29,FALSE)</f>
        <v>312.57378655573109</v>
      </c>
      <c r="X4" s="34">
        <f>VLOOKUP($B4,'Ibri Pop Settlements'!$H$2:$AJ$240,X$29,FALSE)</f>
        <v>318.83714002896227</v>
      </c>
      <c r="Y4" s="34">
        <f>VLOOKUP($B4,'Ibri Pop Settlements'!$H$2:$AJ$240,Y$29,FALSE)</f>
        <v>325.30889288393882</v>
      </c>
      <c r="Z4" s="34">
        <f>VLOOKUP($B4,'Ibri Pop Settlements'!$H$2:$AJ$240,Z$29,FALSE)</f>
        <v>332.00165171540891</v>
      </c>
      <c r="AA4" s="34">
        <f>VLOOKUP($B4,'Ibri Pop Settlements'!$H$2:$AJ$240,AA$29,FALSE)</f>
        <v>338.92802310152484</v>
      </c>
      <c r="AB4" s="34">
        <f>VLOOKUP($B4,'Ibri Pop Settlements'!$H$2:$AJ$240,AB$29,FALSE)</f>
        <v>346.10061364779864</v>
      </c>
      <c r="AC4" s="34">
        <f>VLOOKUP($B4,'Ibri Pop Settlements'!$H$2:$AJ$240,AC$29,FALSE)</f>
        <v>353.53202992290346</v>
      </c>
      <c r="AD4" s="34">
        <f>VLOOKUP($B4,'Ibri Pop Settlements'!$H$2:$AJ$240,AD$29,FALSE)</f>
        <v>361.23487853867738</v>
      </c>
      <c r="AE4" s="44">
        <f>AD4*(1+Pop_Wilayat!AH$10)</f>
        <v>369.21392930446706</v>
      </c>
      <c r="AF4" s="44">
        <f>AE4*(1+Pop_Wilayat!AI$10)</f>
        <v>377.47998761563713</v>
      </c>
      <c r="AG4" s="44">
        <f>AF4*(1+Pop_Wilayat!AJ$10)</f>
        <v>386.04435260513202</v>
      </c>
      <c r="AH4" s="44">
        <f>AG4*(1+Pop_Wilayat!AK$10)</f>
        <v>394.91884146011949</v>
      </c>
      <c r="AI4" s="44">
        <f>AH4*(1+Pop_Wilayat!AL$10)</f>
        <v>404.1158150455326</v>
      </c>
      <c r="AJ4" s="44">
        <f>AI4*(1+Pop_Wilayat!AM$10)</f>
        <v>413.6482049091083</v>
      </c>
      <c r="AK4" s="44">
        <f>AJ4*(1+Pop_Wilayat!AN$10)</f>
        <v>423.52954174704576</v>
      </c>
      <c r="AL4" s="44">
        <f>AK4*(1+Pop_Wilayat!AO$10)</f>
        <v>433.69425074897487</v>
      </c>
      <c r="AM4" s="44">
        <f>AL4*(1+Pop_Wilayat!AP$10)</f>
        <v>444.10291276695028</v>
      </c>
      <c r="AN4" s="44">
        <f>AM4*(1+Pop_Wilayat!AQ$10)</f>
        <v>454.7613826733571</v>
      </c>
      <c r="AO4" s="44">
        <f>AN4*(1+Pop_Wilayat!AR$10)</f>
        <v>465.67565585751771</v>
      </c>
      <c r="AP4" s="44">
        <f>AO4*(1+Pop_Wilayat!AS$10)</f>
        <v>476.85187159809817</v>
      </c>
      <c r="AQ4" s="44">
        <f>AP4*(1+Pop_Wilayat!AT$10)</f>
        <v>488.29631651645252</v>
      </c>
      <c r="AR4" s="44">
        <f>AQ4*(1+Pop_Wilayat!AU$10)</f>
        <v>500.01542811284742</v>
      </c>
      <c r="AS4" s="44">
        <f>AR4*(1+Pop_Wilayat!AV$10)</f>
        <v>512.01579838755572</v>
      </c>
      <c r="AT4" s="44">
        <f>AS4*(1+Pop_Wilayat!AW$10)</f>
        <v>524.30417754885707</v>
      </c>
      <c r="AU4" s="44">
        <f>AT4*(1+Pop_Wilayat!AX$10)</f>
        <v>536.88747781002962</v>
      </c>
      <c r="AV4" s="44">
        <f>AU4*(1+Pop_Wilayat!AY$10)</f>
        <v>549.77277727747037</v>
      </c>
      <c r="AW4" s="44">
        <f>AV4*(1+Pop_Wilayat!AZ$10)</f>
        <v>562.96732393212972</v>
      </c>
      <c r="AX4" s="44">
        <f>AW4*(1+Pop_Wilayat!BA$10)</f>
        <v>576.4785397065009</v>
      </c>
      <c r="AY4" s="44">
        <f>AX4*(1+Pop_Wilayat!BB$10)</f>
        <v>590.31402465945689</v>
      </c>
      <c r="AZ4" s="44">
        <f>AY4*(1+Pop_Wilayat!BC$10)</f>
        <v>604.48156125128389</v>
      </c>
      <c r="BA4" s="44">
        <f>AZ4*(1+Pop_Wilayat!BD$10)</f>
        <v>618.98911872131475</v>
      </c>
      <c r="BB4" s="44">
        <f>BA4*(1+Pop_Wilayat!BE$10)</f>
        <v>633.84485757062635</v>
      </c>
      <c r="BC4" s="44">
        <f>BB4*(1+Pop_Wilayat!BF$10)</f>
        <v>649.0571341523214</v>
      </c>
      <c r="BD4" s="44">
        <f>BC4*(1+Pop_Wilayat!BG$10)</f>
        <v>664.63450537197707</v>
      </c>
      <c r="BE4" s="44">
        <f>BD4*(1+Pop_Wilayat!BH$10)</f>
        <v>680.58573350090455</v>
      </c>
      <c r="BF4" s="44">
        <f>BE4*(1+Pop_Wilayat!BI$10)</f>
        <v>696.91979110492628</v>
      </c>
      <c r="BG4" s="44">
        <f>BF4*(1+Pop_Wilayat!BJ$10)</f>
        <v>713.64586609144453</v>
      </c>
      <c r="BH4" s="44">
        <f>BG4*(1+Pop_Wilayat!BK$10)</f>
        <v>730.77336687763921</v>
      </c>
      <c r="BI4" s="44">
        <f>BH4*(1+Pop_Wilayat!BL$10)</f>
        <v>748.31192768270262</v>
      </c>
      <c r="BJ4" s="44">
        <f>BI4*(1+Pop_Wilayat!BM$10)</f>
        <v>766.27141394708747</v>
      </c>
      <c r="BK4" s="44">
        <f>BJ4*(1+Pop_Wilayat!BN$10)</f>
        <v>784.66192788181763</v>
      </c>
      <c r="BL4" s="44">
        <f>BK4*(1+Pop_Wilayat!BO$10)</f>
        <v>803.49381415098128</v>
      </c>
      <c r="BM4" s="44">
        <f>BL4*(1+Pop_Wilayat!BP$10)</f>
        <v>822.77766569060486</v>
      </c>
      <c r="BN4" s="44">
        <f>BM4*(1+Pop_Wilayat!BQ$10)</f>
        <v>842.52432966717936</v>
      </c>
      <c r="BO4" s="44">
        <f>BN4*(1+Pop_Wilayat!BR$10)</f>
        <v>862.74491357919169</v>
      </c>
      <c r="BP4" s="44">
        <f>BO4*(1+Pop_Wilayat!BS$10)</f>
        <v>883.4507915050923</v>
      </c>
      <c r="BQ4" s="44">
        <f>BP4*(1+Pop_Wilayat!BT$10)</f>
        <v>904.65361050121453</v>
      </c>
      <c r="BR4" s="44">
        <f>BQ4*(1+Pop_Wilayat!BU$10)</f>
        <v>926.36529715324366</v>
      </c>
      <c r="BS4" s="44">
        <f>BR4*(1+Pop_Wilayat!BV$10)</f>
        <v>948.59806428492152</v>
      </c>
      <c r="BT4" s="44">
        <f>BS4*(1+Pop_Wilayat!BW$10)</f>
        <v>971.36441782775967</v>
      </c>
      <c r="BU4" s="44">
        <f>BT4*(1+Pop_Wilayat!BX$10)</f>
        <v>994.67716385562596</v>
      </c>
      <c r="BV4" s="44">
        <f>BU4*(1+Pop_Wilayat!BY$10)</f>
        <v>1018.549415788161</v>
      </c>
      <c r="BW4" s="44">
        <f>BV4*(1+Pop_Wilayat!BZ$10)</f>
        <v>1042.9946017670768</v>
      </c>
      <c r="BX4" s="44">
        <f>BW4*(1+Pop_Wilayat!CA$10)</f>
        <v>1068.0264722094867</v>
      </c>
      <c r="BY4" s="44">
        <f>BX4*(1+Pop_Wilayat!CB$10)</f>
        <v>1093.6591075425144</v>
      </c>
      <c r="BZ4" s="44">
        <f>BY4*(1+Pop_Wilayat!CC$10)</f>
        <v>1119.9069261235347</v>
      </c>
      <c r="CA4" s="44">
        <f>BZ4*(1+Pop_Wilayat!CD$10)</f>
        <v>1146.7846923504997</v>
      </c>
      <c r="CB4" s="44">
        <f>CA4*(1+Pop_Wilayat!CE$10)</f>
        <v>1174.3075249669116</v>
      </c>
    </row>
    <row r="5" spans="1:80" x14ac:dyDescent="0.25">
      <c r="A5" s="33">
        <v>4</v>
      </c>
      <c r="B5" s="36" t="s">
        <v>57</v>
      </c>
      <c r="C5" s="34">
        <f>VLOOKUP($B5,'Ibri Pop Settlements'!$H$2:$AJ$240,C$29,FALSE)</f>
        <v>10399.274373516797</v>
      </c>
      <c r="D5" s="34">
        <f>VLOOKUP($B5,'Ibri Pop Settlements'!$H$2:$AJ$240,D$29,FALSE)</f>
        <v>10695.677320328319</v>
      </c>
      <c r="E5" s="34">
        <f>VLOOKUP($B5,'Ibri Pop Settlements'!$H$2:$AJ$240,E$29,FALSE)</f>
        <v>10951.934477803663</v>
      </c>
      <c r="F5" s="34">
        <f>VLOOKUP($B5,'Ibri Pop Settlements'!$H$2:$AJ$240,F$29,FALSE)</f>
        <v>11252.2412967277</v>
      </c>
      <c r="G5" s="34">
        <f>VLOOKUP($B5,'Ibri Pop Settlements'!$H$2:$AJ$240,G$29,FALSE)</f>
        <v>11556.859854999891</v>
      </c>
      <c r="H5" s="34">
        <f>VLOOKUP($B5,'Ibri Pop Settlements'!$H$2:$AJ$240,H$29,FALSE)</f>
        <v>11866.547620343559</v>
      </c>
      <c r="I5" s="34">
        <f>VLOOKUP($B5,'Ibri Pop Settlements'!$H$2:$AJ$240,I$29,FALSE)</f>
        <v>12181.4211262546</v>
      </c>
      <c r="J5" s="34">
        <f>VLOOKUP($B5,'Ibri Pop Settlements'!$H$2:$AJ$240,J$29,FALSE)</f>
        <v>12447.933231368792</v>
      </c>
      <c r="K5" s="34">
        <f>VLOOKUP($B5,'Ibri Pop Settlements'!$H$2:$AJ$240,K$29,FALSE)</f>
        <v>12771.255415732294</v>
      </c>
      <c r="L5" s="34">
        <f>VLOOKUP($B5,'Ibri Pop Settlements'!$H$2:$AJ$240,L$29,FALSE)</f>
        <v>13100.695608630336</v>
      </c>
      <c r="M5" s="34">
        <f>VLOOKUP($B5,'Ibri Pop Settlements'!$H$2:$AJ$240,M$29,FALSE)</f>
        <v>13269.436110687771</v>
      </c>
      <c r="N5" s="34">
        <f>VLOOKUP($B5,'Ibri Pop Settlements'!$H$2:$AJ$240,N$29,FALSE)</f>
        <v>13781.89215889051</v>
      </c>
      <c r="O5" s="34">
        <f>VLOOKUP($B5,'Ibri Pop Settlements'!$H$2:$AJ$240,O$29,FALSE)</f>
        <v>14069.322026518039</v>
      </c>
      <c r="P5" s="34">
        <f>VLOOKUP($B5,'Ibri Pop Settlements'!$H$2:$AJ$240,P$29,FALSE)</f>
        <v>14432.790000217718</v>
      </c>
      <c r="Q5" s="34">
        <f>VLOOKUP($B5,'Ibri Pop Settlements'!$H$2:$AJ$240,Q$29,FALSE)</f>
        <v>14810.591593912608</v>
      </c>
      <c r="R5" s="34">
        <f>VLOOKUP($B5,'Ibri Pop Settlements'!$H$2:$AJ$240,R$29,FALSE)</f>
        <v>15201.678006139644</v>
      </c>
      <c r="S5" s="34">
        <f>VLOOKUP($B5,'Ibri Pop Settlements'!$H$2:$AJ$240,S$29,FALSE)</f>
        <v>15609.545241775708</v>
      </c>
      <c r="T5" s="34">
        <f>VLOOKUP($B5,'Ibri Pop Settlements'!$H$2:$AJ$240,T$29,FALSE)</f>
        <v>15949.065582068755</v>
      </c>
      <c r="U5" s="34">
        <f>VLOOKUP($B5,'Ibri Pop Settlements'!$H$2:$AJ$240,U$29,FALSE)</f>
        <v>16253.317774727369</v>
      </c>
      <c r="V5" s="34">
        <f>VLOOKUP($B5,'Ibri Pop Settlements'!$H$2:$AJ$240,V$29,FALSE)</f>
        <v>16571.460343625109</v>
      </c>
      <c r="W5" s="34">
        <f>VLOOKUP($B5,'Ibri Pop Settlements'!$H$2:$AJ$240,W$29,FALSE)</f>
        <v>16899.506995348998</v>
      </c>
      <c r="X5" s="34">
        <f>VLOOKUP($B5,'Ibri Pop Settlements'!$H$2:$AJ$240,X$29,FALSE)</f>
        <v>17238.139313182026</v>
      </c>
      <c r="Y5" s="34">
        <f>VLOOKUP($B5,'Ibri Pop Settlements'!$H$2:$AJ$240,Y$29,FALSE)</f>
        <v>17588.038880416996</v>
      </c>
      <c r="Z5" s="34">
        <f>VLOOKUP($B5,'Ibri Pop Settlements'!$H$2:$AJ$240,Z$29,FALSE)</f>
        <v>17949.887280876021</v>
      </c>
      <c r="AA5" s="34">
        <f>VLOOKUP($B5,'Ibri Pop Settlements'!$H$2:$AJ$240,AA$29,FALSE)</f>
        <v>18324.366097483955</v>
      </c>
      <c r="AB5" s="34">
        <f>VLOOKUP($B5,'Ibri Pop Settlements'!$H$2:$AJ$240,AB$29,FALSE)</f>
        <v>18712.156914644871</v>
      </c>
      <c r="AC5" s="34">
        <f>VLOOKUP($B5,'Ibri Pop Settlements'!$H$2:$AJ$240,AC$29,FALSE)</f>
        <v>19113.941314771117</v>
      </c>
      <c r="AD5" s="34">
        <f>VLOOKUP($B5,'Ibri Pop Settlements'!$H$2:$AJ$240,AD$29,FALSE)</f>
        <v>19530.400882608792</v>
      </c>
      <c r="AE5" s="44">
        <f>AD5*(1+Pop_Wilayat!AH$10)</f>
        <v>19961.793501031916</v>
      </c>
      <c r="AF5" s="44">
        <f>AE5*(1+Pop_Wilayat!AI$10)</f>
        <v>20408.703370835326</v>
      </c>
      <c r="AG5" s="44">
        <f>AF5*(1+Pop_Wilayat!AJ$10)</f>
        <v>20871.74138706029</v>
      </c>
      <c r="AH5" s="44">
        <f>AG5*(1+Pop_Wilayat!AK$10)</f>
        <v>21351.546453689789</v>
      </c>
      <c r="AI5" s="44">
        <f>AH5*(1+Pop_Wilayat!AL$10)</f>
        <v>21848.78686900215</v>
      </c>
      <c r="AJ5" s="44">
        <f>AI5*(1+Pop_Wilayat!AM$10)</f>
        <v>22364.161785616179</v>
      </c>
      <c r="AK5" s="44">
        <f>AJ5*(1+Pop_Wilayat!AN$10)</f>
        <v>22898.402749505676</v>
      </c>
      <c r="AL5" s="44">
        <f>AK5*(1+Pop_Wilayat!AO$10)</f>
        <v>23447.964415493814</v>
      </c>
      <c r="AM5" s="44">
        <f>AL5*(1+Pop_Wilayat!AP$10)</f>
        <v>24010.715561465666</v>
      </c>
      <c r="AN5" s="44">
        <f>AM5*(1+Pop_Wilayat!AQ$10)</f>
        <v>24586.972734940842</v>
      </c>
      <c r="AO5" s="44">
        <f>AN5*(1+Pop_Wilayat!AR$10)</f>
        <v>25177.060080579424</v>
      </c>
      <c r="AP5" s="44">
        <f>AO5*(1+Pop_Wilayat!AS$10)</f>
        <v>25781.309522513329</v>
      </c>
      <c r="AQ5" s="44">
        <f>AP5*(1+Pop_Wilayat!AT$10)</f>
        <v>26400.060951053649</v>
      </c>
      <c r="AR5" s="44">
        <f>AQ5*(1+Pop_Wilayat!AU$10)</f>
        <v>27033.662413878938</v>
      </c>
      <c r="AS5" s="44">
        <f>AR5*(1+Pop_Wilayat!AV$10)</f>
        <v>27682.470311812034</v>
      </c>
      <c r="AT5" s="44">
        <f>AS5*(1+Pop_Wilayat!AW$10)</f>
        <v>28346.849599295525</v>
      </c>
      <c r="AU5" s="44">
        <f>AT5*(1+Pop_Wilayat!AX$10)</f>
        <v>29027.173989678617</v>
      </c>
      <c r="AV5" s="44">
        <f>AU5*(1+Pop_Wilayat!AY$10)</f>
        <v>29723.826165430903</v>
      </c>
      <c r="AW5" s="44">
        <f>AV5*(1+Pop_Wilayat!AZ$10)</f>
        <v>30437.197993401245</v>
      </c>
      <c r="AX5" s="44">
        <f>AW5*(1+Pop_Wilayat!BA$10)</f>
        <v>31167.690745242875</v>
      </c>
      <c r="AY5" s="44">
        <f>AX5*(1+Pop_Wilayat!BB$10)</f>
        <v>31915.715323128705</v>
      </c>
      <c r="AZ5" s="44">
        <f>AY5*(1+Pop_Wilayat!BC$10)</f>
        <v>32681.692490883794</v>
      </c>
      <c r="BA5" s="44">
        <f>AZ5*(1+Pop_Wilayat!BD$10)</f>
        <v>33466.053110665009</v>
      </c>
      <c r="BB5" s="44">
        <f>BA5*(1+Pop_Wilayat!BE$10)</f>
        <v>34269.238385320969</v>
      </c>
      <c r="BC5" s="44">
        <f>BB5*(1+Pop_Wilayat!BF$10)</f>
        <v>35091.700106568671</v>
      </c>
      <c r="BD5" s="44">
        <f>BC5*(1+Pop_Wilayat!BG$10)</f>
        <v>35933.900909126321</v>
      </c>
      <c r="BE5" s="44">
        <f>BD5*(1+Pop_Wilayat!BH$10)</f>
        <v>36796.314530945354</v>
      </c>
      <c r="BF5" s="44">
        <f>BE5*(1+Pop_Wilayat!BI$10)</f>
        <v>37679.426079688041</v>
      </c>
      <c r="BG5" s="44">
        <f>BF5*(1+Pop_Wilayat!BJ$10)</f>
        <v>38583.732305600555</v>
      </c>
      <c r="BH5" s="44">
        <f>BG5*(1+Pop_Wilayat!BK$10)</f>
        <v>39509.741880934969</v>
      </c>
      <c r="BI5" s="44">
        <f>BH5*(1+Pop_Wilayat!BL$10)</f>
        <v>40457.975686077407</v>
      </c>
      <c r="BJ5" s="44">
        <f>BI5*(1+Pop_Wilayat!BM$10)</f>
        <v>41428.967102543269</v>
      </c>
      <c r="BK5" s="44">
        <f>BJ5*(1+Pop_Wilayat!BN$10)</f>
        <v>42423.262313004307</v>
      </c>
      <c r="BL5" s="44">
        <f>BK5*(1+Pop_Wilayat!BO$10)</f>
        <v>43441.420608516411</v>
      </c>
      <c r="BM5" s="44">
        <f>BL5*(1+Pop_Wilayat!BP$10)</f>
        <v>44484.014703120803</v>
      </c>
      <c r="BN5" s="44">
        <f>BM5*(1+Pop_Wilayat!BQ$10)</f>
        <v>45551.631055995706</v>
      </c>
      <c r="BO5" s="44">
        <f>BN5*(1+Pop_Wilayat!BR$10)</f>
        <v>46644.870201339603</v>
      </c>
      <c r="BP5" s="44">
        <f>BO5*(1+Pop_Wilayat!BS$10)</f>
        <v>47764.347086171758</v>
      </c>
      <c r="BQ5" s="44">
        <f>BP5*(1+Pop_Wilayat!BT$10)</f>
        <v>48910.691416239883</v>
      </c>
      <c r="BR5" s="44">
        <f>BQ5*(1+Pop_Wilayat!BU$10)</f>
        <v>50084.548010229642</v>
      </c>
      <c r="BS5" s="44">
        <f>BR5*(1+Pop_Wilayat!BV$10)</f>
        <v>51286.577162475158</v>
      </c>
      <c r="BT5" s="44">
        <f>BS5*(1+Pop_Wilayat!BW$10)</f>
        <v>52517.455014374566</v>
      </c>
      <c r="BU5" s="44">
        <f>BT5*(1+Pop_Wilayat!BX$10)</f>
        <v>53777.873934719559</v>
      </c>
      <c r="BV5" s="44">
        <f>BU5*(1+Pop_Wilayat!BY$10)</f>
        <v>55068.542909152828</v>
      </c>
      <c r="BW5" s="44">
        <f>BV5*(1+Pop_Wilayat!BZ$10)</f>
        <v>56390.1879389725</v>
      </c>
      <c r="BX5" s="44">
        <f>BW5*(1+Pop_Wilayat!CA$10)</f>
        <v>57743.552449507843</v>
      </c>
      <c r="BY5" s="44">
        <f>BX5*(1+Pop_Wilayat!CB$10)</f>
        <v>59129.397708296034</v>
      </c>
      <c r="BZ5" s="44">
        <f>BY5*(1+Pop_Wilayat!CC$10)</f>
        <v>60548.503253295137</v>
      </c>
      <c r="CA5" s="44">
        <f>BZ5*(1+Pop_Wilayat!CD$10)</f>
        <v>62001.667331374221</v>
      </c>
      <c r="CB5" s="44">
        <f>CA5*(1+Pop_Wilayat!CE$10)</f>
        <v>63489.707347327203</v>
      </c>
    </row>
    <row r="6" spans="1:80" x14ac:dyDescent="0.25">
      <c r="A6" s="33">
        <v>5</v>
      </c>
      <c r="B6" s="36" t="s">
        <v>43</v>
      </c>
      <c r="C6" s="34">
        <f>VLOOKUP($B6,'Ibri Pop Settlements'!$H$2:$AJ$240,C$29,FALSE)</f>
        <v>4427.8274259214904</v>
      </c>
      <c r="D6" s="34">
        <f>VLOOKUP($B6,'Ibri Pop Settlements'!$H$2:$AJ$240,D$29,FALSE)</f>
        <v>4554.0305675905156</v>
      </c>
      <c r="E6" s="34">
        <f>VLOOKUP($B6,'Ibri Pop Settlements'!$H$2:$AJ$240,E$29,FALSE)</f>
        <v>4663.1403409462018</v>
      </c>
      <c r="F6" s="34">
        <f>VLOOKUP($B6,'Ibri Pop Settlements'!$H$2:$AJ$240,F$29,FALSE)</f>
        <v>4791.0056824366984</v>
      </c>
      <c r="G6" s="34">
        <f>VLOOKUP($B6,'Ibri Pop Settlements'!$H$2:$AJ$240,G$29,FALSE)</f>
        <v>4920.7068864165813</v>
      </c>
      <c r="H6" s="34">
        <f>VLOOKUP($B6,'Ibri Pop Settlements'!$H$2:$AJ$240,H$29,FALSE)</f>
        <v>5052.5664692691207</v>
      </c>
      <c r="I6" s="34">
        <f>VLOOKUP($B6,'Ibri Pop Settlements'!$H$2:$AJ$240,I$29,FALSE)</f>
        <v>5186.6340488994356</v>
      </c>
      <c r="J6" s="34">
        <f>VLOOKUP($B6,'Ibri Pop Settlements'!$H$2:$AJ$240,J$29,FALSE)</f>
        <v>5300.1101979055538</v>
      </c>
      <c r="K6" s="34">
        <f>VLOOKUP($B6,'Ibri Pop Settlements'!$H$2:$AJ$240,K$29,FALSE)</f>
        <v>5437.7750756569631</v>
      </c>
      <c r="L6" s="34">
        <f>VLOOKUP($B6,'Ibri Pop Settlements'!$H$2:$AJ$240,L$29,FALSE)</f>
        <v>5578.0448934270971</v>
      </c>
      <c r="M6" s="34">
        <f>VLOOKUP($B6,'Ibri Pop Settlements'!$H$2:$AJ$240,M$29,FALSE)</f>
        <v>5649.8916200387539</v>
      </c>
      <c r="N6" s="34">
        <f>VLOOKUP($B6,'Ibri Pop Settlements'!$H$2:$AJ$240,N$29,FALSE)</f>
        <v>5868.0863577975661</v>
      </c>
      <c r="O6" s="34">
        <f>VLOOKUP($B6,'Ibri Pop Settlements'!$H$2:$AJ$240,O$29,FALSE)</f>
        <v>5990.4689207724632</v>
      </c>
      <c r="P6" s="34">
        <f>VLOOKUP($B6,'Ibri Pop Settlements'!$H$2:$AJ$240,P$29,FALSE)</f>
        <v>6145.2271668372123</v>
      </c>
      <c r="Q6" s="34">
        <f>VLOOKUP($B6,'Ibri Pop Settlements'!$H$2:$AJ$240,Q$29,FALSE)</f>
        <v>6306.088415231543</v>
      </c>
      <c r="R6" s="34">
        <f>VLOOKUP($B6,'Ibri Pop Settlements'!$H$2:$AJ$240,R$29,FALSE)</f>
        <v>6472.6061048093879</v>
      </c>
      <c r="S6" s="34">
        <f>VLOOKUP($B6,'Ibri Pop Settlements'!$H$2:$AJ$240,S$29,FALSE)</f>
        <v>6646.2687727243037</v>
      </c>
      <c r="T6" s="34">
        <f>VLOOKUP($B6,'Ibri Pop Settlements'!$H$2:$AJ$240,T$29,FALSE)</f>
        <v>6790.8305392871916</v>
      </c>
      <c r="U6" s="34">
        <f>VLOOKUP($B6,'Ibri Pop Settlements'!$H$2:$AJ$240,U$29,FALSE)</f>
        <v>6920.3757512571083</v>
      </c>
      <c r="V6" s="34">
        <f>VLOOKUP($B6,'Ibri Pop Settlements'!$H$2:$AJ$240,V$29,FALSE)</f>
        <v>7055.8352401908687</v>
      </c>
      <c r="W6" s="34">
        <f>VLOOKUP($B6,'Ibri Pop Settlements'!$H$2:$AJ$240,W$29,FALSE)</f>
        <v>7195.5117127324356</v>
      </c>
      <c r="X6" s="34">
        <f>VLOOKUP($B6,'Ibri Pop Settlements'!$H$2:$AJ$240,X$29,FALSE)</f>
        <v>7339.6953750101511</v>
      </c>
      <c r="Y6" s="34">
        <f>VLOOKUP($B6,'Ibri Pop Settlements'!$H$2:$AJ$240,Y$29,FALSE)</f>
        <v>7488.6764331565309</v>
      </c>
      <c r="Z6" s="34">
        <f>VLOOKUP($B6,'Ibri Pop Settlements'!$H$2:$AJ$240,Z$29,FALSE)</f>
        <v>7642.7450935294628</v>
      </c>
      <c r="AA6" s="34">
        <f>VLOOKUP($B6,'Ibri Pop Settlements'!$H$2:$AJ$240,AA$29,FALSE)</f>
        <v>7802.1915621047983</v>
      </c>
      <c r="AB6" s="34">
        <f>VLOOKUP($B6,'Ibri Pop Settlements'!$H$2:$AJ$240,AB$29,FALSE)</f>
        <v>7967.3060454882116</v>
      </c>
      <c r="AC6" s="34">
        <f>VLOOKUP($B6,'Ibri Pop Settlements'!$H$2:$AJ$240,AC$29,FALSE)</f>
        <v>8138.3787494373428</v>
      </c>
      <c r="AD6" s="34">
        <f>VLOOKUP($B6,'Ibri Pop Settlements'!$H$2:$AJ$240,AD$29,FALSE)</f>
        <v>8315.6998807034906</v>
      </c>
      <c r="AE6" s="44">
        <f>AD6*(1+Pop_Wilayat!AH$10)</f>
        <v>8499.3792412614166</v>
      </c>
      <c r="AF6" s="44">
        <f>AE6*(1+Pop_Wilayat!AI$10)</f>
        <v>8689.665573495322</v>
      </c>
      <c r="AG6" s="44">
        <f>AF6*(1+Pop_Wilayat!AJ$10)</f>
        <v>8886.8189857282396</v>
      </c>
      <c r="AH6" s="44">
        <f>AG6*(1+Pop_Wilayat!AK$10)</f>
        <v>9091.1115119960832</v>
      </c>
      <c r="AI6" s="44">
        <f>AH6*(1+Pop_Wilayat!AL$10)</f>
        <v>9302.8277019067536</v>
      </c>
      <c r="AJ6" s="44">
        <f>AI6*(1+Pop_Wilayat!AM$10)</f>
        <v>9522.2652423015916</v>
      </c>
      <c r="AK6" s="44">
        <f>AJ6*(1+Pop_Wilayat!AN$10)</f>
        <v>9749.7356125405768</v>
      </c>
      <c r="AL6" s="44">
        <f>AK6*(1+Pop_Wilayat!AO$10)</f>
        <v>9983.7292672415515</v>
      </c>
      <c r="AM6" s="44">
        <f>AL6*(1+Pop_Wilayat!AP$10)</f>
        <v>10223.338769655349</v>
      </c>
      <c r="AN6" s="44">
        <f>AM6*(1+Pop_Wilayat!AQ$10)</f>
        <v>10468.698900127078</v>
      </c>
      <c r="AO6" s="44">
        <f>AN6*(1+Pop_Wilayat!AR$10)</f>
        <v>10719.947673730128</v>
      </c>
      <c r="AP6" s="44">
        <f>AO6*(1+Pop_Wilayat!AS$10)</f>
        <v>10977.226417899652</v>
      </c>
      <c r="AQ6" s="44">
        <f>AP6*(1+Pop_Wilayat!AT$10)</f>
        <v>11240.679851929244</v>
      </c>
      <c r="AR6" s="44">
        <f>AQ6*(1+Pop_Wilayat!AU$10)</f>
        <v>11510.456168375546</v>
      </c>
      <c r="AS6" s="44">
        <f>AR6*(1+Pop_Wilayat!AV$10)</f>
        <v>11786.707116416559</v>
      </c>
      <c r="AT6" s="44">
        <f>AS6*(1+Pop_Wilayat!AW$10)</f>
        <v>12069.588087210557</v>
      </c>
      <c r="AU6" s="44">
        <f>AT6*(1+Pop_Wilayat!AX$10)</f>
        <v>12359.258201303612</v>
      </c>
      <c r="AV6" s="44">
        <f>AU6*(1+Pop_Wilayat!AY$10)</f>
        <v>12655.880398134899</v>
      </c>
      <c r="AW6" s="44">
        <f>AV6*(1+Pop_Wilayat!AZ$10)</f>
        <v>12959.621527690137</v>
      </c>
      <c r="AX6" s="44">
        <f>AW6*(1+Pop_Wilayat!BA$10)</f>
        <v>13270.6524443547</v>
      </c>
      <c r="AY6" s="44">
        <f>AX6*(1+Pop_Wilayat!BB$10)</f>
        <v>13589.148103019214</v>
      </c>
      <c r="AZ6" s="44">
        <f>AY6*(1+Pop_Wilayat!BC$10)</f>
        <v>13915.287657491675</v>
      </c>
      <c r="BA6" s="44">
        <f>AZ6*(1+Pop_Wilayat!BD$10)</f>
        <v>14249.254561271477</v>
      </c>
      <c r="BB6" s="44">
        <f>BA6*(1+Pop_Wilayat!BE$10)</f>
        <v>14591.236670741991</v>
      </c>
      <c r="BC6" s="44">
        <f>BB6*(1+Pop_Wilayat!BF$10)</f>
        <v>14941.4263508398</v>
      </c>
      <c r="BD6" s="44">
        <f>BC6*(1+Pop_Wilayat!BG$10)</f>
        <v>15300.020583259955</v>
      </c>
      <c r="BE6" s="44">
        <f>BD6*(1+Pop_Wilayat!BH$10)</f>
        <v>15667.221077258195</v>
      </c>
      <c r="BF6" s="44">
        <f>BE6*(1+Pop_Wilayat!BI$10)</f>
        <v>16043.234383112393</v>
      </c>
      <c r="BG6" s="44">
        <f>BF6*(1+Pop_Wilayat!BJ$10)</f>
        <v>16428.272008307089</v>
      </c>
      <c r="BH6" s="44">
        <f>BG6*(1+Pop_Wilayat!BK$10)</f>
        <v>16822.55053650646</v>
      </c>
      <c r="BI6" s="44">
        <f>BH6*(1+Pop_Wilayat!BL$10)</f>
        <v>17226.291749382617</v>
      </c>
      <c r="BJ6" s="44">
        <f>BI6*(1+Pop_Wilayat!BM$10)</f>
        <v>17639.722751367801</v>
      </c>
      <c r="BK6" s="44">
        <f>BJ6*(1+Pop_Wilayat!BN$10)</f>
        <v>18063.07609740063</v>
      </c>
      <c r="BL6" s="44">
        <f>BK6*(1+Pop_Wilayat!BO$10)</f>
        <v>18496.589923738244</v>
      </c>
      <c r="BM6" s="44">
        <f>BL6*(1+Pop_Wilayat!BP$10)</f>
        <v>18940.508081907963</v>
      </c>
      <c r="BN6" s="44">
        <f>BM6*(1+Pop_Wilayat!BQ$10)</f>
        <v>19395.080275873755</v>
      </c>
      <c r="BO6" s="44">
        <f>BN6*(1+Pop_Wilayat!BR$10)</f>
        <v>19860.562202494726</v>
      </c>
      <c r="BP6" s="44">
        <f>BO6*(1+Pop_Wilayat!BS$10)</f>
        <v>20337.2156953546</v>
      </c>
      <c r="BQ6" s="44">
        <f>BP6*(1+Pop_Wilayat!BT$10)</f>
        <v>20825.308872043111</v>
      </c>
      <c r="BR6" s="44">
        <f>BQ6*(1+Pop_Wilayat!BU$10)</f>
        <v>21325.116284972148</v>
      </c>
      <c r="BS6" s="44">
        <f>BR6*(1+Pop_Wilayat!BV$10)</f>
        <v>21836.919075811478</v>
      </c>
      <c r="BT6" s="44">
        <f>BS6*(1+Pop_Wilayat!BW$10)</f>
        <v>22361.005133630955</v>
      </c>
      <c r="BU6" s="44">
        <f>BT6*(1+Pop_Wilayat!BX$10)</f>
        <v>22897.6692568381</v>
      </c>
      <c r="BV6" s="44">
        <f>BU6*(1+Pop_Wilayat!BY$10)</f>
        <v>23447.213319002214</v>
      </c>
      <c r="BW6" s="44">
        <f>BV6*(1+Pop_Wilayat!BZ$10)</f>
        <v>24009.946438658269</v>
      </c>
      <c r="BX6" s="44">
        <f>BW6*(1+Pop_Wilayat!CA$10)</f>
        <v>24586.18515318607</v>
      </c>
      <c r="BY6" s="44">
        <f>BX6*(1+Pop_Wilayat!CB$10)</f>
        <v>25176.253596862538</v>
      </c>
      <c r="BZ6" s="44">
        <f>BY6*(1+Pop_Wilayat!CC$10)</f>
        <v>25780.483683187238</v>
      </c>
      <c r="CA6" s="44">
        <f>BZ6*(1+Pop_Wilayat!CD$10)</f>
        <v>26399.215291583732</v>
      </c>
      <c r="CB6" s="44">
        <f>CA6*(1+Pop_Wilayat!CE$10)</f>
        <v>27032.796458581743</v>
      </c>
    </row>
    <row r="7" spans="1:80" x14ac:dyDescent="0.25">
      <c r="A7" s="33">
        <v>6</v>
      </c>
      <c r="B7" s="36" t="s">
        <v>39</v>
      </c>
      <c r="C7" s="34">
        <f>VLOOKUP($B7,'Ibri Pop Settlements'!$H$2:$AJ$240,C$29,FALSE)</f>
        <v>613.95062158455073</v>
      </c>
      <c r="D7" s="34">
        <f>VLOOKUP($B7,'Ibri Pop Settlements'!$H$2:$AJ$240,D$29,FALSE)</f>
        <v>631.44960919640323</v>
      </c>
      <c r="E7" s="34">
        <f>VLOOKUP($B7,'Ibri Pop Settlements'!$H$2:$AJ$240,E$29,FALSE)</f>
        <v>646.57847641026751</v>
      </c>
      <c r="F7" s="34">
        <f>VLOOKUP($B7,'Ibri Pop Settlements'!$H$2:$AJ$240,F$29,FALSE)</f>
        <v>664.30794017112623</v>
      </c>
      <c r="G7" s="34">
        <f>VLOOKUP($B7,'Ibri Pop Settlements'!$H$2:$AJ$240,G$29,FALSE)</f>
        <v>682.29195967864837</v>
      </c>
      <c r="H7" s="34">
        <f>VLOOKUP($B7,'Ibri Pop Settlements'!$H$2:$AJ$240,H$29,FALSE)</f>
        <v>700.57525418562625</v>
      </c>
      <c r="I7" s="34">
        <f>VLOOKUP($B7,'Ibri Pop Settlements'!$H$2:$AJ$240,I$29,FALSE)</f>
        <v>719.16470357710477</v>
      </c>
      <c r="J7" s="34">
        <f>VLOOKUP($B7,'Ibri Pop Settlements'!$H$2:$AJ$240,J$29,FALSE)</f>
        <v>734.89900067492545</v>
      </c>
      <c r="K7" s="34">
        <f>VLOOKUP($B7,'Ibri Pop Settlements'!$H$2:$AJ$240,K$29,FALSE)</f>
        <v>753.9872417321634</v>
      </c>
      <c r="L7" s="34">
        <f>VLOOKUP($B7,'Ibri Pop Settlements'!$H$2:$AJ$240,L$29,FALSE)</f>
        <v>773.43667675426184</v>
      </c>
      <c r="M7" s="34">
        <f>VLOOKUP($B7,'Ibri Pop Settlements'!$H$2:$AJ$240,M$29,FALSE)</f>
        <v>783.39875029936206</v>
      </c>
      <c r="N7" s="34">
        <f>VLOOKUP($B7,'Ibri Pop Settlements'!$H$2:$AJ$240,N$29,FALSE)</f>
        <v>813.65304478456812</v>
      </c>
      <c r="O7" s="34">
        <f>VLOOKUP($B7,'Ibri Pop Settlements'!$H$2:$AJ$240,O$29,FALSE)</f>
        <v>830.62228124795888</v>
      </c>
      <c r="P7" s="34">
        <f>VLOOKUP($B7,'Ibri Pop Settlements'!$H$2:$AJ$240,P$29,FALSE)</f>
        <v>852.08064270318516</v>
      </c>
      <c r="Q7" s="34">
        <f>VLOOKUP($B7,'Ibri Pop Settlements'!$H$2:$AJ$240,Q$29,FALSE)</f>
        <v>874.38523001894146</v>
      </c>
      <c r="R7" s="34">
        <f>VLOOKUP($B7,'Ibri Pop Settlements'!$H$2:$AJ$240,R$29,FALSE)</f>
        <v>897.47412422982291</v>
      </c>
      <c r="S7" s="34">
        <f>VLOOKUP($B7,'Ibri Pop Settlements'!$H$2:$AJ$240,S$29,FALSE)</f>
        <v>921.55372188717854</v>
      </c>
      <c r="T7" s="34">
        <f>VLOOKUP($B7,'Ibri Pop Settlements'!$H$2:$AJ$240,T$29,FALSE)</f>
        <v>941.59826696566586</v>
      </c>
      <c r="U7" s="34">
        <f>VLOOKUP($B7,'Ibri Pop Settlements'!$H$2:$AJ$240,U$29,FALSE)</f>
        <v>959.56065704135426</v>
      </c>
      <c r="V7" s="34">
        <f>VLOOKUP($B7,'Ibri Pop Settlements'!$H$2:$AJ$240,V$29,FALSE)</f>
        <v>978.34310482681633</v>
      </c>
      <c r="W7" s="34">
        <f>VLOOKUP($B7,'Ibri Pop Settlements'!$H$2:$AJ$240,W$29,FALSE)</f>
        <v>997.71026819809117</v>
      </c>
      <c r="X7" s="34">
        <f>VLOOKUP($B7,'Ibri Pop Settlements'!$H$2:$AJ$240,X$29,FALSE)</f>
        <v>1017.7023863550714</v>
      </c>
      <c r="Y7" s="34">
        <f>VLOOKUP($B7,'Ibri Pop Settlements'!$H$2:$AJ$240,Y$29,FALSE)</f>
        <v>1038.3596984982289</v>
      </c>
      <c r="Z7" s="34">
        <f>VLOOKUP($B7,'Ibri Pop Settlements'!$H$2:$AJ$240,Z$29,FALSE)</f>
        <v>1059.7224438592848</v>
      </c>
      <c r="AA7" s="34">
        <f>VLOOKUP($B7,'Ibri Pop Settlements'!$H$2:$AJ$240,AA$29,FALSE)</f>
        <v>1081.8308616169882</v>
      </c>
      <c r="AB7" s="34">
        <f>VLOOKUP($B7,'Ibri Pop Settlements'!$H$2:$AJ$240,AB$29,FALSE)</f>
        <v>1104.7251910374177</v>
      </c>
      <c r="AC7" s="34">
        <f>VLOOKUP($B7,'Ibri Pop Settlements'!$H$2:$AJ$240,AC$29,FALSE)</f>
        <v>1128.4456712690655</v>
      </c>
      <c r="AD7" s="34">
        <f>VLOOKUP($B7,'Ibri Pop Settlements'!$H$2:$AJ$240,AD$29,FALSE)</f>
        <v>1153.0325415982024</v>
      </c>
      <c r="AE7" s="44">
        <f>AD7*(1+Pop_Wilayat!AH$10)</f>
        <v>1178.501026870824</v>
      </c>
      <c r="AF7" s="44">
        <f>AE7*(1+Pop_Wilayat!AI$10)</f>
        <v>1204.8856170357708</v>
      </c>
      <c r="AG7" s="44">
        <f>AF7*(1+Pop_Wilayat!AJ$10)</f>
        <v>1232.2223780123404</v>
      </c>
      <c r="AH7" s="44">
        <f>AG7*(1+Pop_Wilayat!AK$10)</f>
        <v>1260.5490293070479</v>
      </c>
      <c r="AI7" s="44">
        <f>AH7*(1+Pop_Wilayat!AL$10)</f>
        <v>1289.905025801902</v>
      </c>
      <c r="AJ7" s="44">
        <f>AI7*(1+Pop_Wilayat!AM$10)</f>
        <v>1320.3316439523051</v>
      </c>
      <c r="AK7" s="44">
        <f>AJ7*(1+Pop_Wilayat!AN$10)</f>
        <v>1351.8720726471358</v>
      </c>
      <c r="AL7" s="44">
        <f>AK7*(1+Pop_Wilayat!AO$10)</f>
        <v>1384.3170023906671</v>
      </c>
      <c r="AM7" s="44">
        <f>AL7*(1+Pop_Wilayat!AP$10)</f>
        <v>1417.540610448043</v>
      </c>
      <c r="AN7" s="44">
        <f>AM7*(1+Pop_Wilayat!AQ$10)</f>
        <v>1451.5615850987961</v>
      </c>
      <c r="AO7" s="44">
        <f>AN7*(1+Pop_Wilayat!AR$10)</f>
        <v>1486.3990631411673</v>
      </c>
      <c r="AP7" s="44">
        <f>AO7*(1+Pop_Wilayat!AS$10)</f>
        <v>1522.0726406565552</v>
      </c>
      <c r="AQ7" s="44">
        <f>AP7*(1+Pop_Wilayat!AT$10)</f>
        <v>1558.6023840323126</v>
      </c>
      <c r="AR7" s="44">
        <f>AQ7*(1+Pop_Wilayat!AU$10)</f>
        <v>1596.0088412490882</v>
      </c>
      <c r="AS7" s="44">
        <f>AR7*(1+Pop_Wilayat!AV$10)</f>
        <v>1634.3130534390664</v>
      </c>
      <c r="AT7" s="44">
        <f>AS7*(1+Pop_Wilayat!AW$10)</f>
        <v>1673.536566721604</v>
      </c>
      <c r="AU7" s="44">
        <f>AT7*(1+Pop_Wilayat!AX$10)</f>
        <v>1713.7014443229225</v>
      </c>
      <c r="AV7" s="44">
        <f>AU7*(1+Pop_Wilayat!AY$10)</f>
        <v>1754.8302789866727</v>
      </c>
      <c r="AW7" s="44">
        <f>AV7*(1+Pop_Wilayat!AZ$10)</f>
        <v>1796.9462056823529</v>
      </c>
      <c r="AX7" s="44">
        <f>AW7*(1+Pop_Wilayat!BA$10)</f>
        <v>1840.0729146187293</v>
      </c>
      <c r="AY7" s="44">
        <f>AX7*(1+Pop_Wilayat!BB$10)</f>
        <v>1884.2346645695789</v>
      </c>
      <c r="AZ7" s="44">
        <f>AY7*(1+Pop_Wilayat!BC$10)</f>
        <v>1929.4562965192488</v>
      </c>
      <c r="BA7" s="44">
        <f>AZ7*(1+Pop_Wilayat!BD$10)</f>
        <v>1975.7632476357107</v>
      </c>
      <c r="BB7" s="44">
        <f>BA7*(1+Pop_Wilayat!BE$10)</f>
        <v>2023.1815655789678</v>
      </c>
      <c r="BC7" s="44">
        <f>BB7*(1+Pop_Wilayat!BF$10)</f>
        <v>2071.737923152863</v>
      </c>
      <c r="BD7" s="44">
        <f>BC7*(1+Pop_Wilayat!BG$10)</f>
        <v>2121.4596333085319</v>
      </c>
      <c r="BE7" s="44">
        <f>BD7*(1+Pop_Wilayat!BH$10)</f>
        <v>2172.3746645079368</v>
      </c>
      <c r="BF7" s="44">
        <f>BE7*(1+Pop_Wilayat!BI$10)</f>
        <v>2224.5116564561272</v>
      </c>
      <c r="BG7" s="44">
        <f>BF7*(1+Pop_Wilayat!BJ$10)</f>
        <v>2277.8999362110744</v>
      </c>
      <c r="BH7" s="44">
        <f>BG7*(1+Pop_Wilayat!BK$10)</f>
        <v>2332.5695346801404</v>
      </c>
      <c r="BI7" s="44">
        <f>BH7*(1+Pop_Wilayat!BL$10)</f>
        <v>2388.5512035124639</v>
      </c>
      <c r="BJ7" s="44">
        <f>BI7*(1+Pop_Wilayat!BM$10)</f>
        <v>2445.876432396763</v>
      </c>
      <c r="BK7" s="44">
        <f>BJ7*(1+Pop_Wilayat!BN$10)</f>
        <v>2504.5774667742853</v>
      </c>
      <c r="BL7" s="44">
        <f>BK7*(1+Pop_Wilayat!BO$10)</f>
        <v>2564.6873259768681</v>
      </c>
      <c r="BM7" s="44">
        <f>BL7*(1+Pop_Wilayat!BP$10)</f>
        <v>2626.2398218003132</v>
      </c>
      <c r="BN7" s="44">
        <f>BM7*(1+Pop_Wilayat!BQ$10)</f>
        <v>2689.2695775235206</v>
      </c>
      <c r="BO7" s="44">
        <f>BN7*(1+Pop_Wilayat!BR$10)</f>
        <v>2753.8120473840854</v>
      </c>
      <c r="BP7" s="44">
        <f>BO7*(1+Pop_Wilayat!BS$10)</f>
        <v>2819.9035365213035</v>
      </c>
      <c r="BQ7" s="44">
        <f>BP7*(1+Pop_Wilayat!BT$10)</f>
        <v>2887.5812213978147</v>
      </c>
      <c r="BR7" s="44">
        <f>BQ7*(1+Pop_Wilayat!BU$10)</f>
        <v>2956.8831707113623</v>
      </c>
      <c r="BS7" s="44">
        <f>BR7*(1+Pop_Wilayat!BV$10)</f>
        <v>3027.848366808435</v>
      </c>
      <c r="BT7" s="44">
        <f>BS7*(1+Pop_Wilayat!BW$10)</f>
        <v>3100.5167276118377</v>
      </c>
      <c r="BU7" s="44">
        <f>BT7*(1+Pop_Wilayat!BX$10)</f>
        <v>3174.9291290745218</v>
      </c>
      <c r="BV7" s="44">
        <f>BU7*(1+Pop_Wilayat!BY$10)</f>
        <v>3251.1274281723104</v>
      </c>
      <c r="BW7" s="44">
        <f>BV7*(1+Pop_Wilayat!BZ$10)</f>
        <v>3329.1544864484458</v>
      </c>
      <c r="BX7" s="44">
        <f>BW7*(1+Pop_Wilayat!CA$10)</f>
        <v>3409.0541941232086</v>
      </c>
      <c r="BY7" s="44">
        <f>BX7*(1+Pop_Wilayat!CB$10)</f>
        <v>3490.8714947821659</v>
      </c>
      <c r="BZ7" s="44">
        <f>BY7*(1+Pop_Wilayat!CC$10)</f>
        <v>3574.6524106569377</v>
      </c>
      <c r="CA7" s="44">
        <f>BZ7*(1+Pop_Wilayat!CD$10)</f>
        <v>3660.4440685127042</v>
      </c>
      <c r="CB7" s="44">
        <f>CA7*(1+Pop_Wilayat!CE$10)</f>
        <v>3748.2947261570093</v>
      </c>
    </row>
    <row r="8" spans="1:80" x14ac:dyDescent="0.25">
      <c r="A8" s="33">
        <v>7</v>
      </c>
      <c r="B8" s="36" t="s">
        <v>50</v>
      </c>
      <c r="C8" s="34">
        <f>VLOOKUP($B8,'Ibri Pop Settlements'!$H$2:$AJ$240,C$29,FALSE)</f>
        <v>403.1479556290958</v>
      </c>
      <c r="D8" s="34">
        <f>VLOOKUP($B8,'Ibri Pop Settlements'!$H$2:$AJ$240,D$29,FALSE)</f>
        <v>414.6385883172585</v>
      </c>
      <c r="E8" s="34">
        <f>VLOOKUP($B8,'Ibri Pop Settlements'!$H$2:$AJ$240,E$29,FALSE)</f>
        <v>424.57289194661558</v>
      </c>
      <c r="F8" s="34">
        <f>VLOOKUP($B8,'Ibri Pop Settlements'!$H$2:$AJ$240,F$29,FALSE)</f>
        <v>436.21486577692627</v>
      </c>
      <c r="G8" s="34">
        <f>VLOOKUP($B8,'Ibri Pop Settlements'!$H$2:$AJ$240,G$29,FALSE)</f>
        <v>448.02399251050491</v>
      </c>
      <c r="H8" s="34">
        <f>VLOOKUP($B8,'Ibri Pop Settlements'!$H$2:$AJ$240,H$29,FALSE)</f>
        <v>460.02963684657419</v>
      </c>
      <c r="I8" s="34">
        <f>VLOOKUP($B8,'Ibri Pop Settlements'!$H$2:$AJ$240,I$29,FALSE)</f>
        <v>472.23631643116852</v>
      </c>
      <c r="J8" s="34">
        <f>VLOOKUP($B8,'Ibri Pop Settlements'!$H$2:$AJ$240,J$29,FALSE)</f>
        <v>482.56817291154124</v>
      </c>
      <c r="K8" s="34">
        <f>VLOOKUP($B8,'Ibri Pop Settlements'!$H$2:$AJ$240,K$29,FALSE)</f>
        <v>495.10238183362003</v>
      </c>
      <c r="L8" s="34">
        <f>VLOOKUP($B8,'Ibri Pop Settlements'!$H$2:$AJ$240,L$29,FALSE)</f>
        <v>507.87376717249788</v>
      </c>
      <c r="M8" s="34">
        <f>VLOOKUP($B8,'Ibri Pop Settlements'!$H$2:$AJ$240,M$29,FALSE)</f>
        <v>514.41531863011915</v>
      </c>
      <c r="N8" s="34">
        <f>VLOOKUP($B8,'Ibri Pop Settlements'!$H$2:$AJ$240,N$29,FALSE)</f>
        <v>534.28166706581612</v>
      </c>
      <c r="O8" s="34">
        <f>VLOOKUP($B8,'Ibri Pop Settlements'!$H$2:$AJ$240,O$29,FALSE)</f>
        <v>545.42444100934006</v>
      </c>
      <c r="P8" s="34">
        <f>VLOOKUP($B8,'Ibri Pop Settlements'!$H$2:$AJ$240,P$29,FALSE)</f>
        <v>559.51497899022445</v>
      </c>
      <c r="Q8" s="34">
        <f>VLOOKUP($B8,'Ibri Pop Settlements'!$H$2:$AJ$240,Q$29,FALSE)</f>
        <v>574.1611874333239</v>
      </c>
      <c r="R8" s="34">
        <f>VLOOKUP($B8,'Ibri Pop Settlements'!$H$2:$AJ$240,R$29,FALSE)</f>
        <v>589.32240752432995</v>
      </c>
      <c r="S8" s="34">
        <f>VLOOKUP($B8,'Ibri Pop Settlements'!$H$2:$AJ$240,S$29,FALSE)</f>
        <v>605.13416864427074</v>
      </c>
      <c r="T8" s="34">
        <f>VLOOKUP($B8,'Ibri Pop Settlements'!$H$2:$AJ$240,T$29,FALSE)</f>
        <v>618.29633036511291</v>
      </c>
      <c r="U8" s="34">
        <f>VLOOKUP($B8,'Ibri Pop Settlements'!$H$2:$AJ$240,U$29,FALSE)</f>
        <v>630.0912542281045</v>
      </c>
      <c r="V8" s="34">
        <f>VLOOKUP($B8,'Ibri Pop Settlements'!$H$2:$AJ$240,V$29,FALSE)</f>
        <v>642.42466535305186</v>
      </c>
      <c r="W8" s="34">
        <f>VLOOKUP($B8,'Ibri Pop Settlements'!$H$2:$AJ$240,W$29,FALSE)</f>
        <v>655.14202737691119</v>
      </c>
      <c r="X8" s="34">
        <f>VLOOKUP($B8,'Ibri Pop Settlements'!$H$2:$AJ$240,X$29,FALSE)</f>
        <v>668.26976319201685</v>
      </c>
      <c r="Y8" s="34">
        <f>VLOOKUP($B8,'Ibri Pop Settlements'!$H$2:$AJ$240,Y$29,FALSE)</f>
        <v>681.83429569108387</v>
      </c>
      <c r="Z8" s="34">
        <f>VLOOKUP($B8,'Ibri Pop Settlements'!$H$2:$AJ$240,Z$29,FALSE)</f>
        <v>695.86204778734691</v>
      </c>
      <c r="AA8" s="34">
        <f>VLOOKUP($B8,'Ibri Pop Settlements'!$H$2:$AJ$240,AA$29,FALSE)</f>
        <v>710.37944235925659</v>
      </c>
      <c r="AB8" s="34">
        <f>VLOOKUP($B8,'Ibri Pop Settlements'!$H$2:$AJ$240,AB$29,FALSE)</f>
        <v>725.41290234260816</v>
      </c>
      <c r="AC8" s="34">
        <f>VLOOKUP($B8,'Ibri Pop Settlements'!$H$2:$AJ$240,AC$29,FALSE)</f>
        <v>740.98885059598445</v>
      </c>
      <c r="AD8" s="34">
        <f>VLOOKUP($B8,'Ibri Pop Settlements'!$H$2:$AJ$240,AD$29,FALSE)</f>
        <v>757.13371006843988</v>
      </c>
      <c r="AE8" s="44">
        <f>AD8*(1+Pop_Wilayat!AH$10)</f>
        <v>773.85747808764552</v>
      </c>
      <c r="AF8" s="44">
        <f>AE8*(1+Pop_Wilayat!AI$10)</f>
        <v>791.18280232570396</v>
      </c>
      <c r="AG8" s="44">
        <f>AF8*(1+Pop_Wilayat!AJ$10)</f>
        <v>809.13336530873619</v>
      </c>
      <c r="AH8" s="44">
        <f>AG8*(1+Pop_Wilayat!AK$10)</f>
        <v>827.73393538358368</v>
      </c>
      <c r="AI8" s="44">
        <f>AH8*(1+Pop_Wilayat!AL$10)</f>
        <v>847.01042042371716</v>
      </c>
      <c r="AJ8" s="44">
        <f>AI8*(1+Pop_Wilayat!AM$10)</f>
        <v>866.98992443070654</v>
      </c>
      <c r="AK8" s="44">
        <f>AJ8*(1+Pop_Wilayat!AN$10)</f>
        <v>887.70080719709063</v>
      </c>
      <c r="AL8" s="44">
        <f>AK8*(1+Pop_Wilayat!AO$10)</f>
        <v>909.00562656982083</v>
      </c>
      <c r="AM8" s="44">
        <f>AL8*(1+Pop_Wilayat!AP$10)</f>
        <v>930.82176160749657</v>
      </c>
      <c r="AN8" s="44">
        <f>AM8*(1+Pop_Wilayat!AQ$10)</f>
        <v>953.16148388607655</v>
      </c>
      <c r="AO8" s="44">
        <f>AN8*(1+Pop_Wilayat!AR$10)</f>
        <v>976.03735949934241</v>
      </c>
      <c r="AP8" s="44">
        <f>AO8*(1+Pop_Wilayat!AS$10)</f>
        <v>999.46225612732667</v>
      </c>
      <c r="AQ8" s="44">
        <f>AP8*(1+Pop_Wilayat!AT$10)</f>
        <v>1023.4493502743825</v>
      </c>
      <c r="AR8" s="44">
        <f>AQ8*(1+Pop_Wilayat!AU$10)</f>
        <v>1048.0121346809676</v>
      </c>
      <c r="AS8" s="44">
        <f>AR8*(1+Pop_Wilayat!AV$10)</f>
        <v>1073.1644259133109</v>
      </c>
      <c r="AT8" s="44">
        <f>AS8*(1+Pop_Wilayat!AW$10)</f>
        <v>1098.9203721352303</v>
      </c>
      <c r="AU8" s="44">
        <f>AT8*(1+Pop_Wilayat!AX$10)</f>
        <v>1125.2944610664758</v>
      </c>
      <c r="AV8" s="44">
        <f>AU8*(1+Pop_Wilayat!AY$10)</f>
        <v>1152.3015281320713</v>
      </c>
      <c r="AW8" s="44">
        <f>AV8*(1+Pop_Wilayat!AZ$10)</f>
        <v>1179.9567648072411</v>
      </c>
      <c r="AX8" s="44">
        <f>AW8*(1+Pop_Wilayat!BA$10)</f>
        <v>1208.2757271626149</v>
      </c>
      <c r="AY8" s="44">
        <f>AX8*(1+Pop_Wilayat!BB$10)</f>
        <v>1237.2743446145178</v>
      </c>
      <c r="AZ8" s="44">
        <f>AY8*(1+Pop_Wilayat!BC$10)</f>
        <v>1266.9689288852662</v>
      </c>
      <c r="BA8" s="44">
        <f>AZ8*(1+Pop_Wilayat!BD$10)</f>
        <v>1297.3761831785127</v>
      </c>
      <c r="BB8" s="44">
        <f>BA8*(1+Pop_Wilayat!BE$10)</f>
        <v>1328.513211574797</v>
      </c>
      <c r="BC8" s="44">
        <f>BB8*(1+Pop_Wilayat!BF$10)</f>
        <v>1360.3975286525922</v>
      </c>
      <c r="BD8" s="44">
        <f>BC8*(1+Pop_Wilayat!BG$10)</f>
        <v>1393.0470693402544</v>
      </c>
      <c r="BE8" s="44">
        <f>BD8*(1+Pop_Wilayat!BH$10)</f>
        <v>1426.4801990044207</v>
      </c>
      <c r="BF8" s="44">
        <f>BE8*(1+Pop_Wilayat!BI$10)</f>
        <v>1460.7157237805268</v>
      </c>
      <c r="BG8" s="44">
        <f>BF8*(1+Pop_Wilayat!BJ$10)</f>
        <v>1495.7729011512595</v>
      </c>
      <c r="BH8" s="44">
        <f>BG8*(1+Pop_Wilayat!BK$10)</f>
        <v>1531.6714507788897</v>
      </c>
      <c r="BI8" s="44">
        <f>BH8*(1+Pop_Wilayat!BL$10)</f>
        <v>1568.4315655975831</v>
      </c>
      <c r="BJ8" s="44">
        <f>BI8*(1+Pop_Wilayat!BM$10)</f>
        <v>1606.0739231719251</v>
      </c>
      <c r="BK8" s="44">
        <f>BJ8*(1+Pop_Wilayat!BN$10)</f>
        <v>1644.6196973280514</v>
      </c>
      <c r="BL8" s="44">
        <f>BK8*(1+Pop_Wilayat!BO$10)</f>
        <v>1684.0905700639246</v>
      </c>
      <c r="BM8" s="44">
        <f>BL8*(1+Pop_Wilayat!BP$10)</f>
        <v>1724.5087437454588</v>
      </c>
      <c r="BN8" s="44">
        <f>BM8*(1+Pop_Wilayat!BQ$10)</f>
        <v>1765.8969535953499</v>
      </c>
      <c r="BO8" s="44">
        <f>BN8*(1+Pop_Wilayat!BR$10)</f>
        <v>1808.2784804816383</v>
      </c>
      <c r="BP8" s="44">
        <f>BO8*(1+Pop_Wilayat!BS$10)</f>
        <v>1851.6771640131976</v>
      </c>
      <c r="BQ8" s="44">
        <f>BP8*(1+Pop_Wilayat!BT$10)</f>
        <v>1896.1174159495145</v>
      </c>
      <c r="BR8" s="44">
        <f>BQ8*(1+Pop_Wilayat!BU$10)</f>
        <v>1941.6242339323028</v>
      </c>
      <c r="BS8" s="44">
        <f>BR8*(1+Pop_Wilayat!BV$10)</f>
        <v>1988.2232155466781</v>
      </c>
      <c r="BT8" s="44">
        <f>BS8*(1+Pop_Wilayat!BW$10)</f>
        <v>2035.9405727197984</v>
      </c>
      <c r="BU8" s="44">
        <f>BT8*(1+Pop_Wilayat!BX$10)</f>
        <v>2084.8031464650735</v>
      </c>
      <c r="BV8" s="44">
        <f>BU8*(1+Pop_Wilayat!BY$10)</f>
        <v>2134.8384219802351</v>
      </c>
      <c r="BW8" s="44">
        <f>BV8*(1+Pop_Wilayat!BZ$10)</f>
        <v>2186.0745441077606</v>
      </c>
      <c r="BX8" s="44">
        <f>BW8*(1+Pop_Wilayat!CA$10)</f>
        <v>2238.540333166347</v>
      </c>
      <c r="BY8" s="44">
        <f>BX8*(1+Pop_Wilayat!CB$10)</f>
        <v>2292.2653011623393</v>
      </c>
      <c r="BZ8" s="44">
        <f>BY8*(1+Pop_Wilayat!CC$10)</f>
        <v>2347.2796683902357</v>
      </c>
      <c r="CA8" s="44">
        <f>BZ8*(1+Pop_Wilayat!CD$10)</f>
        <v>2403.6143804316011</v>
      </c>
      <c r="CB8" s="44">
        <f>CA8*(1+Pop_Wilayat!CE$10)</f>
        <v>2461.3011255619595</v>
      </c>
    </row>
    <row r="9" spans="1:80" x14ac:dyDescent="0.25">
      <c r="A9" s="33">
        <v>8</v>
      </c>
      <c r="B9" s="36" t="s">
        <v>47</v>
      </c>
      <c r="C9" s="34">
        <f>VLOOKUP($B9,'Ibri Pop Settlements'!$H$2:$AJ$240,C$29,FALSE)</f>
        <v>2611.2330234482156</v>
      </c>
      <c r="D9" s="34">
        <f>VLOOKUP($B9,'Ibri Pop Settlements'!$H$2:$AJ$240,D$29,FALSE)</f>
        <v>2685.6590973416646</v>
      </c>
      <c r="E9" s="34">
        <f>VLOOKUP($B9,'Ibri Pop Settlements'!$H$2:$AJ$240,E$29,FALSE)</f>
        <v>2750.0046591626569</v>
      </c>
      <c r="F9" s="34">
        <f>VLOOKUP($B9,'Ibri Pop Settlements'!$H$2:$AJ$240,F$29,FALSE)</f>
        <v>2825.4109860442836</v>
      </c>
      <c r="G9" s="34">
        <f>VLOOKUP($B9,'Ibri Pop Settlements'!$H$2:$AJ$240,G$29,FALSE)</f>
        <v>2901.8999804053906</v>
      </c>
      <c r="H9" s="34">
        <f>VLOOKUP($B9,'Ibri Pop Settlements'!$H$2:$AJ$240,H$29,FALSE)</f>
        <v>2979.6618405869672</v>
      </c>
      <c r="I9" s="34">
        <f>VLOOKUP($B9,'Ibri Pop Settlements'!$H$2:$AJ$240,I$29,FALSE)</f>
        <v>3058.7258278722429</v>
      </c>
      <c r="J9" s="34">
        <f>VLOOKUP($B9,'Ibri Pop Settlements'!$H$2:$AJ$240,J$29,FALSE)</f>
        <v>3125.6463826174045</v>
      </c>
      <c r="K9" s="34">
        <f>VLOOKUP($B9,'Ibri Pop Settlements'!$H$2:$AJ$240,K$29,FALSE)</f>
        <v>3206.8318129367963</v>
      </c>
      <c r="L9" s="34">
        <f>VLOOKUP($B9,'Ibri Pop Settlements'!$H$2:$AJ$240,L$29,FALSE)</f>
        <v>3289.5534606257211</v>
      </c>
      <c r="M9" s="34">
        <f>VLOOKUP($B9,'Ibri Pop Settlements'!$H$2:$AJ$240,M$29,FALSE)</f>
        <v>3331.9237987415904</v>
      </c>
      <c r="N9" s="34">
        <f>VLOOKUP($B9,'Ibri Pop Settlements'!$H$2:$AJ$240,N$29,FALSE)</f>
        <v>3460.6002917419605</v>
      </c>
      <c r="O9" s="34">
        <f>VLOOKUP($B9,'Ibri Pop Settlements'!$H$2:$AJ$240,O$29,FALSE)</f>
        <v>3532.7732468267618</v>
      </c>
      <c r="P9" s="34">
        <f>VLOOKUP($B9,'Ibri Pop Settlements'!$H$2:$AJ$240,P$29,FALSE)</f>
        <v>3624.0391892186103</v>
      </c>
      <c r="Q9" s="34">
        <f>VLOOKUP($B9,'Ibri Pop Settlements'!$H$2:$AJ$240,Q$29,FALSE)</f>
        <v>3718.9042694476498</v>
      </c>
      <c r="R9" s="34">
        <f>VLOOKUP($B9,'Ibri Pop Settlements'!$H$2:$AJ$240,R$29,FALSE)</f>
        <v>3817.1051359648168</v>
      </c>
      <c r="S9" s="34">
        <f>VLOOKUP($B9,'Ibri Pop Settlements'!$H$2:$AJ$240,S$29,FALSE)</f>
        <v>3919.5196272669873</v>
      </c>
      <c r="T9" s="34">
        <f>VLOOKUP($B9,'Ibri Pop Settlements'!$H$2:$AJ$240,T$29,FALSE)</f>
        <v>4004.7723759552373</v>
      </c>
      <c r="U9" s="34">
        <f>VLOOKUP($B9,'Ibri Pop Settlements'!$H$2:$AJ$240,U$29,FALSE)</f>
        <v>4081.1693767834813</v>
      </c>
      <c r="V9" s="34">
        <f>VLOOKUP($B9,'Ibri Pop Settlements'!$H$2:$AJ$240,V$29,FALSE)</f>
        <v>4161.0542179975982</v>
      </c>
      <c r="W9" s="34">
        <f>VLOOKUP($B9,'Ibri Pop Settlements'!$H$2:$AJ$240,W$29,FALSE)</f>
        <v>4243.4259508171981</v>
      </c>
      <c r="X9" s="34">
        <f>VLOOKUP($B9,'Ibri Pop Settlements'!$H$2:$AJ$240,X$29,FALSE)</f>
        <v>4328.4557191810636</v>
      </c>
      <c r="Y9" s="34">
        <f>VLOOKUP($B9,'Ibri Pop Settlements'!$H$2:$AJ$240,Y$29,FALSE)</f>
        <v>4416.3146670304423</v>
      </c>
      <c r="Z9" s="34">
        <f>VLOOKUP($B9,'Ibri Pop Settlements'!$H$2:$AJ$240,Z$29,FALSE)</f>
        <v>4507.1739384394905</v>
      </c>
      <c r="AA9" s="34">
        <f>VLOOKUP($B9,'Ibri Pop Settlements'!$H$2:$AJ$240,AA$29,FALSE)</f>
        <v>4601.2046772570638</v>
      </c>
      <c r="AB9" s="34">
        <f>VLOOKUP($B9,'Ibri Pop Settlements'!$H$2:$AJ$240,AB$29,FALSE)</f>
        <v>4698.5780277034473</v>
      </c>
      <c r="AC9" s="34">
        <f>VLOOKUP($B9,'Ibri Pop Settlements'!$H$2:$AJ$240,AC$29,FALSE)</f>
        <v>4799.4651334988102</v>
      </c>
      <c r="AD9" s="34">
        <f>VLOOKUP($B9,'Ibri Pop Settlements'!$H$2:$AJ$240,AD$29,FALSE)</f>
        <v>4904.0371389493166</v>
      </c>
      <c r="AE9" s="44">
        <f>AD9*(1+Pop_Wilayat!AH$10)</f>
        <v>5012.3587978303403</v>
      </c>
      <c r="AF9" s="44">
        <f>AE9*(1+Pop_Wilayat!AI$10)</f>
        <v>5124.5768015698613</v>
      </c>
      <c r="AG9" s="44">
        <f>AF9*(1+Pop_Wilayat!AJ$10)</f>
        <v>5240.8445444575491</v>
      </c>
      <c r="AH9" s="44">
        <f>AG9*(1+Pop_Wilayat!AK$10)</f>
        <v>5361.3224537616215</v>
      </c>
      <c r="AI9" s="44">
        <f>AH9*(1+Pop_Wilayat!AL$10)</f>
        <v>5486.1783375878358</v>
      </c>
      <c r="AJ9" s="44">
        <f>AI9*(1+Pop_Wilayat!AM$10)</f>
        <v>5615.5877514933482</v>
      </c>
      <c r="AK9" s="44">
        <f>AJ9*(1+Pop_Wilayat!AN$10)</f>
        <v>5749.7343849295903</v>
      </c>
      <c r="AL9" s="44">
        <f>AK9*(1+Pop_Wilayat!AO$10)</f>
        <v>5887.7280101679007</v>
      </c>
      <c r="AM9" s="44">
        <f>AL9*(1+Pop_Wilayat!AP$10)</f>
        <v>6029.0334824119309</v>
      </c>
      <c r="AN9" s="44">
        <f>AM9*(1+Pop_Wilayat!AQ$10)</f>
        <v>6173.7302859898173</v>
      </c>
      <c r="AO9" s="44">
        <f>AN9*(1+Pop_Wilayat!AR$10)</f>
        <v>6321.8998128535732</v>
      </c>
      <c r="AP9" s="44">
        <f>AO9*(1+Pop_Wilayat!AS$10)</f>
        <v>6473.6254083620588</v>
      </c>
      <c r="AQ9" s="44">
        <f>AP9*(1+Pop_Wilayat!AT$10)</f>
        <v>6628.9924181627484</v>
      </c>
      <c r="AR9" s="44">
        <f>AQ9*(1+Pop_Wilayat!AU$10)</f>
        <v>6788.0882361986542</v>
      </c>
      <c r="AS9" s="44">
        <f>AR9*(1+Pop_Wilayat!AV$10)</f>
        <v>6951.0023538674222</v>
      </c>
      <c r="AT9" s="44">
        <f>AS9*(1+Pop_Wilayat!AW$10)</f>
        <v>7117.8264103602405</v>
      </c>
      <c r="AU9" s="44">
        <f>AT9*(1+Pop_Wilayat!AX$10)</f>
        <v>7288.6542442088867</v>
      </c>
      <c r="AV9" s="44">
        <f>AU9*(1+Pop_Wilayat!AY$10)</f>
        <v>7463.5819460699004</v>
      </c>
      <c r="AW9" s="44">
        <f>AV9*(1+Pop_Wilayat!AZ$10)</f>
        <v>7642.7079127755778</v>
      </c>
      <c r="AX9" s="44">
        <f>AW9*(1+Pop_Wilayat!BA$10)</f>
        <v>7826.1329026821923</v>
      </c>
      <c r="AY9" s="44">
        <f>AX9*(1+Pop_Wilayat!BB$10)</f>
        <v>8013.960092346565</v>
      </c>
      <c r="AZ9" s="44">
        <f>AY9*(1+Pop_Wilayat!BC$10)</f>
        <v>8206.2951345628826</v>
      </c>
      <c r="BA9" s="44">
        <f>AZ9*(1+Pop_Wilayat!BD$10)</f>
        <v>8403.2462177923917</v>
      </c>
      <c r="BB9" s="44">
        <f>BA9*(1+Pop_Wilayat!BE$10)</f>
        <v>8604.9241270194088</v>
      </c>
      <c r="BC9" s="44">
        <f>BB9*(1+Pop_Wilayat!BF$10)</f>
        <v>8811.4423060678746</v>
      </c>
      <c r="BD9" s="44">
        <f>BC9*(1+Pop_Wilayat!BG$10)</f>
        <v>9022.9169214135036</v>
      </c>
      <c r="BE9" s="44">
        <f>BD9*(1+Pop_Wilayat!BH$10)</f>
        <v>9239.4669275274282</v>
      </c>
      <c r="BF9" s="44">
        <f>BE9*(1+Pop_Wilayat!BI$10)</f>
        <v>9461.2141337880876</v>
      </c>
      <c r="BG9" s="44">
        <f>BF9*(1+Pop_Wilayat!BJ$10)</f>
        <v>9688.2832729990023</v>
      </c>
      <c r="BH9" s="44">
        <f>BG9*(1+Pop_Wilayat!BK$10)</f>
        <v>9920.8020715509792</v>
      </c>
      <c r="BI9" s="44">
        <f>BH9*(1+Pop_Wilayat!BL$10)</f>
        <v>10158.901321268202</v>
      </c>
      <c r="BJ9" s="44">
        <f>BI9*(1+Pop_Wilayat!BM$10)</f>
        <v>10402.714952978638</v>
      </c>
      <c r="BK9" s="44">
        <f>BJ9*(1+Pop_Wilayat!BN$10)</f>
        <v>10652.380111850125</v>
      </c>
      <c r="BL9" s="44">
        <f>BK9*(1+Pop_Wilayat!BO$10)</f>
        <v>10908.037234534528</v>
      </c>
      <c r="BM9" s="44">
        <f>BL9*(1+Pop_Wilayat!BP$10)</f>
        <v>11169.830128163356</v>
      </c>
      <c r="BN9" s="44">
        <f>BM9*(1+Pop_Wilayat!BQ$10)</f>
        <v>11437.906051239277</v>
      </c>
      <c r="BO9" s="44">
        <f>BN9*(1+Pop_Wilayat!BR$10)</f>
        <v>11712.41579646902</v>
      </c>
      <c r="BP9" s="44">
        <f>BO9*(1+Pop_Wilayat!BS$10)</f>
        <v>11993.513775584277</v>
      </c>
      <c r="BQ9" s="44">
        <f>BP9*(1+Pop_Wilayat!BT$10)</f>
        <v>12281.3581061983</v>
      </c>
      <c r="BR9" s="44">
        <f>BQ9*(1+Pop_Wilayat!BU$10)</f>
        <v>12576.11070074706</v>
      </c>
      <c r="BS9" s="44">
        <f>BR9*(1+Pop_Wilayat!BV$10)</f>
        <v>12877.93735756499</v>
      </c>
      <c r="BT9" s="44">
        <f>BS9*(1+Pop_Wilayat!BW$10)</f>
        <v>13187.00785414655</v>
      </c>
      <c r="BU9" s="44">
        <f>BT9*(1+Pop_Wilayat!BX$10)</f>
        <v>13503.496042646068</v>
      </c>
      <c r="BV9" s="44">
        <f>BU9*(1+Pop_Wilayat!BY$10)</f>
        <v>13827.579947669574</v>
      </c>
      <c r="BW9" s="44">
        <f>BV9*(1+Pop_Wilayat!BZ$10)</f>
        <v>14159.441866413645</v>
      </c>
      <c r="BX9" s="44">
        <f>BW9*(1+Pop_Wilayat!CA$10)</f>
        <v>14499.268471207572</v>
      </c>
      <c r="BY9" s="44">
        <f>BX9*(1+Pop_Wilayat!CB$10)</f>
        <v>14847.250914516553</v>
      </c>
      <c r="BZ9" s="44">
        <f>BY9*(1+Pop_Wilayat!CC$10)</f>
        <v>15203.584936464951</v>
      </c>
      <c r="CA9" s="44">
        <f>BZ9*(1+Pop_Wilayat!CD$10)</f>
        <v>15568.47097494011</v>
      </c>
      <c r="CB9" s="44">
        <f>CA9*(1+Pop_Wilayat!CE$10)</f>
        <v>15942.114278338673</v>
      </c>
    </row>
    <row r="10" spans="1:80" x14ac:dyDescent="0.25">
      <c r="A10" s="33">
        <v>9</v>
      </c>
      <c r="B10" s="36" t="s">
        <v>37</v>
      </c>
      <c r="C10" s="34">
        <f>VLOOKUP($B10,'Ibri Pop Settlements'!$H$2:$AJ$240,C$29,FALSE)</f>
        <v>118.51578454638479</v>
      </c>
      <c r="D10" s="34">
        <f>VLOOKUP($B10,'Ibri Pop Settlements'!$H$2:$AJ$240,D$29,FALSE)</f>
        <v>121.89375367398924</v>
      </c>
      <c r="E10" s="34">
        <f>VLOOKUP($B10,'Ibri Pop Settlements'!$H$2:$AJ$240,E$29,FALSE)</f>
        <v>124.81419956020989</v>
      </c>
      <c r="F10" s="34">
        <f>VLOOKUP($B10,'Ibri Pop Settlements'!$H$2:$AJ$240,F$29,FALSE)</f>
        <v>128.23665933683134</v>
      </c>
      <c r="G10" s="34">
        <f>VLOOKUP($B10,'Ibri Pop Settlements'!$H$2:$AJ$240,G$29,FALSE)</f>
        <v>131.70825803923276</v>
      </c>
      <c r="H10" s="34">
        <f>VLOOKUP($B10,'Ibri Pop Settlements'!$H$2:$AJ$240,H$29,FALSE)</f>
        <v>135.23762818140253</v>
      </c>
      <c r="I10" s="34">
        <f>VLOOKUP($B10,'Ibri Pop Settlements'!$H$2:$AJ$240,I$29,FALSE)</f>
        <v>138.82609784241581</v>
      </c>
      <c r="J10" s="34">
        <f>VLOOKUP($B10,'Ibri Pop Settlements'!$H$2:$AJ$240,J$29,FALSE)</f>
        <v>141.86341468724825</v>
      </c>
      <c r="K10" s="34">
        <f>VLOOKUP($B10,'Ibri Pop Settlements'!$H$2:$AJ$240,K$29,FALSE)</f>
        <v>145.54817008120878</v>
      </c>
      <c r="L10" s="34">
        <f>VLOOKUP($B10,'Ibri Pop Settlements'!$H$2:$AJ$240,L$29,FALSE)</f>
        <v>149.30264962661383</v>
      </c>
      <c r="M10" s="34">
        <f>VLOOKUP($B10,'Ibri Pop Settlements'!$H$2:$AJ$240,M$29,FALSE)</f>
        <v>151.2257081274085</v>
      </c>
      <c r="N10" s="34">
        <f>VLOOKUP($B10,'Ibri Pop Settlements'!$H$2:$AJ$240,N$29,FALSE)</f>
        <v>157.06593586031221</v>
      </c>
      <c r="O10" s="34">
        <f>VLOOKUP($B10,'Ibri Pop Settlements'!$H$2:$AJ$240,O$29,FALSE)</f>
        <v>160.3416428991313</v>
      </c>
      <c r="P10" s="34">
        <f>VLOOKUP($B10,'Ibri Pop Settlements'!$H$2:$AJ$240,P$29,FALSE)</f>
        <v>164.48392153447563</v>
      </c>
      <c r="Q10" s="34">
        <f>VLOOKUP($B10,'Ibri Pop Settlements'!$H$2:$AJ$240,Q$29,FALSE)</f>
        <v>168.78955389606148</v>
      </c>
      <c r="R10" s="34">
        <f>VLOOKUP($B10,'Ibri Pop Settlements'!$H$2:$AJ$240,R$29,FALSE)</f>
        <v>173.24658727221268</v>
      </c>
      <c r="S10" s="34">
        <f>VLOOKUP($B10,'Ibri Pop Settlements'!$H$2:$AJ$240,S$29,FALSE)</f>
        <v>177.89486403518322</v>
      </c>
      <c r="T10" s="34">
        <f>VLOOKUP($B10,'Ibri Pop Settlements'!$H$2:$AJ$240,T$29,FALSE)</f>
        <v>181.7642224205874</v>
      </c>
      <c r="U10" s="34">
        <f>VLOOKUP($B10,'Ibri Pop Settlements'!$H$2:$AJ$240,U$29,FALSE)</f>
        <v>185.2316458212741</v>
      </c>
      <c r="V10" s="34">
        <f>VLOOKUP($B10,'Ibri Pop Settlements'!$H$2:$AJ$240,V$29,FALSE)</f>
        <v>188.85737150137911</v>
      </c>
      <c r="W10" s="34">
        <f>VLOOKUP($B10,'Ibri Pop Settlements'!$H$2:$AJ$240,W$29,FALSE)</f>
        <v>192.59596949393531</v>
      </c>
      <c r="X10" s="34">
        <f>VLOOKUP($B10,'Ibri Pop Settlements'!$H$2:$AJ$240,X$29,FALSE)</f>
        <v>196.4552074925929</v>
      </c>
      <c r="Y10" s="34">
        <f>VLOOKUP($B10,'Ibri Pop Settlements'!$H$2:$AJ$240,Y$29,FALSE)</f>
        <v>200.44285319111381</v>
      </c>
      <c r="Z10" s="34">
        <f>VLOOKUP($B10,'Ibri Pop Settlements'!$H$2:$AJ$240,Z$29,FALSE)</f>
        <v>204.56667428929234</v>
      </c>
      <c r="AA10" s="34">
        <f>VLOOKUP($B10,'Ibri Pop Settlements'!$H$2:$AJ$240,AA$29,FALSE)</f>
        <v>208.8344384766971</v>
      </c>
      <c r="AB10" s="34">
        <f>VLOOKUP($B10,'Ibri Pop Settlements'!$H$2:$AJ$240,AB$29,FALSE)</f>
        <v>213.2539134597547</v>
      </c>
      <c r="AC10" s="34">
        <f>VLOOKUP($B10,'Ibri Pop Settlements'!$H$2:$AJ$240,AC$29,FALSE)</f>
        <v>217.83286692219303</v>
      </c>
      <c r="AD10" s="34">
        <f>VLOOKUP($B10,'Ibri Pop Settlements'!$H$2:$AJ$240,AD$29,FALSE)</f>
        <v>222.57906657433654</v>
      </c>
      <c r="AE10" s="44">
        <f>AD10*(1+Pop_Wilayat!AH$10)</f>
        <v>227.49545138962108</v>
      </c>
      <c r="AF10" s="44">
        <f>AE10*(1+Pop_Wilayat!AI$10)</f>
        <v>232.58867923791777</v>
      </c>
      <c r="AG10" s="44">
        <f>AF10*(1+Pop_Wilayat!AJ$10)</f>
        <v>237.86571221124291</v>
      </c>
      <c r="AH10" s="44">
        <f>AG10*(1+Pop_Wilayat!AK$10)</f>
        <v>243.33383160674023</v>
      </c>
      <c r="AI10" s="44">
        <f>AH10*(1+Pop_Wilayat!AL$10)</f>
        <v>249.00065371492406</v>
      </c>
      <c r="AJ10" s="44">
        <f>AI10*(1+Pop_Wilayat!AM$10)</f>
        <v>254.87414645914745</v>
      </c>
      <c r="AK10" s="44">
        <f>AJ10*(1+Pop_Wilayat!AN$10)</f>
        <v>260.96264693504833</v>
      </c>
      <c r="AL10" s="44">
        <f>AK10*(1+Pop_Wilayat!AO$10)</f>
        <v>267.2257504614895</v>
      </c>
      <c r="AM10" s="44">
        <f>AL10*(1+Pop_Wilayat!AP$10)</f>
        <v>273.63916847256525</v>
      </c>
      <c r="AN10" s="44">
        <f>AM10*(1+Pop_Wilayat!AQ$10)</f>
        <v>280.20650851590682</v>
      </c>
      <c r="AO10" s="44">
        <f>AN10*(1+Pop_Wilayat!AR$10)</f>
        <v>286.9314647202886</v>
      </c>
      <c r="AP10" s="44">
        <f>AO10*(1+Pop_Wilayat!AS$10)</f>
        <v>293.81781987357556</v>
      </c>
      <c r="AQ10" s="44">
        <f>AP10*(1+Pop_Wilayat!AT$10)</f>
        <v>300.86944755054139</v>
      </c>
      <c r="AR10" s="44">
        <f>AQ10*(1+Pop_Wilayat!AU$10)</f>
        <v>308.0903142917544</v>
      </c>
      <c r="AS10" s="44">
        <f>AR10*(1+Pop_Wilayat!AV$10)</f>
        <v>315.48448183475648</v>
      </c>
      <c r="AT10" s="44">
        <f>AS10*(1+Pop_Wilayat!AW$10)</f>
        <v>323.05610939879062</v>
      </c>
      <c r="AU10" s="44">
        <f>AT10*(1+Pop_Wilayat!AX$10)</f>
        <v>330.80945602436162</v>
      </c>
      <c r="AV10" s="44">
        <f>AU10*(1+Pop_Wilayat!AY$10)</f>
        <v>338.7488829689463</v>
      </c>
      <c r="AW10" s="44">
        <f>AV10*(1+Pop_Wilayat!AZ$10)</f>
        <v>346.878856160201</v>
      </c>
      <c r="AX10" s="44">
        <f>AW10*(1+Pop_Wilayat!BA$10)</f>
        <v>355.2039487080458</v>
      </c>
      <c r="AY10" s="44">
        <f>AX10*(1+Pop_Wilayat!BB$10)</f>
        <v>363.72884347703888</v>
      </c>
      <c r="AZ10" s="44">
        <f>AY10*(1+Pop_Wilayat!BC$10)</f>
        <v>372.45833572048781</v>
      </c>
      <c r="BA10" s="44">
        <f>AZ10*(1+Pop_Wilayat!BD$10)</f>
        <v>381.39733577777952</v>
      </c>
      <c r="BB10" s="44">
        <f>BA10*(1+Pop_Wilayat!BE$10)</f>
        <v>390.55087183644622</v>
      </c>
      <c r="BC10" s="44">
        <f>BB10*(1+Pop_Wilayat!BF$10)</f>
        <v>399.92409276052092</v>
      </c>
      <c r="BD10" s="44">
        <f>BC10*(1+Pop_Wilayat!BG$10)</f>
        <v>409.52227098677344</v>
      </c>
      <c r="BE10" s="44">
        <f>BD10*(1+Pop_Wilayat!BH$10)</f>
        <v>419.35080549045603</v>
      </c>
      <c r="BF10" s="44">
        <f>BE10*(1+Pop_Wilayat!BI$10)</f>
        <v>429.415224822227</v>
      </c>
      <c r="BG10" s="44">
        <f>BF10*(1+Pop_Wilayat!BJ$10)</f>
        <v>439.72119021796044</v>
      </c>
      <c r="BH10" s="44">
        <f>BG10*(1+Pop_Wilayat!BK$10)</f>
        <v>450.27449878319152</v>
      </c>
      <c r="BI10" s="44">
        <f>BH10*(1+Pop_Wilayat!BL$10)</f>
        <v>461.08108675398813</v>
      </c>
      <c r="BJ10" s="44">
        <f>BI10*(1+Pop_Wilayat!BM$10)</f>
        <v>472.14703283608384</v>
      </c>
      <c r="BK10" s="44">
        <f>BJ10*(1+Pop_Wilayat!BN$10)</f>
        <v>483.47856162414985</v>
      </c>
      <c r="BL10" s="44">
        <f>BK10*(1+Pop_Wilayat!BO$10)</f>
        <v>495.08204710312947</v>
      </c>
      <c r="BM10" s="44">
        <f>BL10*(1+Pop_Wilayat!BP$10)</f>
        <v>506.96401623360458</v>
      </c>
      <c r="BN10" s="44">
        <f>BM10*(1+Pop_Wilayat!BQ$10)</f>
        <v>519.13115262321105</v>
      </c>
      <c r="BO10" s="44">
        <f>BN10*(1+Pop_Wilayat!BR$10)</f>
        <v>531.59030028616814</v>
      </c>
      <c r="BP10" s="44">
        <f>BO10*(1+Pop_Wilayat!BS$10)</f>
        <v>544.3484674930362</v>
      </c>
      <c r="BQ10" s="44">
        <f>BP10*(1+Pop_Wilayat!BT$10)</f>
        <v>557.41283071286909</v>
      </c>
      <c r="BR10" s="44">
        <f>BQ10*(1+Pop_Wilayat!BU$10)</f>
        <v>570.79073864997792</v>
      </c>
      <c r="BS10" s="44">
        <f>BR10*(1+Pop_Wilayat!BV$10)</f>
        <v>584.48971637757745</v>
      </c>
      <c r="BT10" s="44">
        <f>BS10*(1+Pop_Wilayat!BW$10)</f>
        <v>598.51746957063938</v>
      </c>
      <c r="BU10" s="44">
        <f>BT10*(1+Pop_Wilayat!BX$10)</f>
        <v>612.88188884033468</v>
      </c>
      <c r="BV10" s="44">
        <f>BU10*(1+Pop_Wilayat!BY$10)</f>
        <v>627.59105417250271</v>
      </c>
      <c r="BW10" s="44">
        <f>BV10*(1+Pop_Wilayat!BZ$10)</f>
        <v>642.65323947264278</v>
      </c>
      <c r="BX10" s="44">
        <f>BW10*(1+Pop_Wilayat!CA$10)</f>
        <v>658.07691721998617</v>
      </c>
      <c r="BY10" s="44">
        <f>BX10*(1+Pop_Wilayat!CB$10)</f>
        <v>673.87076323326585</v>
      </c>
      <c r="BZ10" s="44">
        <f>BY10*(1+Pop_Wilayat!CC$10)</f>
        <v>690.04366155086427</v>
      </c>
      <c r="CA10" s="44">
        <f>BZ10*(1+Pop_Wilayat!CD$10)</f>
        <v>706.60470942808502</v>
      </c>
      <c r="CB10" s="44">
        <f>CA10*(1+Pop_Wilayat!CE$10)</f>
        <v>723.56322245435911</v>
      </c>
    </row>
    <row r="11" spans="1:80" x14ac:dyDescent="0.25">
      <c r="A11" s="33">
        <v>10</v>
      </c>
      <c r="B11" s="36" t="s">
        <v>56</v>
      </c>
      <c r="C11" s="34">
        <f>VLOOKUP($B11,'Ibri Pop Settlements'!$H$2:$AJ$240,C$29,FALSE)</f>
        <v>185.54520367507786</v>
      </c>
      <c r="D11" s="34">
        <f>VLOOKUP($B11,'Ibri Pop Settlements'!$H$2:$AJ$240,D$29,FALSE)</f>
        <v>190.83366353878645</v>
      </c>
      <c r="E11" s="34">
        <f>VLOOKUP($B11,'Ibri Pop Settlements'!$H$2:$AJ$240,E$29,FALSE)</f>
        <v>195.40583701639417</v>
      </c>
      <c r="F11" s="34">
        <f>VLOOKUP($B11,'Ibri Pop Settlements'!$H$2:$AJ$240,F$29,FALSE)</f>
        <v>200.76395027323596</v>
      </c>
      <c r="G11" s="34">
        <f>VLOOKUP($B11,'Ibri Pop Settlements'!$H$2:$AJ$240,G$29,FALSE)</f>
        <v>206.198994143389</v>
      </c>
      <c r="H11" s="34">
        <f>VLOOKUP($B11,'Ibri Pop Settlements'!$H$2:$AJ$240,H$29,FALSE)</f>
        <v>211.72448346432694</v>
      </c>
      <c r="I11" s="34">
        <f>VLOOKUP($B11,'Ibri Pop Settlements'!$H$2:$AJ$240,I$29,FALSE)</f>
        <v>217.34249744181491</v>
      </c>
      <c r="J11" s="34">
        <f>VLOOKUP($B11,'Ibri Pop Settlements'!$H$2:$AJ$240,J$29,FALSE)</f>
        <v>222.09764102675754</v>
      </c>
      <c r="K11" s="34">
        <f>VLOOKUP($B11,'Ibri Pop Settlements'!$H$2:$AJ$240,K$29,FALSE)</f>
        <v>227.8663974222203</v>
      </c>
      <c r="L11" s="34">
        <f>VLOOKUP($B11,'Ibri Pop Settlements'!$H$2:$AJ$240,L$29,FALSE)</f>
        <v>233.74431212035446</v>
      </c>
      <c r="M11" s="34">
        <f>VLOOKUP($B11,'Ibri Pop Settlements'!$H$2:$AJ$240,M$29,FALSE)</f>
        <v>236.7550020683199</v>
      </c>
      <c r="N11" s="34">
        <f>VLOOKUP($B11,'Ibri Pop Settlements'!$H$2:$AJ$240,N$29,FALSE)</f>
        <v>245.89830942065274</v>
      </c>
      <c r="O11" s="34">
        <f>VLOOKUP($B11,'Ibri Pop Settlements'!$H$2:$AJ$240,O$29,FALSE)</f>
        <v>251.0266704404433</v>
      </c>
      <c r="P11" s="34">
        <f>VLOOKUP($B11,'Ibri Pop Settlements'!$H$2:$AJ$240,P$29,FALSE)</f>
        <v>257.51171322200696</v>
      </c>
      <c r="Q11" s="34">
        <f>VLOOKUP($B11,'Ibri Pop Settlements'!$H$2:$AJ$240,Q$29,FALSE)</f>
        <v>264.25249831268644</v>
      </c>
      <c r="R11" s="34">
        <f>VLOOKUP($B11,'Ibri Pop Settlements'!$H$2:$AJ$240,R$29,FALSE)</f>
        <v>271.23031286059523</v>
      </c>
      <c r="S11" s="34">
        <f>VLOOKUP($B11,'Ibri Pop Settlements'!$H$2:$AJ$240,S$29,FALSE)</f>
        <v>278.50753303868851</v>
      </c>
      <c r="T11" s="34">
        <f>VLOOKUP($B11,'Ibri Pop Settlements'!$H$2:$AJ$240,T$29,FALSE)</f>
        <v>284.56529903550978</v>
      </c>
      <c r="U11" s="34">
        <f>VLOOKUP($B11,'Ibri Pop Settlements'!$H$2:$AJ$240,U$29,FALSE)</f>
        <v>289.99380616281439</v>
      </c>
      <c r="V11" s="34">
        <f>VLOOKUP($B11,'Ibri Pop Settlements'!$H$2:$AJ$240,V$29,FALSE)</f>
        <v>295.67014718658533</v>
      </c>
      <c r="W11" s="34">
        <f>VLOOKUP($B11,'Ibri Pop Settlements'!$H$2:$AJ$240,W$29,FALSE)</f>
        <v>301.52319814214468</v>
      </c>
      <c r="X11" s="34">
        <f>VLOOKUP($B11,'Ibri Pop Settlements'!$H$2:$AJ$240,X$29,FALSE)</f>
        <v>307.56511992692828</v>
      </c>
      <c r="Y11" s="34">
        <f>VLOOKUP($B11,'Ibri Pop Settlements'!$H$2:$AJ$240,Y$29,FALSE)</f>
        <v>313.80807343854707</v>
      </c>
      <c r="Z11" s="34">
        <f>VLOOKUP($B11,'Ibri Pop Settlements'!$H$2:$AJ$240,Z$29,FALSE)</f>
        <v>320.26421958405609</v>
      </c>
      <c r="AA11" s="34">
        <f>VLOOKUP($B11,'Ibri Pop Settlements'!$H$2:$AJ$240,AA$29,FALSE)</f>
        <v>326.94571925450123</v>
      </c>
      <c r="AB11" s="34">
        <f>VLOOKUP($B11,'Ibri Pop Settlements'!$H$2:$AJ$240,AB$29,FALSE)</f>
        <v>333.86473336732092</v>
      </c>
      <c r="AC11" s="34">
        <f>VLOOKUP($B11,'Ibri Pop Settlements'!$H$2:$AJ$240,AC$29,FALSE)</f>
        <v>341.033422804417</v>
      </c>
      <c r="AD11" s="34">
        <f>VLOOKUP($B11,'Ibri Pop Settlements'!$H$2:$AJ$240,AD$29,FALSE)</f>
        <v>348.46394848933016</v>
      </c>
      <c r="AE11" s="44">
        <f>AD11*(1+Pop_Wilayat!AH$10)</f>
        <v>356.16091160178382</v>
      </c>
      <c r="AF11" s="44">
        <f>AE11*(1+Pop_Wilayat!AI$10)</f>
        <v>364.13473552821557</v>
      </c>
      <c r="AG11" s="44">
        <f>AF11*(1+Pop_Wilayat!AJ$10)</f>
        <v>372.39631993727374</v>
      </c>
      <c r="AH11" s="44">
        <f>AG11*(1+Pop_Wilayat!AK$10)</f>
        <v>380.95706423678183</v>
      </c>
      <c r="AI11" s="44">
        <f>AH11*(1+Pop_Wilayat!AL$10)</f>
        <v>389.82889229139749</v>
      </c>
      <c r="AJ11" s="44">
        <f>AI11*(1+Pop_Wilayat!AM$10)</f>
        <v>399.02427847292756</v>
      </c>
      <c r="AK11" s="44">
        <f>AJ11*(1+Pop_Wilayat!AN$10)</f>
        <v>408.55627511962479</v>
      </c>
      <c r="AL11" s="44">
        <f>AK11*(1+Pop_Wilayat!AO$10)</f>
        <v>418.36162572249577</v>
      </c>
      <c r="AM11" s="44">
        <f>AL11*(1+Pop_Wilayat!AP$10)</f>
        <v>428.4023047398357</v>
      </c>
      <c r="AN11" s="44">
        <f>AM11*(1+Pop_Wilayat!AQ$10)</f>
        <v>438.68396005359176</v>
      </c>
      <c r="AO11" s="44">
        <f>AN11*(1+Pop_Wilayat!AR$10)</f>
        <v>449.21237509487798</v>
      </c>
      <c r="AP11" s="44">
        <f>AO11*(1+Pop_Wilayat!AS$10)</f>
        <v>459.99347209715506</v>
      </c>
      <c r="AQ11" s="44">
        <f>AP11*(1+Pop_Wilayat!AT$10)</f>
        <v>471.0333154274868</v>
      </c>
      <c r="AR11" s="44">
        <f>AQ11*(1+Pop_Wilayat!AU$10)</f>
        <v>482.33811499774652</v>
      </c>
      <c r="AS11" s="44">
        <f>AR11*(1+Pop_Wilayat!AV$10)</f>
        <v>493.91422975769245</v>
      </c>
      <c r="AT11" s="44">
        <f>AS11*(1+Pop_Wilayat!AW$10)</f>
        <v>505.76817127187707</v>
      </c>
      <c r="AU11" s="44">
        <f>AT11*(1+Pop_Wilayat!AX$10)</f>
        <v>517.90660738240217</v>
      </c>
      <c r="AV11" s="44">
        <f>AU11*(1+Pop_Wilayat!AY$10)</f>
        <v>530.33636595957978</v>
      </c>
      <c r="AW11" s="44">
        <f>AV11*(1+Pop_Wilayat!AZ$10)</f>
        <v>543.0644387426097</v>
      </c>
      <c r="AX11" s="44">
        <f>AW11*(1+Pop_Wilayat!BA$10)</f>
        <v>556.09798527243231</v>
      </c>
      <c r="AY11" s="44">
        <f>AX11*(1+Pop_Wilayat!BB$10)</f>
        <v>569.44433691897075</v>
      </c>
      <c r="AZ11" s="44">
        <f>AY11*(1+Pop_Wilayat!BC$10)</f>
        <v>583.11100100502608</v>
      </c>
      <c r="BA11" s="44">
        <f>AZ11*(1+Pop_Wilayat!BD$10)</f>
        <v>597.10566502914673</v>
      </c>
      <c r="BB11" s="44">
        <f>BA11*(1+Pop_Wilayat!BE$10)</f>
        <v>611.43620098984627</v>
      </c>
      <c r="BC11" s="44">
        <f>BB11*(1+Pop_Wilayat!BF$10)</f>
        <v>626.11066981360261</v>
      </c>
      <c r="BD11" s="44">
        <f>BC11*(1+Pop_Wilayat!BG$10)</f>
        <v>641.1373258891291</v>
      </c>
      <c r="BE11" s="44">
        <f>BD11*(1+Pop_Wilayat!BH$10)</f>
        <v>656.52462171046818</v>
      </c>
      <c r="BF11" s="44">
        <f>BE11*(1+Pop_Wilayat!BI$10)</f>
        <v>672.28121263151945</v>
      </c>
      <c r="BG11" s="44">
        <f>BF11*(1+Pop_Wilayat!BJ$10)</f>
        <v>688.41596173467599</v>
      </c>
      <c r="BH11" s="44">
        <f>BG11*(1+Pop_Wilayat!BK$10)</f>
        <v>704.93794481630823</v>
      </c>
      <c r="BI11" s="44">
        <f>BH11*(1+Pop_Wilayat!BL$10)</f>
        <v>721.85645549189962</v>
      </c>
      <c r="BJ11" s="44">
        <f>BI11*(1+Pop_Wilayat!BM$10)</f>
        <v>739.18101042370517</v>
      </c>
      <c r="BK11" s="44">
        <f>BJ11*(1+Pop_Wilayat!BN$10)</f>
        <v>756.92135467387413</v>
      </c>
      <c r="BL11" s="44">
        <f>BK11*(1+Pop_Wilayat!BO$10)</f>
        <v>775.08746718604709</v>
      </c>
      <c r="BM11" s="44">
        <f>BL11*(1+Pop_Wilayat!BP$10)</f>
        <v>793.68956639851228</v>
      </c>
      <c r="BN11" s="44">
        <f>BM11*(1+Pop_Wilayat!BQ$10)</f>
        <v>812.73811599207659</v>
      </c>
      <c r="BO11" s="44">
        <f>BN11*(1+Pop_Wilayat!BR$10)</f>
        <v>832.24383077588641</v>
      </c>
      <c r="BP11" s="44">
        <f>BO11*(1+Pop_Wilayat!BS$10)</f>
        <v>852.21768271450765</v>
      </c>
      <c r="BQ11" s="44">
        <f>BP11*(1+Pop_Wilayat!BT$10)</f>
        <v>872.67090709965589</v>
      </c>
      <c r="BR11" s="44">
        <f>BQ11*(1+Pop_Wilayat!BU$10)</f>
        <v>893.61500887004763</v>
      </c>
      <c r="BS11" s="44">
        <f>BR11*(1+Pop_Wilayat!BV$10)</f>
        <v>915.06176908292878</v>
      </c>
      <c r="BT11" s="44">
        <f>BS11*(1+Pop_Wilayat!BW$10)</f>
        <v>937.02325154091909</v>
      </c>
      <c r="BU11" s="44">
        <f>BT11*(1+Pop_Wilayat!BX$10)</f>
        <v>959.5118095779012</v>
      </c>
      <c r="BV11" s="44">
        <f>BU11*(1+Pop_Wilayat!BY$10)</f>
        <v>982.54009300777091</v>
      </c>
      <c r="BW11" s="44">
        <f>BV11*(1+Pop_Wilayat!BZ$10)</f>
        <v>1006.1210552399574</v>
      </c>
      <c r="BX11" s="44">
        <f>BW11*(1+Pop_Wilayat!CA$10)</f>
        <v>1030.2679605657163</v>
      </c>
      <c r="BY11" s="44">
        <f>BX11*(1+Pop_Wilayat!CB$10)</f>
        <v>1054.9943916192935</v>
      </c>
      <c r="BZ11" s="44">
        <f>BY11*(1+Pop_Wilayat!CC$10)</f>
        <v>1080.3142570181567</v>
      </c>
      <c r="CA11" s="44">
        <f>BZ11*(1+Pop_Wilayat!CD$10)</f>
        <v>1106.2417991865925</v>
      </c>
      <c r="CB11" s="44">
        <f>CA11*(1+Pop_Wilayat!CE$10)</f>
        <v>1132.7916023670707</v>
      </c>
    </row>
    <row r="12" spans="1:80" x14ac:dyDescent="0.25">
      <c r="A12" s="33">
        <v>11</v>
      </c>
      <c r="B12" s="36" t="s">
        <v>41</v>
      </c>
      <c r="C12" s="34">
        <f>VLOOKUP($B12,'Ibri Pop Settlements'!$H$2:$AJ$240,C$29,FALSE)</f>
        <v>533.32103045873157</v>
      </c>
      <c r="D12" s="34">
        <f>VLOOKUP($B12,'Ibri Pop Settlements'!$H$2:$AJ$240,D$29,FALSE)</f>
        <v>548.5218915329516</v>
      </c>
      <c r="E12" s="34">
        <f>VLOOKUP($B12,'Ibri Pop Settlements'!$H$2:$AJ$240,E$29,FALSE)</f>
        <v>561.66389802094454</v>
      </c>
      <c r="F12" s="34">
        <f>VLOOKUP($B12,'Ibri Pop Settlements'!$H$2:$AJ$240,F$29,FALSE)</f>
        <v>577.06496701574099</v>
      </c>
      <c r="G12" s="34">
        <f>VLOOKUP($B12,'Ibri Pop Settlements'!$H$2:$AJ$240,G$29,FALSE)</f>
        <v>592.68716117654742</v>
      </c>
      <c r="H12" s="34">
        <f>VLOOKUP($B12,'Ibri Pop Settlements'!$H$2:$AJ$240,H$29,FALSE)</f>
        <v>608.56932681631145</v>
      </c>
      <c r="I12" s="34">
        <f>VLOOKUP($B12,'Ibri Pop Settlements'!$H$2:$AJ$240,I$29,FALSE)</f>
        <v>624.71744029087108</v>
      </c>
      <c r="J12" s="34">
        <f>VLOOKUP($B12,'Ibri Pop Settlements'!$H$2:$AJ$240,J$29,FALSE)</f>
        <v>638.38536609261723</v>
      </c>
      <c r="K12" s="34">
        <f>VLOOKUP($B12,'Ibri Pop Settlements'!$H$2:$AJ$240,K$29,FALSE)</f>
        <v>654.96676536543953</v>
      </c>
      <c r="L12" s="34">
        <f>VLOOKUP($B12,'Ibri Pop Settlements'!$H$2:$AJ$240,L$29,FALSE)</f>
        <v>671.86192331976224</v>
      </c>
      <c r="M12" s="34">
        <f>VLOOKUP($B12,'Ibri Pop Settlements'!$H$2:$AJ$240,M$29,FALSE)</f>
        <v>680.51568657333826</v>
      </c>
      <c r="N12" s="34">
        <f>VLOOKUP($B12,'Ibri Pop Settlements'!$H$2:$AJ$240,N$29,FALSE)</f>
        <v>706.79671137140497</v>
      </c>
      <c r="O12" s="34">
        <f>VLOOKUP($B12,'Ibri Pop Settlements'!$H$2:$AJ$240,O$29,FALSE)</f>
        <v>721.53739304609087</v>
      </c>
      <c r="P12" s="34">
        <f>VLOOKUP($B12,'Ibri Pop Settlements'!$H$2:$AJ$240,P$29,FALSE)</f>
        <v>740.17764690514036</v>
      </c>
      <c r="Q12" s="34">
        <f>VLOOKUP($B12,'Ibri Pop Settlements'!$H$2:$AJ$240,Q$29,FALSE)</f>
        <v>759.55299253227668</v>
      </c>
      <c r="R12" s="34">
        <f>VLOOKUP($B12,'Ibri Pop Settlements'!$H$2:$AJ$240,R$29,FALSE)</f>
        <v>779.6096427249571</v>
      </c>
      <c r="S12" s="34">
        <f>VLOOKUP($B12,'Ibri Pop Settlements'!$H$2:$AJ$240,S$29,FALSE)</f>
        <v>800.52688815832448</v>
      </c>
      <c r="T12" s="34">
        <f>VLOOKUP($B12,'Ibri Pop Settlements'!$H$2:$AJ$240,T$29,FALSE)</f>
        <v>817.93900089264332</v>
      </c>
      <c r="U12" s="34">
        <f>VLOOKUP($B12,'Ibri Pop Settlements'!$H$2:$AJ$240,U$29,FALSE)</f>
        <v>833.54240619573341</v>
      </c>
      <c r="V12" s="34">
        <f>VLOOKUP($B12,'Ibri Pop Settlements'!$H$2:$AJ$240,V$29,FALSE)</f>
        <v>849.85817175620605</v>
      </c>
      <c r="W12" s="34">
        <f>VLOOKUP($B12,'Ibri Pop Settlements'!$H$2:$AJ$240,W$29,FALSE)</f>
        <v>866.68186272270907</v>
      </c>
      <c r="X12" s="34">
        <f>VLOOKUP($B12,'Ibri Pop Settlements'!$H$2:$AJ$240,X$29,FALSE)</f>
        <v>884.04843371666823</v>
      </c>
      <c r="Y12" s="34">
        <f>VLOOKUP($B12,'Ibri Pop Settlements'!$H$2:$AJ$240,Y$29,FALSE)</f>
        <v>901.99283936001223</v>
      </c>
      <c r="Z12" s="34">
        <f>VLOOKUP($B12,'Ibri Pop Settlements'!$H$2:$AJ$240,Z$29,FALSE)</f>
        <v>920.55003430181557</v>
      </c>
      <c r="AA12" s="34">
        <f>VLOOKUP($B12,'Ibri Pop Settlements'!$H$2:$AJ$240,AA$29,FALSE)</f>
        <v>939.75497314513711</v>
      </c>
      <c r="AB12" s="34">
        <f>VLOOKUP($B12,'Ibri Pop Settlements'!$H$2:$AJ$240,AB$29,FALSE)</f>
        <v>959.6426105688962</v>
      </c>
      <c r="AC12" s="34">
        <f>VLOOKUP($B12,'Ibri Pop Settlements'!$H$2:$AJ$240,AC$29,FALSE)</f>
        <v>980.24790114986865</v>
      </c>
      <c r="AD12" s="34">
        <f>VLOOKUP($B12,'Ibri Pop Settlements'!$H$2:$AJ$240,AD$29,FALSE)</f>
        <v>1001.6057995845146</v>
      </c>
      <c r="AE12" s="44">
        <f>AD12*(1+Pop_Wilayat!AH$10)</f>
        <v>1023.729531253295</v>
      </c>
      <c r="AF12" s="44">
        <f>AE12*(1+Pop_Wilayat!AI$10)</f>
        <v>1046.6490565706301</v>
      </c>
      <c r="AG12" s="44">
        <f>AF12*(1+Pop_Wilayat!AJ$10)</f>
        <v>1070.3957049505932</v>
      </c>
      <c r="AH12" s="44">
        <f>AG12*(1+Pop_Wilayat!AK$10)</f>
        <v>1095.0022422303311</v>
      </c>
      <c r="AI12" s="44">
        <f>AH12*(1+Pop_Wilayat!AL$10)</f>
        <v>1120.5029417171584</v>
      </c>
      <c r="AJ12" s="44">
        <f>AI12*(1+Pop_Wilayat!AM$10)</f>
        <v>1146.9336590661637</v>
      </c>
      <c r="AK12" s="44">
        <f>AJ12*(1+Pop_Wilayat!AN$10)</f>
        <v>1174.3319112077177</v>
      </c>
      <c r="AL12" s="44">
        <f>AK12*(1+Pop_Wilayat!AO$10)</f>
        <v>1202.515877076703</v>
      </c>
      <c r="AM12" s="44">
        <f>AL12*(1+Pop_Wilayat!AP$10)</f>
        <v>1231.3762581265439</v>
      </c>
      <c r="AN12" s="44">
        <f>AM12*(1+Pop_Wilayat!AQ$10)</f>
        <v>1260.929288321581</v>
      </c>
      <c r="AO12" s="44">
        <f>AN12*(1+Pop_Wilayat!AR$10)</f>
        <v>1291.191591241299</v>
      </c>
      <c r="AP12" s="44">
        <f>AO12*(1+Pop_Wilayat!AS$10)</f>
        <v>1322.1801894310902</v>
      </c>
      <c r="AQ12" s="44">
        <f>AP12*(1+Pop_Wilayat!AT$10)</f>
        <v>1353.9125139774364</v>
      </c>
      <c r="AR12" s="44">
        <f>AQ12*(1+Pop_Wilayat!AU$10)</f>
        <v>1386.4064143128949</v>
      </c>
      <c r="AS12" s="44">
        <f>AR12*(1+Pop_Wilayat!AV$10)</f>
        <v>1419.6801682564044</v>
      </c>
      <c r="AT12" s="44">
        <f>AS12*(1+Pop_Wilayat!AW$10)</f>
        <v>1453.7524922945581</v>
      </c>
      <c r="AU12" s="44">
        <f>AT12*(1+Pop_Wilayat!AX$10)</f>
        <v>1488.6425521096276</v>
      </c>
      <c r="AV12" s="44">
        <f>AU12*(1+Pop_Wilayat!AY$10)</f>
        <v>1524.3699733602587</v>
      </c>
      <c r="AW12" s="44">
        <f>AV12*(1+Pop_Wilayat!AZ$10)</f>
        <v>1560.9548527209049</v>
      </c>
      <c r="AX12" s="44">
        <f>AW12*(1+Pop_Wilayat!BA$10)</f>
        <v>1598.4177691862067</v>
      </c>
      <c r="AY12" s="44">
        <f>AX12*(1+Pop_Wilayat!BB$10)</f>
        <v>1636.7797956466757</v>
      </c>
      <c r="AZ12" s="44">
        <f>AY12*(1+Pop_Wilayat!BC$10)</f>
        <v>1676.0625107421959</v>
      </c>
      <c r="BA12" s="44">
        <f>AZ12*(1+Pop_Wilayat!BD$10)</f>
        <v>1716.2880110000085</v>
      </c>
      <c r="BB12" s="44">
        <f>BA12*(1+Pop_Wilayat!BE$10)</f>
        <v>1757.4789232640087</v>
      </c>
      <c r="BC12" s="44">
        <f>BB12*(1+Pop_Wilayat!BF$10)</f>
        <v>1799.6584174223449</v>
      </c>
      <c r="BD12" s="44">
        <f>BC12*(1+Pop_Wilayat!BG$10)</f>
        <v>1842.8502194404812</v>
      </c>
      <c r="BE12" s="44">
        <f>BD12*(1+Pop_Wilayat!BH$10)</f>
        <v>1887.0786247070528</v>
      </c>
      <c r="BF12" s="44">
        <f>BE12*(1+Pop_Wilayat!BI$10)</f>
        <v>1932.3685117000221</v>
      </c>
      <c r="BG12" s="44">
        <f>BF12*(1+Pop_Wilayat!BJ$10)</f>
        <v>1978.7453559808225</v>
      </c>
      <c r="BH12" s="44">
        <f>BG12*(1+Pop_Wilayat!BK$10)</f>
        <v>2026.2352445243623</v>
      </c>
      <c r="BI12" s="44">
        <f>BH12*(1+Pop_Wilayat!BL$10)</f>
        <v>2074.864890392947</v>
      </c>
      <c r="BJ12" s="44">
        <f>BI12*(1+Pop_Wilayat!BM$10)</f>
        <v>2124.6616477623779</v>
      </c>
      <c r="BK12" s="44">
        <f>BJ12*(1+Pop_Wilayat!BN$10)</f>
        <v>2175.6535273086752</v>
      </c>
      <c r="BL12" s="44">
        <f>BK12*(1+Pop_Wilayat!BO$10)</f>
        <v>2227.8692119640832</v>
      </c>
      <c r="BM12" s="44">
        <f>BL12*(1+Pop_Wilayat!BP$10)</f>
        <v>2281.3380730512213</v>
      </c>
      <c r="BN12" s="44">
        <f>BM12*(1+Pop_Wilayat!BQ$10)</f>
        <v>2336.0901868044507</v>
      </c>
      <c r="BO12" s="44">
        <f>BN12*(1+Pop_Wilayat!BR$10)</f>
        <v>2392.1563512877574</v>
      </c>
      <c r="BP12" s="44">
        <f>BO12*(1+Pop_Wilayat!BS$10)</f>
        <v>2449.5681037186637</v>
      </c>
      <c r="BQ12" s="44">
        <f>BP12*(1+Pop_Wilayat!BT$10)</f>
        <v>2508.3577382079116</v>
      </c>
      <c r="BR12" s="44">
        <f>BQ12*(1+Pop_Wilayat!BU$10)</f>
        <v>2568.5583239249013</v>
      </c>
      <c r="BS12" s="44">
        <f>BR12*(1+Pop_Wilayat!BV$10)</f>
        <v>2630.2037236990991</v>
      </c>
      <c r="BT12" s="44">
        <f>BS12*(1+Pop_Wilayat!BW$10)</f>
        <v>2693.3286130678775</v>
      </c>
      <c r="BU12" s="44">
        <f>BT12*(1+Pop_Wilayat!BX$10)</f>
        <v>2757.9684997815066</v>
      </c>
      <c r="BV12" s="44">
        <f>BU12*(1+Pop_Wilayat!BY$10)</f>
        <v>2824.159743776263</v>
      </c>
      <c r="BW12" s="44">
        <f>BV12*(1+Pop_Wilayat!BZ$10)</f>
        <v>2891.9395776268934</v>
      </c>
      <c r="BX12" s="44">
        <f>BW12*(1+Pop_Wilayat!CA$10)</f>
        <v>2961.3461274899391</v>
      </c>
      <c r="BY12" s="44">
        <f>BX12*(1+Pop_Wilayat!CB$10)</f>
        <v>3032.4184345496978</v>
      </c>
      <c r="BZ12" s="44">
        <f>BY12*(1+Pop_Wilayat!CC$10)</f>
        <v>3105.1964769788906</v>
      </c>
      <c r="CA12" s="44">
        <f>BZ12*(1+Pop_Wilayat!CD$10)</f>
        <v>3179.7211924263838</v>
      </c>
      <c r="CB12" s="44">
        <f>CA12*(1+Pop_Wilayat!CE$10)</f>
        <v>3256.0345010446172</v>
      </c>
    </row>
    <row r="13" spans="1:80" x14ac:dyDescent="0.25">
      <c r="A13" s="33">
        <v>12</v>
      </c>
      <c r="B13" s="36" t="s">
        <v>38</v>
      </c>
      <c r="C13" s="34">
        <f>VLOOKUP($B13,'Ibri Pop Settlements'!$H$2:$AJ$240,C$29,FALSE)</f>
        <v>3258.2126341686444</v>
      </c>
      <c r="D13" s="34">
        <f>VLOOKUP($B13,'Ibri Pop Settlements'!$H$2:$AJ$240,D$29,FALSE)</f>
        <v>3351.0790969062291</v>
      </c>
      <c r="E13" s="34">
        <f>VLOOKUP($B13,'Ibri Pop Settlements'!$H$2:$AJ$240,E$29,FALSE)</f>
        <v>3431.3674206962619</v>
      </c>
      <c r="F13" s="34">
        <f>VLOOKUP($B13,'Ibri Pop Settlements'!$H$2:$AJ$240,F$29,FALSE)</f>
        <v>3525.4570116043633</v>
      </c>
      <c r="G13" s="34">
        <f>VLOOKUP($B13,'Ibri Pop Settlements'!$H$2:$AJ$240,G$29,FALSE)</f>
        <v>3620.897520193334</v>
      </c>
      <c r="H13" s="34">
        <f>VLOOKUP($B13,'Ibri Pop Settlements'!$H$2:$AJ$240,H$29,FALSE)</f>
        <v>3717.9262698395423</v>
      </c>
      <c r="I13" s="34">
        <f>VLOOKUP($B13,'Ibri Pop Settlements'!$H$2:$AJ$240,I$29,FALSE)</f>
        <v>3816.5797718316608</v>
      </c>
      <c r="J13" s="34">
        <f>VLOOKUP($B13,'Ibri Pop Settlements'!$H$2:$AJ$240,J$29,FALSE)</f>
        <v>3900.0810890248422</v>
      </c>
      <c r="K13" s="34">
        <f>VLOOKUP($B13,'Ibri Pop Settlements'!$H$2:$AJ$240,K$29,FALSE)</f>
        <v>4001.3816594456907</v>
      </c>
      <c r="L13" s="34">
        <f>VLOOKUP($B13,'Ibri Pop Settlements'!$H$2:$AJ$240,L$29,FALSE)</f>
        <v>4104.5990725218262</v>
      </c>
      <c r="M13" s="34">
        <f>VLOOKUP($B13,'Ibri Pop Settlements'!$H$2:$AJ$240,M$29,FALSE)</f>
        <v>4157.4674185190834</v>
      </c>
      <c r="N13" s="34">
        <f>VLOOKUP($B13,'Ibri Pop Settlements'!$H$2:$AJ$240,N$29,FALSE)</f>
        <v>4318.0258104548129</v>
      </c>
      <c r="O13" s="34">
        <f>VLOOKUP($B13,'Ibri Pop Settlements'!$H$2:$AJ$240,O$29,FALSE)</f>
        <v>4408.0809039646429</v>
      </c>
      <c r="P13" s="34">
        <f>VLOOKUP($B13,'Ibri Pop Settlements'!$H$2:$AJ$240,P$29,FALSE)</f>
        <v>4521.9596133330433</v>
      </c>
      <c r="Q13" s="34">
        <f>VLOOKUP($B13,'Ibri Pop Settlements'!$H$2:$AJ$240,Q$29,FALSE)</f>
        <v>4640.3292112081172</v>
      </c>
      <c r="R13" s="34">
        <f>VLOOKUP($B13,'Ibri Pop Settlements'!$H$2:$AJ$240,R$29,FALSE)</f>
        <v>4762.8610959918142</v>
      </c>
      <c r="S13" s="34">
        <f>VLOOKUP($B13,'Ibri Pop Settlements'!$H$2:$AJ$240,S$29,FALSE)</f>
        <v>4890.6506063442994</v>
      </c>
      <c r="T13" s="34">
        <f>VLOOKUP($B13,'Ibri Pop Settlements'!$H$2:$AJ$240,T$29,FALSE)</f>
        <v>4997.0262458905754</v>
      </c>
      <c r="U13" s="34">
        <f>VLOOKUP($B13,'Ibri Pop Settlements'!$H$2:$AJ$240,U$29,FALSE)</f>
        <v>5092.3519679061747</v>
      </c>
      <c r="V13" s="34">
        <f>VLOOKUP($B13,'Ibri Pop Settlements'!$H$2:$AJ$240,V$29,FALSE)</f>
        <v>5192.0297050461113</v>
      </c>
      <c r="W13" s="34">
        <f>VLOOKUP($B13,'Ibri Pop Settlements'!$H$2:$AJ$240,W$29,FALSE)</f>
        <v>5294.8105055955666</v>
      </c>
      <c r="X13" s="34">
        <f>VLOOKUP($B13,'Ibri Pop Settlements'!$H$2:$AJ$240,X$29,FALSE)</f>
        <v>5400.9079174603012</v>
      </c>
      <c r="Y13" s="34">
        <f>VLOOKUP($B13,'Ibri Pop Settlements'!$H$2:$AJ$240,Y$29,FALSE)</f>
        <v>5510.5354885491461</v>
      </c>
      <c r="Z13" s="34">
        <f>VLOOKUP($B13,'Ibri Pop Settlements'!$H$2:$AJ$240,Z$29,FALSE)</f>
        <v>5623.9067669367751</v>
      </c>
      <c r="AA13" s="34">
        <f>VLOOKUP($B13,'Ibri Pop Settlements'!$H$2:$AJ$240,AA$29,FALSE)</f>
        <v>5741.2353004167389</v>
      </c>
      <c r="AB13" s="34">
        <f>VLOOKUP($B13,'Ibri Pop Settlements'!$H$2:$AJ$240,AB$29,FALSE)</f>
        <v>5862.7346372460433</v>
      </c>
      <c r="AC13" s="34">
        <f>VLOOKUP($B13,'Ibri Pop Settlements'!$H$2:$AJ$240,AC$29,FALSE)</f>
        <v>5988.6183250576678</v>
      </c>
      <c r="AD13" s="34">
        <f>VLOOKUP($B13,'Ibri Pop Settlements'!$H$2:$AJ$240,AD$29,FALSE)</f>
        <v>6119.0999122157773</v>
      </c>
      <c r="AE13" s="44">
        <f>AD13*(1+Pop_Wilayat!AH$10)</f>
        <v>6254.2601963999114</v>
      </c>
      <c r="AF13" s="44">
        <f>AE13*(1+Pop_Wilayat!AI$10)</f>
        <v>6394.2822144588226</v>
      </c>
      <c r="AG13" s="44">
        <f>AF13*(1+Pop_Wilayat!AJ$10)</f>
        <v>6539.3573668566296</v>
      </c>
      <c r="AH13" s="44">
        <f>AG13*(1+Pop_Wilayat!AK$10)</f>
        <v>6689.685829582023</v>
      </c>
      <c r="AI13" s="44">
        <f>AH13*(1+Pop_Wilayat!AL$10)</f>
        <v>6845.4769881955353</v>
      </c>
      <c r="AJ13" s="44">
        <f>AI13*(1+Pop_Wilayat!AM$10)</f>
        <v>7006.9498952785298</v>
      </c>
      <c r="AK13" s="44">
        <f>AJ13*(1+Pop_Wilayat!AN$10)</f>
        <v>7174.3337526241976</v>
      </c>
      <c r="AL13" s="44">
        <f>AK13*(1+Pop_Wilayat!AO$10)</f>
        <v>7346.5177626871782</v>
      </c>
      <c r="AM13" s="44">
        <f>AL13*(1+Pop_Wilayat!AP$10)</f>
        <v>7522.834188991671</v>
      </c>
      <c r="AN13" s="44">
        <f>AM13*(1+Pop_Wilayat!AQ$10)</f>
        <v>7703.3822095274709</v>
      </c>
      <c r="AO13" s="44">
        <f>AN13*(1+Pop_Wilayat!AR$10)</f>
        <v>7888.2633825561306</v>
      </c>
      <c r="AP13" s="44">
        <f>AO13*(1+Pop_Wilayat!AS$10)</f>
        <v>8077.5817037374782</v>
      </c>
      <c r="AQ13" s="44">
        <f>AP13*(1+Pop_Wilayat!AT$10)</f>
        <v>8271.443664627177</v>
      </c>
      <c r="AR13" s="44">
        <f>AQ13*(1+Pop_Wilayat!AU$10)</f>
        <v>8469.9583125782301</v>
      </c>
      <c r="AS13" s="44">
        <f>AR13*(1+Pop_Wilayat!AV$10)</f>
        <v>8673.2373120801076</v>
      </c>
      <c r="AT13" s="44">
        <f>AS13*(1+Pop_Wilayat!AW$10)</f>
        <v>8881.3950075700304</v>
      </c>
      <c r="AU13" s="44">
        <f>AT13*(1+Pop_Wilayat!AX$10)</f>
        <v>9094.5484877517119</v>
      </c>
      <c r="AV13" s="44">
        <f>AU13*(1+Pop_Wilayat!AY$10)</f>
        <v>9312.8176514577535</v>
      </c>
      <c r="AW13" s="44">
        <f>AV13*(1+Pop_Wilayat!AZ$10)</f>
        <v>9536.3252750927404</v>
      </c>
      <c r="AX13" s="44">
        <f>AW13*(1+Pop_Wilayat!BA$10)</f>
        <v>9765.197081694967</v>
      </c>
      <c r="AY13" s="44">
        <f>AX13*(1+Pop_Wilayat!BB$10)</f>
        <v>9999.561811655647</v>
      </c>
      <c r="AZ13" s="44">
        <f>AY13*(1+Pop_Wilayat!BC$10)</f>
        <v>10239.551295135383</v>
      </c>
      <c r="BA13" s="44">
        <f>AZ13*(1+Pop_Wilayat!BD$10)</f>
        <v>10485.300526218633</v>
      </c>
      <c r="BB13" s="44">
        <f>BA13*(1+Pop_Wilayat!BE$10)</f>
        <v>10736.947738847879</v>
      </c>
      <c r="BC13" s="44">
        <f>BB13*(1+Pop_Wilayat!BF$10)</f>
        <v>10994.634484580229</v>
      </c>
      <c r="BD13" s="44">
        <f>BC13*(1+Pop_Wilayat!BG$10)</f>
        <v>11258.505712210155</v>
      </c>
      <c r="BE13" s="44">
        <f>BD13*(1+Pop_Wilayat!BH$10)</f>
        <v>11528.709849303199</v>
      </c>
      <c r="BF13" s="44">
        <f>BE13*(1+Pop_Wilayat!BI$10)</f>
        <v>11805.398885686476</v>
      </c>
      <c r="BG13" s="44">
        <f>BF13*(1+Pop_Wilayat!BJ$10)</f>
        <v>12088.728458942953</v>
      </c>
      <c r="BH13" s="44">
        <f>BG13*(1+Pop_Wilayat!BK$10)</f>
        <v>12378.857941957584</v>
      </c>
      <c r="BI13" s="44">
        <f>BH13*(1+Pop_Wilayat!BL$10)</f>
        <v>12675.950532564566</v>
      </c>
      <c r="BJ13" s="44">
        <f>BI13*(1+Pop_Wilayat!BM$10)</f>
        <v>12980.173345346117</v>
      </c>
      <c r="BK13" s="44">
        <f>BJ13*(1+Pop_Wilayat!BN$10)</f>
        <v>13291.697505634424</v>
      </c>
      <c r="BL13" s="44">
        <f>BK13*(1+Pop_Wilayat!BO$10)</f>
        <v>13610.69824576965</v>
      </c>
      <c r="BM13" s="44">
        <f>BL13*(1+Pop_Wilayat!BP$10)</f>
        <v>13937.355003668123</v>
      </c>
      <c r="BN13" s="44">
        <f>BM13*(1+Pop_Wilayat!BQ$10)</f>
        <v>14271.851523756159</v>
      </c>
      <c r="BO13" s="44">
        <f>BN13*(1+Pop_Wilayat!BR$10)</f>
        <v>14614.375960326306</v>
      </c>
      <c r="BP13" s="44">
        <f>BO13*(1+Pop_Wilayat!BS$10)</f>
        <v>14965.120983374138</v>
      </c>
      <c r="BQ13" s="44">
        <f>BP13*(1+Pop_Wilayat!BT$10)</f>
        <v>15324.283886975118</v>
      </c>
      <c r="BR13" s="44">
        <f>BQ13*(1+Pop_Wilayat!BU$10)</f>
        <v>15692.066700262521</v>
      </c>
      <c r="BS13" s="44">
        <f>BR13*(1+Pop_Wilayat!BV$10)</f>
        <v>16068.676301068823</v>
      </c>
      <c r="BT13" s="44">
        <f>BS13*(1+Pop_Wilayat!BW$10)</f>
        <v>16454.324532294475</v>
      </c>
      <c r="BU13" s="44">
        <f>BT13*(1+Pop_Wilayat!BX$10)</f>
        <v>16849.228321069542</v>
      </c>
      <c r="BV13" s="44">
        <f>BU13*(1+Pop_Wilayat!BY$10)</f>
        <v>17253.609800775212</v>
      </c>
      <c r="BW13" s="44">
        <f>BV13*(1+Pop_Wilayat!BZ$10)</f>
        <v>17667.696435993817</v>
      </c>
      <c r="BX13" s="44">
        <f>BW13*(1+Pop_Wilayat!CA$10)</f>
        <v>18091.72115045767</v>
      </c>
      <c r="BY13" s="44">
        <f>BX13*(1+Pop_Wilayat!CB$10)</f>
        <v>18525.922458068653</v>
      </c>
      <c r="BZ13" s="44">
        <f>BY13*(1+Pop_Wilayat!CC$10)</f>
        <v>18970.5445970623</v>
      </c>
      <c r="CA13" s="44">
        <f>BZ13*(1+Pop_Wilayat!CD$10)</f>
        <v>19425.837667391796</v>
      </c>
      <c r="CB13" s="44">
        <f>CA13*(1+Pop_Wilayat!CE$10)</f>
        <v>19892.0577714092</v>
      </c>
    </row>
    <row r="14" spans="1:80" x14ac:dyDescent="0.25">
      <c r="A14" s="33">
        <v>13</v>
      </c>
      <c r="B14" s="36" t="s">
        <v>45</v>
      </c>
      <c r="C14" s="34">
        <f>VLOOKUP($B14,'Ibri Pop Settlements'!$H$2:$AJ$240,C$29,FALSE)</f>
        <v>45.657720276066271</v>
      </c>
      <c r="D14" s="34">
        <f>VLOOKUP($B14,'Ibri Pop Settlements'!$H$2:$AJ$240,D$29,FALSE)</f>
        <v>46.959069038340111</v>
      </c>
      <c r="E14" s="34">
        <f>VLOOKUP($B14,'Ibri Pop Settlements'!$H$2:$AJ$240,E$29,FALSE)</f>
        <v>48.084158846966098</v>
      </c>
      <c r="F14" s="34">
        <f>VLOOKUP($B14,'Ibri Pop Settlements'!$H$2:$AJ$240,F$29,FALSE)</f>
        <v>49.402647449435015</v>
      </c>
      <c r="G14" s="34">
        <f>VLOOKUP($B14,'Ibri Pop Settlements'!$H$2:$AJ$240,G$29,FALSE)</f>
        <v>50.74006662167163</v>
      </c>
      <c r="H14" s="34">
        <f>VLOOKUP($B14,'Ibri Pop Settlements'!$H$2:$AJ$240,H$29,FALSE)</f>
        <v>52.099742004310812</v>
      </c>
      <c r="I14" s="34">
        <f>VLOOKUP($B14,'Ibri Pop Settlements'!$H$2:$AJ$240,I$29,FALSE)</f>
        <v>53.482185234373297</v>
      </c>
      <c r="J14" s="34">
        <f>VLOOKUP($B14,'Ibri Pop Settlements'!$H$2:$AJ$240,J$29,FALSE)</f>
        <v>54.652299100825147</v>
      </c>
      <c r="K14" s="34">
        <f>VLOOKUP($B14,'Ibri Pop Settlements'!$H$2:$AJ$240,K$29,FALSE)</f>
        <v>56.0718360148919</v>
      </c>
      <c r="L14" s="34">
        <f>VLOOKUP($B14,'Ibri Pop Settlements'!$H$2:$AJ$240,L$29,FALSE)</f>
        <v>57.518233872547945</v>
      </c>
      <c r="M14" s="34">
        <f>VLOOKUP($B14,'Ibri Pop Settlements'!$H$2:$AJ$240,M$29,FALSE)</f>
        <v>58.259084278591793</v>
      </c>
      <c r="N14" s="34">
        <f>VLOOKUP($B14,'Ibri Pop Settlements'!$H$2:$AJ$240,N$29,FALSE)</f>
        <v>60.509008077333384</v>
      </c>
      <c r="O14" s="34">
        <f>VLOOKUP($B14,'Ibri Pop Settlements'!$H$2:$AJ$240,O$29,FALSE)</f>
        <v>61.770960789009592</v>
      </c>
      <c r="P14" s="34">
        <f>VLOOKUP($B14,'Ibri Pop Settlements'!$H$2:$AJ$240,P$29,FALSE)</f>
        <v>63.366756656724213</v>
      </c>
      <c r="Q14" s="34">
        <f>VLOOKUP($B14,'Ibri Pop Settlements'!$H$2:$AJ$240,Q$29,FALSE)</f>
        <v>65.025483877990894</v>
      </c>
      <c r="R14" s="34">
        <f>VLOOKUP($B14,'Ibri Pop Settlements'!$H$2:$AJ$240,R$29,FALSE)</f>
        <v>66.742537719622902</v>
      </c>
      <c r="S14" s="34">
        <f>VLOOKUP($B14,'Ibri Pop Settlements'!$H$2:$AJ$240,S$29,FALSE)</f>
        <v>68.533267292242712</v>
      </c>
      <c r="T14" s="34">
        <f>VLOOKUP($B14,'Ibri Pop Settlements'!$H$2:$AJ$240,T$29,FALSE)</f>
        <v>70.023921752193502</v>
      </c>
      <c r="U14" s="34">
        <f>VLOOKUP($B14,'Ibri Pop Settlements'!$H$2:$AJ$240,U$29,FALSE)</f>
        <v>71.359732406556404</v>
      </c>
      <c r="V14" s="34">
        <f>VLOOKUP($B14,'Ibri Pop Settlements'!$H$2:$AJ$240,V$29,FALSE)</f>
        <v>72.756528365285391</v>
      </c>
      <c r="W14" s="34">
        <f>VLOOKUP($B14,'Ibri Pop Settlements'!$H$2:$AJ$240,W$29,FALSE)</f>
        <v>74.19680791979475</v>
      </c>
      <c r="X14" s="34">
        <f>VLOOKUP($B14,'Ibri Pop Settlements'!$H$2:$AJ$240,X$29,FALSE)</f>
        <v>75.683563542228413</v>
      </c>
      <c r="Y14" s="34">
        <f>VLOOKUP($B14,'Ibri Pop Settlements'!$H$2:$AJ$240,Y$29,FALSE)</f>
        <v>77.219787704773353</v>
      </c>
      <c r="Z14" s="34">
        <f>VLOOKUP($B14,'Ibri Pop Settlements'!$H$2:$AJ$240,Z$29,FALSE)</f>
        <v>78.808472881940489</v>
      </c>
      <c r="AA14" s="34">
        <f>VLOOKUP($B14,'Ibri Pop Settlements'!$H$2:$AJ$240,AA$29,FALSE)</f>
        <v>80.452611544301334</v>
      </c>
      <c r="AB14" s="34">
        <f>VLOOKUP($B14,'Ibri Pop Settlements'!$H$2:$AJ$240,AB$29,FALSE)</f>
        <v>82.15519616892189</v>
      </c>
      <c r="AC14" s="34">
        <f>VLOOKUP($B14,'Ibri Pop Settlements'!$H$2:$AJ$240,AC$29,FALSE)</f>
        <v>83.919219224123538</v>
      </c>
      <c r="AD14" s="34">
        <f>VLOOKUP($B14,'Ibri Pop Settlements'!$H$2:$AJ$240,AD$29,FALSE)</f>
        <v>85.747673188473911</v>
      </c>
      <c r="AE14" s="44">
        <f>AD14*(1+Pop_Wilayat!AH$10)</f>
        <v>87.641690289444185</v>
      </c>
      <c r="AF14" s="44">
        <f>AE14*(1+Pop_Wilayat!AI$10)</f>
        <v>89.603835444115873</v>
      </c>
      <c r="AG14" s="44">
        <f>AF14*(1+Pop_Wilayat!AJ$10)</f>
        <v>91.636790769905062</v>
      </c>
      <c r="AH14" s="44">
        <f>AG14*(1+Pop_Wilayat!AK$10)</f>
        <v>93.743361356695019</v>
      </c>
      <c r="AI14" s="44">
        <f>AH14*(1+Pop_Wilayat!AL$10)</f>
        <v>95.926481349192073</v>
      </c>
      <c r="AJ14" s="44">
        <f>AI14*(1+Pop_Wilayat!AM$10)</f>
        <v>98.189220357212562</v>
      </c>
      <c r="AK14" s="44">
        <f>AJ14*(1+Pop_Wilayat!AN$10)</f>
        <v>100.53479021268257</v>
      </c>
      <c r="AL14" s="44">
        <f>AK14*(1+Pop_Wilayat!AO$10)</f>
        <v>102.94762517778695</v>
      </c>
      <c r="AM14" s="44">
        <f>AL14*(1+Pop_Wilayat!AP$10)</f>
        <v>105.41836818205384</v>
      </c>
      <c r="AN14" s="44">
        <f>AM14*(1+Pop_Wilayat!AQ$10)</f>
        <v>107.94840901842313</v>
      </c>
      <c r="AO14" s="44">
        <f>AN14*(1+Pop_Wilayat!AR$10)</f>
        <v>110.53917083486529</v>
      </c>
      <c r="AP14" s="44">
        <f>AO14*(1+Pop_Wilayat!AS$10)</f>
        <v>113.19211093490206</v>
      </c>
      <c r="AQ14" s="44">
        <f>AP14*(1+Pop_Wilayat!AT$10)</f>
        <v>115.90872159733971</v>
      </c>
      <c r="AR14" s="44">
        <f>AQ14*(1+Pop_Wilayat!AU$10)</f>
        <v>118.69053091567586</v>
      </c>
      <c r="AS14" s="44">
        <f>AR14*(1+Pop_Wilayat!AV$10)</f>
        <v>121.53910365765209</v>
      </c>
      <c r="AT14" s="44">
        <f>AS14*(1+Pop_Wilayat!AW$10)</f>
        <v>124.45604214543575</v>
      </c>
      <c r="AU14" s="44">
        <f>AT14*(1+Pop_Wilayat!AX$10)</f>
        <v>127.44298715692621</v>
      </c>
      <c r="AV14" s="44">
        <f>AU14*(1+Pop_Wilayat!AY$10)</f>
        <v>130.50161884869243</v>
      </c>
      <c r="AW14" s="44">
        <f>AV14*(1+Pop_Wilayat!AZ$10)</f>
        <v>133.63365770106105</v>
      </c>
      <c r="AX14" s="44">
        <f>AW14*(1+Pop_Wilayat!BA$10)</f>
        <v>136.84086548588652</v>
      </c>
      <c r="AY14" s="44">
        <f>AX14*(1+Pop_Wilayat!BB$10)</f>
        <v>140.12504625754781</v>
      </c>
      <c r="AZ14" s="44">
        <f>AY14*(1+Pop_Wilayat!BC$10)</f>
        <v>143.48804736772897</v>
      </c>
      <c r="BA14" s="44">
        <f>AZ14*(1+Pop_Wilayat!BD$10)</f>
        <v>146.93176050455446</v>
      </c>
      <c r="BB14" s="44">
        <f>BA14*(1+Pop_Wilayat!BE$10)</f>
        <v>150.45812275666378</v>
      </c>
      <c r="BC14" s="44">
        <f>BB14*(1+Pop_Wilayat!BF$10)</f>
        <v>154.06911770282372</v>
      </c>
      <c r="BD14" s="44">
        <f>BC14*(1+Pop_Wilayat!BG$10)</f>
        <v>157.76677652769149</v>
      </c>
      <c r="BE14" s="44">
        <f>BD14*(1+Pop_Wilayat!BH$10)</f>
        <v>161.5531791643561</v>
      </c>
      <c r="BF14" s="44">
        <f>BE14*(1+Pop_Wilayat!BI$10)</f>
        <v>165.43045546430065</v>
      </c>
      <c r="BG14" s="44">
        <f>BF14*(1+Pop_Wilayat!BJ$10)</f>
        <v>169.40078639544387</v>
      </c>
      <c r="BH14" s="44">
        <f>BG14*(1+Pop_Wilayat!BK$10)</f>
        <v>173.46640526893452</v>
      </c>
      <c r="BI14" s="44">
        <f>BH14*(1+Pop_Wilayat!BL$10)</f>
        <v>177.62959899538896</v>
      </c>
      <c r="BJ14" s="44">
        <f>BI14*(1+Pop_Wilayat!BM$10)</f>
        <v>181.8927093712783</v>
      </c>
      <c r="BK14" s="44">
        <f>BJ14*(1+Pop_Wilayat!BN$10)</f>
        <v>186.25813439618898</v>
      </c>
      <c r="BL14" s="44">
        <f>BK14*(1+Pop_Wilayat!BO$10)</f>
        <v>190.72832962169753</v>
      </c>
      <c r="BM14" s="44">
        <f>BL14*(1+Pop_Wilayat!BP$10)</f>
        <v>195.30580953261827</v>
      </c>
      <c r="BN14" s="44">
        <f>BM14*(1+Pop_Wilayat!BQ$10)</f>
        <v>199.99314896140112</v>
      </c>
      <c r="BO14" s="44">
        <f>BN14*(1+Pop_Wilayat!BR$10)</f>
        <v>204.79298453647476</v>
      </c>
      <c r="BP14" s="44">
        <f>BO14*(1+Pop_Wilayat!BS$10)</f>
        <v>209.70801616535016</v>
      </c>
      <c r="BQ14" s="44">
        <f>BP14*(1+Pop_Wilayat!BT$10)</f>
        <v>214.74100855331858</v>
      </c>
      <c r="BR14" s="44">
        <f>BQ14*(1+Pop_Wilayat!BU$10)</f>
        <v>219.89479275859824</v>
      </c>
      <c r="BS14" s="44">
        <f>BR14*(1+Pop_Wilayat!BV$10)</f>
        <v>225.1722677848046</v>
      </c>
      <c r="BT14" s="44">
        <f>BS14*(1+Pop_Wilayat!BW$10)</f>
        <v>230.57640221163993</v>
      </c>
      <c r="BU14" s="44">
        <f>BT14*(1+Pop_Wilayat!BX$10)</f>
        <v>236.1102358647193</v>
      </c>
      <c r="BV14" s="44">
        <f>BU14*(1+Pop_Wilayat!BY$10)</f>
        <v>241.77688152547256</v>
      </c>
      <c r="BW14" s="44">
        <f>BV14*(1+Pop_Wilayat!BZ$10)</f>
        <v>247.57952668208389</v>
      </c>
      <c r="BX14" s="44">
        <f>BW14*(1+Pop_Wilayat!CA$10)</f>
        <v>253.52143532245393</v>
      </c>
      <c r="BY14" s="44">
        <f>BX14*(1+Pop_Wilayat!CB$10)</f>
        <v>259.60594977019281</v>
      </c>
      <c r="BZ14" s="44">
        <f>BY14*(1+Pop_Wilayat!CC$10)</f>
        <v>265.83649256467743</v>
      </c>
      <c r="CA14" s="44">
        <f>BZ14*(1+Pop_Wilayat!CD$10)</f>
        <v>272.21656838622971</v>
      </c>
      <c r="CB14" s="44">
        <f>CA14*(1+Pop_Wilayat!CE$10)</f>
        <v>278.74976602749922</v>
      </c>
    </row>
    <row r="15" spans="1:80" x14ac:dyDescent="0.25">
      <c r="A15" s="33">
        <v>14</v>
      </c>
      <c r="B15" s="36" t="s">
        <v>46</v>
      </c>
      <c r="C15" s="34">
        <f>VLOOKUP($B15,'Ibri Pop Settlements'!$H$2:$AJ$240,C$29,FALSE)</f>
        <v>3255.2983115978318</v>
      </c>
      <c r="D15" s="34">
        <f>VLOOKUP($B15,'Ibri Pop Settlements'!$H$2:$AJ$240,D$29,FALSE)</f>
        <v>3348.0817095208031</v>
      </c>
      <c r="E15" s="34">
        <f>VLOOKUP($B15,'Ibri Pop Settlements'!$H$2:$AJ$240,E$29,FALSE)</f>
        <v>3428.2982190677321</v>
      </c>
      <c r="F15" s="34">
        <f>VLOOKUP($B15,'Ibri Pop Settlements'!$H$2:$AJ$240,F$29,FALSE)</f>
        <v>3522.3036511288674</v>
      </c>
      <c r="G15" s="34">
        <f>VLOOKUP($B15,'Ibri Pop Settlements'!$H$2:$AJ$240,G$29,FALSE)</f>
        <v>3617.6587925366312</v>
      </c>
      <c r="H15" s="34">
        <f>VLOOKUP($B15,'Ibri Pop Settlements'!$H$2:$AJ$240,H$29,FALSE)</f>
        <v>3714.6007543924584</v>
      </c>
      <c r="I15" s="34">
        <f>VLOOKUP($B15,'Ibri Pop Settlements'!$H$2:$AJ$240,I$29,FALSE)</f>
        <v>3813.1660153273388</v>
      </c>
      <c r="J15" s="34">
        <f>VLOOKUP($B15,'Ibri Pop Settlements'!$H$2:$AJ$240,J$29,FALSE)</f>
        <v>3896.5926444013849</v>
      </c>
      <c r="K15" s="34">
        <f>VLOOKUP($B15,'Ibri Pop Settlements'!$H$2:$AJ$240,K$29,FALSE)</f>
        <v>3997.8026060830375</v>
      </c>
      <c r="L15" s="34">
        <f>VLOOKUP($B15,'Ibri Pop Settlements'!$H$2:$AJ$240,L$29,FALSE)</f>
        <v>4100.9276958916635</v>
      </c>
      <c r="M15" s="34">
        <f>VLOOKUP($B15,'Ibri Pop Settlements'!$H$2:$AJ$240,M$29,FALSE)</f>
        <v>4153.7487535651308</v>
      </c>
      <c r="N15" s="34">
        <f>VLOOKUP($B15,'Ibri Pop Settlements'!$H$2:$AJ$240,N$29,FALSE)</f>
        <v>4314.1635333434933</v>
      </c>
      <c r="O15" s="34">
        <f>VLOOKUP($B15,'Ibri Pop Settlements'!$H$2:$AJ$240,O$29,FALSE)</f>
        <v>4404.1380766802376</v>
      </c>
      <c r="P15" s="34">
        <f>VLOOKUP($B15,'Ibri Pop Settlements'!$H$2:$AJ$240,P$29,FALSE)</f>
        <v>4517.9149267379335</v>
      </c>
      <c r="Q15" s="34">
        <f>VLOOKUP($B15,'Ibri Pop Settlements'!$H$2:$AJ$240,Q$29,FALSE)</f>
        <v>4636.1786484073937</v>
      </c>
      <c r="R15" s="34">
        <f>VLOOKUP($B15,'Ibri Pop Settlements'!$H$2:$AJ$240,R$29,FALSE)</f>
        <v>4758.6009340097107</v>
      </c>
      <c r="S15" s="34">
        <f>VLOOKUP($B15,'Ibri Pop Settlements'!$H$2:$AJ$240,S$29,FALSE)</f>
        <v>4886.2761424745813</v>
      </c>
      <c r="T15" s="34">
        <f>VLOOKUP($B15,'Ibri Pop Settlements'!$H$2:$AJ$240,T$29,FALSE)</f>
        <v>4992.5566338638391</v>
      </c>
      <c r="U15" s="34">
        <f>VLOOKUP($B15,'Ibri Pop Settlements'!$H$2:$AJ$240,U$29,FALSE)</f>
        <v>5087.7970913695863</v>
      </c>
      <c r="V15" s="34">
        <f>VLOOKUP($B15,'Ibri Pop Settlements'!$H$2:$AJ$240,V$29,FALSE)</f>
        <v>5187.3856713206669</v>
      </c>
      <c r="W15" s="34">
        <f>VLOOKUP($B15,'Ibri Pop Settlements'!$H$2:$AJ$240,W$29,FALSE)</f>
        <v>5290.0745391326009</v>
      </c>
      <c r="X15" s="34">
        <f>VLOOKUP($B15,'Ibri Pop Settlements'!$H$2:$AJ$240,X$29,FALSE)</f>
        <v>5396.0770517022856</v>
      </c>
      <c r="Y15" s="34">
        <f>VLOOKUP($B15,'Ibri Pop Settlements'!$H$2:$AJ$240,Y$29,FALSE)</f>
        <v>5505.6065659296919</v>
      </c>
      <c r="Z15" s="34">
        <f>VLOOKUP($B15,'Ibri Pop Settlements'!$H$2:$AJ$240,Z$29,FALSE)</f>
        <v>5618.8764388804811</v>
      </c>
      <c r="AA15" s="34">
        <f>VLOOKUP($B15,'Ibri Pop Settlements'!$H$2:$AJ$240,AA$29,FALSE)</f>
        <v>5736.1000273394429</v>
      </c>
      <c r="AB15" s="34">
        <f>VLOOKUP($B15,'Ibri Pop Settlements'!$H$2:$AJ$240,AB$29,FALSE)</f>
        <v>5857.4906885544096</v>
      </c>
      <c r="AC15" s="34">
        <f>VLOOKUP($B15,'Ibri Pop Settlements'!$H$2:$AJ$240,AC$29,FALSE)</f>
        <v>5983.2617791497451</v>
      </c>
      <c r="AD15" s="34">
        <f>VLOOKUP($B15,'Ibri Pop Settlements'!$H$2:$AJ$240,AD$29,FALSE)</f>
        <v>6113.6266564803427</v>
      </c>
      <c r="AE15" s="44">
        <f>AD15*(1+Pop_Wilayat!AH$10)</f>
        <v>6248.6660459559043</v>
      </c>
      <c r="AF15" s="44">
        <f>AE15*(1+Pop_Wilayat!AI$10)</f>
        <v>6388.5628207070704</v>
      </c>
      <c r="AG15" s="44">
        <f>AF15*(1+Pop_Wilayat!AJ$10)</f>
        <v>6533.5082099989759</v>
      </c>
      <c r="AH15" s="44">
        <f>AG15*(1+Pop_Wilayat!AK$10)</f>
        <v>6683.7022107720213</v>
      </c>
      <c r="AI15" s="44">
        <f>AH15*(1+Pop_Wilayat!AL$10)</f>
        <v>6839.3540213009064</v>
      </c>
      <c r="AJ15" s="44">
        <f>AI15*(1+Pop_Wilayat!AM$10)</f>
        <v>7000.6824982344524</v>
      </c>
      <c r="AK15" s="44">
        <f>AJ15*(1+Pop_Wilayat!AN$10)</f>
        <v>7167.9166383553029</v>
      </c>
      <c r="AL15" s="44">
        <f>AK15*(1+Pop_Wilayat!AO$10)</f>
        <v>7339.9466376758301</v>
      </c>
      <c r="AM15" s="44">
        <f>AL15*(1+Pop_Wilayat!AP$10)</f>
        <v>7516.1053569800497</v>
      </c>
      <c r="AN15" s="44">
        <f>AM15*(1+Pop_Wilayat!AQ$10)</f>
        <v>7696.4918855475707</v>
      </c>
      <c r="AO15" s="44">
        <f>AN15*(1+Pop_Wilayat!AR$10)</f>
        <v>7881.207690800713</v>
      </c>
      <c r="AP15" s="44">
        <f>AO15*(1+Pop_Wilayat!AS$10)</f>
        <v>8070.3566753799305</v>
      </c>
      <c r="AQ15" s="44">
        <f>AP15*(1+Pop_Wilayat!AT$10)</f>
        <v>8264.0452355890484</v>
      </c>
      <c r="AR15" s="44">
        <f>AQ15*(1+Pop_Wilayat!AU$10)</f>
        <v>8462.3823212431853</v>
      </c>
      <c r="AS15" s="44">
        <f>AR15*(1+Pop_Wilayat!AV$10)</f>
        <v>8665.4794969530212</v>
      </c>
      <c r="AT15" s="44">
        <f>AS15*(1+Pop_Wilayat!AW$10)</f>
        <v>8873.4510048798948</v>
      </c>
      <c r="AU15" s="44">
        <f>AT15*(1+Pop_Wilayat!AX$10)</f>
        <v>9086.4138289970124</v>
      </c>
      <c r="AV15" s="44">
        <f>AU15*(1+Pop_Wilayat!AY$10)</f>
        <v>9304.4877608929401</v>
      </c>
      <c r="AW15" s="44">
        <f>AV15*(1+Pop_Wilayat!AZ$10)</f>
        <v>9527.7954671543703</v>
      </c>
      <c r="AX15" s="44">
        <f>AW15*(1+Pop_Wilayat!BA$10)</f>
        <v>9756.4625583660745</v>
      </c>
      <c r="AY15" s="44">
        <f>AX15*(1+Pop_Wilayat!BB$10)</f>
        <v>9990.61765976686</v>
      </c>
      <c r="AZ15" s="44">
        <f>AY15*(1+Pop_Wilayat!BC$10)</f>
        <v>10230.392483601265</v>
      </c>
      <c r="BA15" s="44">
        <f>AZ15*(1+Pop_Wilayat!BD$10)</f>
        <v>10475.921903207696</v>
      </c>
      <c r="BB15" s="44">
        <f>BA15*(1+Pop_Wilayat!BE$10)</f>
        <v>10727.344028884681</v>
      </c>
      <c r="BC15" s="44">
        <f>BB15*(1+Pop_Wilayat!BF$10)</f>
        <v>10984.800285577914</v>
      </c>
      <c r="BD15" s="44">
        <f>BC15*(1+Pop_Wilayat!BG$10)</f>
        <v>11248.435492431785</v>
      </c>
      <c r="BE15" s="44">
        <f>BD15*(1+Pop_Wilayat!BH$10)</f>
        <v>11518.397944250148</v>
      </c>
      <c r="BF15" s="44">
        <f>BE15*(1+Pop_Wilayat!BI$10)</f>
        <v>11794.839494912152</v>
      </c>
      <c r="BG15" s="44">
        <f>BF15*(1+Pop_Wilayat!BJ$10)</f>
        <v>12077.915642790043</v>
      </c>
      <c r="BH15" s="44">
        <f>BG15*(1+Pop_Wilayat!BK$10)</f>
        <v>12367.785618217005</v>
      </c>
      <c r="BI15" s="44">
        <f>BH15*(1+Pop_Wilayat!BL$10)</f>
        <v>12664.612473054214</v>
      </c>
      <c r="BJ15" s="44">
        <f>BI15*(1+Pop_Wilayat!BM$10)</f>
        <v>12968.563172407516</v>
      </c>
      <c r="BK15" s="44">
        <f>BJ15*(1+Pop_Wilayat!BN$10)</f>
        <v>13279.808688545296</v>
      </c>
      <c r="BL15" s="44">
        <f>BK15*(1+Pop_Wilayat!BO$10)</f>
        <v>13598.524097070384</v>
      </c>
      <c r="BM15" s="44">
        <f>BL15*(1+Pop_Wilayat!BP$10)</f>
        <v>13924.888675400072</v>
      </c>
      <c r="BN15" s="44">
        <f>BM15*(1+Pop_Wilayat!BQ$10)</f>
        <v>14259.086003609675</v>
      </c>
      <c r="BO15" s="44">
        <f>BN15*(1+Pop_Wilayat!BR$10)</f>
        <v>14601.304067696306</v>
      </c>
      <c r="BP15" s="44">
        <f>BO15*(1+Pop_Wilayat!BS$10)</f>
        <v>14951.735365321018</v>
      </c>
      <c r="BQ15" s="44">
        <f>BP15*(1+Pop_Wilayat!BT$10)</f>
        <v>15310.577014088722</v>
      </c>
      <c r="BR15" s="44">
        <f>BQ15*(1+Pop_Wilayat!BU$10)</f>
        <v>15678.030862426851</v>
      </c>
      <c r="BS15" s="44">
        <f>BR15*(1+Pop_Wilayat!BV$10)</f>
        <v>16054.303603125096</v>
      </c>
      <c r="BT15" s="44">
        <f>BS15*(1+Pop_Wilayat!BW$10)</f>
        <v>16439.606889600098</v>
      </c>
      <c r="BU15" s="44">
        <f>BT15*(1+Pop_Wilayat!BX$10)</f>
        <v>16834.157454950502</v>
      </c>
      <c r="BV15" s="44">
        <f>BU15*(1+Pop_Wilayat!BY$10)</f>
        <v>17238.177233869315</v>
      </c>
      <c r="BW15" s="44">
        <f>BV15*(1+Pop_Wilayat!BZ$10)</f>
        <v>17651.893487482179</v>
      </c>
      <c r="BX15" s="44">
        <f>BW15*(1+Pop_Wilayat!CA$10)</f>
        <v>18075.538931181753</v>
      </c>
      <c r="BY15" s="44">
        <f>BX15*(1+Pop_Wilayat!CB$10)</f>
        <v>18509.351865530116</v>
      </c>
      <c r="BZ15" s="44">
        <f>BY15*(1+Pop_Wilayat!CC$10)</f>
        <v>18953.57631030284</v>
      </c>
      <c r="CA15" s="44">
        <f>BZ15*(1+Pop_Wilayat!CD$10)</f>
        <v>19408.462141750108</v>
      </c>
      <c r="CB15" s="44">
        <f>CA15*(1+Pop_Wilayat!CE$10)</f>
        <v>19874.265233152109</v>
      </c>
    </row>
    <row r="16" spans="1:80" x14ac:dyDescent="0.25">
      <c r="A16" s="33">
        <v>15</v>
      </c>
      <c r="B16" s="36" t="s">
        <v>54</v>
      </c>
      <c r="C16" s="34">
        <f>VLOOKUP($B16,'Ibri Pop Settlements'!$H$2:$AJ$240,C$29,FALSE)</f>
        <v>2485.9171529032678</v>
      </c>
      <c r="D16" s="34">
        <f>VLOOKUP($B16,'Ibri Pop Settlements'!$H$2:$AJ$240,D$29,FALSE)</f>
        <v>2556.771439768348</v>
      </c>
      <c r="E16" s="34">
        <f>VLOOKUP($B16,'Ibri Pop Settlements'!$H$2:$AJ$240,E$29,FALSE)</f>
        <v>2618.0289891358775</v>
      </c>
      <c r="F16" s="34">
        <f>VLOOKUP($B16,'Ibri Pop Settlements'!$H$2:$AJ$240,F$29,FALSE)</f>
        <v>2689.8164855979621</v>
      </c>
      <c r="G16" s="34">
        <f>VLOOKUP($B16,'Ibri Pop Settlements'!$H$2:$AJ$240,G$29,FALSE)</f>
        <v>2762.6346911671853</v>
      </c>
      <c r="H16" s="34">
        <f>VLOOKUP($B16,'Ibri Pop Settlements'!$H$2:$AJ$240,H$29,FALSE)</f>
        <v>2836.6646763623694</v>
      </c>
      <c r="I16" s="34">
        <f>VLOOKUP($B16,'Ibri Pop Settlements'!$H$2:$AJ$240,I$29,FALSE)</f>
        <v>2911.9342981864102</v>
      </c>
      <c r="J16" s="34">
        <f>VLOOKUP($B16,'Ibri Pop Settlements'!$H$2:$AJ$240,J$29,FALSE)</f>
        <v>2975.6432638087567</v>
      </c>
      <c r="K16" s="34">
        <f>VLOOKUP($B16,'Ibri Pop Settlements'!$H$2:$AJ$240,K$29,FALSE)</f>
        <v>3052.9325183427313</v>
      </c>
      <c r="L16" s="34">
        <f>VLOOKUP($B16,'Ibri Pop Settlements'!$H$2:$AJ$240,L$29,FALSE)</f>
        <v>3131.6842655287278</v>
      </c>
      <c r="M16" s="34">
        <f>VLOOKUP($B16,'Ibri Pop Settlements'!$H$2:$AJ$240,M$29,FALSE)</f>
        <v>3172.0212057216258</v>
      </c>
      <c r="N16" s="34">
        <f>VLOOKUP($B16,'Ibri Pop Settlements'!$H$2:$AJ$240,N$29,FALSE)</f>
        <v>3294.5223759552373</v>
      </c>
      <c r="O16" s="34">
        <f>VLOOKUP($B16,'Ibri Pop Settlements'!$H$2:$AJ$240,O$29,FALSE)</f>
        <v>3363.2316735973523</v>
      </c>
      <c r="P16" s="34">
        <f>VLOOKUP($B16,'Ibri Pop Settlements'!$H$2:$AJ$240,P$29,FALSE)</f>
        <v>3450.1176656288781</v>
      </c>
      <c r="Q16" s="34">
        <f>VLOOKUP($B16,'Ibri Pop Settlements'!$H$2:$AJ$240,Q$29,FALSE)</f>
        <v>3540.4300690165683</v>
      </c>
      <c r="R16" s="34">
        <f>VLOOKUP($B16,'Ibri Pop Settlements'!$H$2:$AJ$240,R$29,FALSE)</f>
        <v>3633.9181707343623</v>
      </c>
      <c r="S16" s="34">
        <f>VLOOKUP($B16,'Ibri Pop Settlements'!$H$2:$AJ$240,S$29,FALSE)</f>
        <v>3731.4176808691295</v>
      </c>
      <c r="T16" s="34">
        <f>VLOOKUP($B16,'Ibri Pop Settlements'!$H$2:$AJ$240,T$29,FALSE)</f>
        <v>3812.5790588055997</v>
      </c>
      <c r="U16" s="34">
        <f>VLOOKUP($B16,'Ibri Pop Settlements'!$H$2:$AJ$240,U$29,FALSE)</f>
        <v>3885.3096857101668</v>
      </c>
      <c r="V16" s="34">
        <f>VLOOKUP($B16,'Ibri Pop Settlements'!$H$2:$AJ$240,V$29,FALSE)</f>
        <v>3961.3607678035173</v>
      </c>
      <c r="W16" s="34">
        <f>VLOOKUP($B16,'Ibri Pop Settlements'!$H$2:$AJ$240,W$29,FALSE)</f>
        <v>4039.7793929096761</v>
      </c>
      <c r="X16" s="34">
        <f>VLOOKUP($B16,'Ibri Pop Settlements'!$H$2:$AJ$240,X$29,FALSE)</f>
        <v>4120.7284915864366</v>
      </c>
      <c r="Y16" s="34">
        <f>VLOOKUP($B16,'Ibri Pop Settlements'!$H$2:$AJ$240,Y$29,FALSE)</f>
        <v>4204.3709943939366</v>
      </c>
      <c r="Z16" s="34">
        <f>VLOOKUP($B16,'Ibri Pop Settlements'!$H$2:$AJ$240,Z$29,FALSE)</f>
        <v>4290.869832018845</v>
      </c>
      <c r="AA16" s="34">
        <f>VLOOKUP($B16,'Ibri Pop Settlements'!$H$2:$AJ$240,AA$29,FALSE)</f>
        <v>4380.3879349333438</v>
      </c>
      <c r="AB16" s="34">
        <f>VLOOKUP($B16,'Ibri Pop Settlements'!$H$2:$AJ$240,AB$29,FALSE)</f>
        <v>4473.0882339632153</v>
      </c>
      <c r="AC16" s="34">
        <f>VLOOKUP($B16,'Ibri Pop Settlements'!$H$2:$AJ$240,AC$29,FALSE)</f>
        <v>4569.1336594581308</v>
      </c>
      <c r="AD16" s="34">
        <f>VLOOKUP($B16,'Ibri Pop Settlements'!$H$2:$AJ$240,AD$29,FALSE)</f>
        <v>4668.6871423256325</v>
      </c>
      <c r="AE16" s="44">
        <f>AD16*(1+Pop_Wilayat!AH$10)</f>
        <v>4771.8103287380354</v>
      </c>
      <c r="AF16" s="44">
        <f>AE16*(1+Pop_Wilayat!AI$10)</f>
        <v>4878.642870244521</v>
      </c>
      <c r="AG16" s="44">
        <f>AF16*(1+Pop_Wilayat!AJ$10)</f>
        <v>4989.3307995784471</v>
      </c>
      <c r="AH16" s="44">
        <f>AG16*(1+Pop_Wilayat!AK$10)</f>
        <v>5104.0268449315427</v>
      </c>
      <c r="AI16" s="44">
        <f>AH16*(1+Pop_Wilayat!AL$10)</f>
        <v>5222.890761118776</v>
      </c>
      <c r="AJ16" s="44">
        <f>AI16*(1+Pop_Wilayat!AM$10)</f>
        <v>5346.0896785980194</v>
      </c>
      <c r="AK16" s="44">
        <f>AJ16*(1+Pop_Wilayat!AN$10)</f>
        <v>5473.7984713671203</v>
      </c>
      <c r="AL16" s="44">
        <f>AK16*(1+Pop_Wilayat!AO$10)</f>
        <v>5605.1696346799317</v>
      </c>
      <c r="AM16" s="44">
        <f>AL16*(1+Pop_Wilayat!AP$10)</f>
        <v>5739.6937059122502</v>
      </c>
      <c r="AN16" s="44">
        <f>AM16*(1+Pop_Wilayat!AQ$10)</f>
        <v>5877.4463548541444</v>
      </c>
      <c r="AO16" s="44">
        <f>AN16*(1+Pop_Wilayat!AR$10)</f>
        <v>6018.5050673706437</v>
      </c>
      <c r="AP16" s="44">
        <f>AO16*(1+Pop_Wilayat!AS$10)</f>
        <v>6162.9491889875389</v>
      </c>
      <c r="AQ16" s="44">
        <f>AP16*(1+Pop_Wilayat!AT$10)</f>
        <v>6310.8599695232397</v>
      </c>
      <c r="AR16" s="44">
        <f>AQ16*(1+Pop_Wilayat!AU$10)</f>
        <v>6462.3206087917979</v>
      </c>
      <c r="AS16" s="44">
        <f>AR16*(1+Pop_Wilayat!AV$10)</f>
        <v>6617.4163034028015</v>
      </c>
      <c r="AT16" s="44">
        <f>AS16*(1+Pop_Wilayat!AW$10)</f>
        <v>6776.2342946844692</v>
      </c>
      <c r="AU16" s="44">
        <f>AT16*(1+Pop_Wilayat!AX$10)</f>
        <v>6938.8639177568966</v>
      </c>
      <c r="AV16" s="44">
        <f>AU16*(1+Pop_Wilayat!AY$10)</f>
        <v>7105.3966517830622</v>
      </c>
      <c r="AW16" s="44">
        <f>AV16*(1+Pop_Wilayat!AZ$10)</f>
        <v>7275.9261714258555</v>
      </c>
      <c r="AX16" s="44">
        <f>AW16*(1+Pop_Wilayat!BA$10)</f>
        <v>7450.5483995400764</v>
      </c>
      <c r="AY16" s="44">
        <f>AX16*(1+Pop_Wilayat!BB$10)</f>
        <v>7629.3615611290388</v>
      </c>
      <c r="AZ16" s="44">
        <f>AY16*(1+Pop_Wilayat!BC$10)</f>
        <v>7812.4662385961356</v>
      </c>
      <c r="BA16" s="44">
        <f>AZ16*(1+Pop_Wilayat!BD$10)</f>
        <v>7999.9654283224427</v>
      </c>
      <c r="BB16" s="44">
        <f>BA16*(1+Pop_Wilayat!BE$10)</f>
        <v>8191.9645986021815</v>
      </c>
      <c r="BC16" s="44">
        <f>BB16*(1+Pop_Wilayat!BF$10)</f>
        <v>8388.571748968634</v>
      </c>
      <c r="BD16" s="44">
        <f>BC16*(1+Pop_Wilayat!BG$10)</f>
        <v>8589.8974709438808</v>
      </c>
      <c r="BE16" s="44">
        <f>BD16*(1+Pop_Wilayat!BH$10)</f>
        <v>8796.0550102465349</v>
      </c>
      <c r="BF16" s="44">
        <f>BE16*(1+Pop_Wilayat!BI$10)</f>
        <v>9007.160330492452</v>
      </c>
      <c r="BG16" s="44">
        <f>BF16*(1+Pop_Wilayat!BJ$10)</f>
        <v>9223.3321784242708</v>
      </c>
      <c r="BH16" s="44">
        <f>BG16*(1+Pop_Wilayat!BK$10)</f>
        <v>9444.6921507064526</v>
      </c>
      <c r="BI16" s="44">
        <f>BH16*(1+Pop_Wilayat!BL$10)</f>
        <v>9671.3647623234083</v>
      </c>
      <c r="BJ16" s="44">
        <f>BI16*(1+Pop_Wilayat!BM$10)</f>
        <v>9903.4775166191703</v>
      </c>
      <c r="BK16" s="44">
        <f>BJ16*(1+Pop_Wilayat!BN$10)</f>
        <v>10141.160977018031</v>
      </c>
      <c r="BL16" s="44">
        <f>BK16*(1+Pop_Wilayat!BO$10)</f>
        <v>10384.548840466465</v>
      </c>
      <c r="BM16" s="44">
        <f>BL16*(1+Pop_Wilayat!BP$10)</f>
        <v>10633.77801263766</v>
      </c>
      <c r="BN16" s="44">
        <f>BM16*(1+Pop_Wilayat!BQ$10)</f>
        <v>10888.988684940965</v>
      </c>
      <c r="BO16" s="44">
        <f>BN16*(1+Pop_Wilayat!BR$10)</f>
        <v>11150.324413379549</v>
      </c>
      <c r="BP16" s="44">
        <f>BO16*(1+Pop_Wilayat!BS$10)</f>
        <v>11417.932199300658</v>
      </c>
      <c r="BQ16" s="44">
        <f>BP16*(1+Pop_Wilayat!BT$10)</f>
        <v>11691.962572083874</v>
      </c>
      <c r="BR16" s="44">
        <f>BQ16*(1+Pop_Wilayat!BU$10)</f>
        <v>11972.569673813887</v>
      </c>
      <c r="BS16" s="44">
        <f>BR16*(1+Pop_Wilayat!BV$10)</f>
        <v>12259.91134598542</v>
      </c>
      <c r="BT16" s="44">
        <f>BS16*(1+Pop_Wilayat!BW$10)</f>
        <v>12554.149218289071</v>
      </c>
      <c r="BU16" s="44">
        <f>BT16*(1+Pop_Wilayat!BX$10)</f>
        <v>12855.448799528009</v>
      </c>
      <c r="BV16" s="44">
        <f>BU16*(1+Pop_Wilayat!BY$10)</f>
        <v>13163.979570716681</v>
      </c>
      <c r="BW16" s="44">
        <f>BV16*(1+Pop_Wilayat!BZ$10)</f>
        <v>13479.915080413883</v>
      </c>
      <c r="BX16" s="44">
        <f>BW16*(1+Pop_Wilayat!CA$10)</f>
        <v>13803.433042343817</v>
      </c>
      <c r="BY16" s="44">
        <f>BX16*(1+Pop_Wilayat!CB$10)</f>
        <v>14134.715435360069</v>
      </c>
      <c r="BZ16" s="44">
        <f>BY16*(1+Pop_Wilayat!CC$10)</f>
        <v>14473.948605808711</v>
      </c>
      <c r="CA16" s="44">
        <f>BZ16*(1+Pop_Wilayat!CD$10)</f>
        <v>14821.323372348121</v>
      </c>
      <c r="CB16" s="44">
        <f>CA16*(1+Pop_Wilayat!CE$10)</f>
        <v>15177.035133284477</v>
      </c>
    </row>
    <row r="17" spans="1:80" x14ac:dyDescent="0.25">
      <c r="A17" s="33">
        <v>16</v>
      </c>
      <c r="B17" s="36" t="s">
        <v>49</v>
      </c>
      <c r="C17" s="34">
        <f>VLOOKUP($B17,'Ibri Pop Settlements'!$H$2:$AJ$240,C$29,FALSE)</f>
        <v>1004.469846073458</v>
      </c>
      <c r="D17" s="34">
        <f>VLOOKUP($B17,'Ibri Pop Settlements'!$H$2:$AJ$240,D$29,FALSE)</f>
        <v>1033.0995188434827</v>
      </c>
      <c r="E17" s="34">
        <f>VLOOKUP($B17,'Ibri Pop Settlements'!$H$2:$AJ$240,E$29,FALSE)</f>
        <v>1057.8514946332543</v>
      </c>
      <c r="F17" s="34">
        <f>VLOOKUP($B17,'Ibri Pop Settlements'!$H$2:$AJ$240,F$29,FALSE)</f>
        <v>1086.8582438875706</v>
      </c>
      <c r="G17" s="34">
        <f>VLOOKUP($B17,'Ibri Pop Settlements'!$H$2:$AJ$240,G$29,FALSE)</f>
        <v>1116.2814656767762</v>
      </c>
      <c r="H17" s="34">
        <f>VLOOKUP($B17,'Ibri Pop Settlements'!$H$2:$AJ$240,H$29,FALSE)</f>
        <v>1146.1943240948378</v>
      </c>
      <c r="I17" s="34">
        <f>VLOOKUP($B17,'Ibri Pop Settlements'!$H$2:$AJ$240,I$29,FALSE)</f>
        <v>1176.6080751562126</v>
      </c>
      <c r="J17" s="34">
        <f>VLOOKUP($B17,'Ibri Pop Settlements'!$H$2:$AJ$240,J$29,FALSE)</f>
        <v>1202.3505802181533</v>
      </c>
      <c r="K17" s="34">
        <f>VLOOKUP($B17,'Ibri Pop Settlements'!$H$2:$AJ$240,K$29,FALSE)</f>
        <v>1233.5803923276219</v>
      </c>
      <c r="L17" s="34">
        <f>VLOOKUP($B17,'Ibri Pop Settlements'!$H$2:$AJ$240,L$29,FALSE)</f>
        <v>1265.401145196055</v>
      </c>
      <c r="M17" s="34">
        <f>VLOOKUP($B17,'Ibri Pop Settlements'!$H$2:$AJ$240,M$29,FALSE)</f>
        <v>1281.6998541290197</v>
      </c>
      <c r="N17" s="34">
        <f>VLOOKUP($B17,'Ibri Pop Settlements'!$H$2:$AJ$240,N$29,FALSE)</f>
        <v>1331.1981777013348</v>
      </c>
      <c r="O17" s="34">
        <f>VLOOKUP($B17,'Ibri Pop Settlements'!$H$2:$AJ$240,O$29,FALSE)</f>
        <v>1358.9611373582113</v>
      </c>
      <c r="P17" s="34">
        <f>VLOOKUP($B17,'Ibri Pop Settlements'!$H$2:$AJ$240,P$29,FALSE)</f>
        <v>1394.0686464479329</v>
      </c>
      <c r="Q17" s="34">
        <f>VLOOKUP($B17,'Ibri Pop Settlements'!$H$2:$AJ$240,Q$29,FALSE)</f>
        <v>1430.5606453157998</v>
      </c>
      <c r="R17" s="34">
        <f>VLOOKUP($B17,'Ibri Pop Settlements'!$H$2:$AJ$240,R$29,FALSE)</f>
        <v>1468.3358298317041</v>
      </c>
      <c r="S17" s="34">
        <f>VLOOKUP($B17,'Ibri Pop Settlements'!$H$2:$AJ$240,S$29,FALSE)</f>
        <v>1507.7318804293398</v>
      </c>
      <c r="T17" s="34">
        <f>VLOOKUP($B17,'Ibri Pop Settlements'!$H$2:$AJ$240,T$29,FALSE)</f>
        <v>1540.5262785482573</v>
      </c>
      <c r="U17" s="34">
        <f>VLOOKUP($B17,'Ibri Pop Settlements'!$H$2:$AJ$240,U$29,FALSE)</f>
        <v>1569.9141129442412</v>
      </c>
      <c r="V17" s="34">
        <f>VLOOKUP($B17,'Ibri Pop Settlements'!$H$2:$AJ$240,V$29,FALSE)</f>
        <v>1600.6436240362787</v>
      </c>
      <c r="W17" s="34">
        <f>VLOOKUP($B17,'Ibri Pop Settlements'!$H$2:$AJ$240,W$29,FALSE)</f>
        <v>1632.3297742354848</v>
      </c>
      <c r="X17" s="34">
        <f>VLOOKUP($B17,'Ibri Pop Settlements'!$H$2:$AJ$240,X$29,FALSE)</f>
        <v>1665.0383979290252</v>
      </c>
      <c r="Y17" s="34">
        <f>VLOOKUP($B17,'Ibri Pop Settlements'!$H$2:$AJ$240,Y$29,FALSE)</f>
        <v>1698.8353295050138</v>
      </c>
      <c r="Z17" s="34">
        <f>VLOOKUP($B17,'Ibri Pop Settlements'!$H$2:$AJ$240,Z$29,FALSE)</f>
        <v>1733.7864034026909</v>
      </c>
      <c r="AA17" s="34">
        <f>VLOOKUP($B17,'Ibri Pop Settlements'!$H$2:$AJ$240,AA$29,FALSE)</f>
        <v>1769.9574539746297</v>
      </c>
      <c r="AB17" s="34">
        <f>VLOOKUP($B17,'Ibri Pop Settlements'!$H$2:$AJ$240,AB$29,FALSE)</f>
        <v>1807.4143157162816</v>
      </c>
      <c r="AC17" s="34">
        <f>VLOOKUP($B17,'Ibri Pop Settlements'!$H$2:$AJ$240,AC$29,FALSE)</f>
        <v>1846.2228229307182</v>
      </c>
      <c r="AD17" s="34">
        <f>VLOOKUP($B17,'Ibri Pop Settlements'!$H$2:$AJ$240,AD$29,FALSE)</f>
        <v>1886.4488101464262</v>
      </c>
      <c r="AE17" s="44">
        <f>AD17*(1+Pop_Wilayat!AH$10)</f>
        <v>1928.1171863677723</v>
      </c>
      <c r="AF17" s="44">
        <f>AE17*(1+Pop_Wilayat!AI$10)</f>
        <v>1971.2843797705493</v>
      </c>
      <c r="AG17" s="44">
        <f>AF17*(1+Pop_Wilayat!AJ$10)</f>
        <v>2016.0093969379116</v>
      </c>
      <c r="AH17" s="44">
        <f>AG17*(1+Pop_Wilayat!AK$10)</f>
        <v>2062.3539498472906</v>
      </c>
      <c r="AI17" s="44">
        <f>AH17*(1+Pop_Wilayat!AL$10)</f>
        <v>2110.3825896822254</v>
      </c>
      <c r="AJ17" s="44">
        <f>AI17*(1+Pop_Wilayat!AM$10)</f>
        <v>2160.1628478586763</v>
      </c>
      <c r="AK17" s="44">
        <f>AJ17*(1+Pop_Wilayat!AN$10)</f>
        <v>2211.7653846790163</v>
      </c>
      <c r="AL17" s="44">
        <f>AK17*(1+Pop_Wilayat!AO$10)</f>
        <v>2264.8477539113128</v>
      </c>
      <c r="AM17" s="44">
        <f>AL17*(1+Pop_Wilayat!AP$10)</f>
        <v>2319.2041000051845</v>
      </c>
      <c r="AN17" s="44">
        <f>AM17*(1+Pop_Wilayat!AQ$10)</f>
        <v>2374.8649984053091</v>
      </c>
      <c r="AO17" s="44">
        <f>AN17*(1+Pop_Wilayat!AR$10)</f>
        <v>2431.8617583670366</v>
      </c>
      <c r="AP17" s="44">
        <f>AO17*(1+Pop_Wilayat!AS$10)</f>
        <v>2490.2264405678457</v>
      </c>
      <c r="AQ17" s="44">
        <f>AP17*(1+Pop_Wilayat!AT$10)</f>
        <v>2549.9918751414739</v>
      </c>
      <c r="AR17" s="44">
        <f>AQ17*(1+Pop_Wilayat!AU$10)</f>
        <v>2611.1916801448692</v>
      </c>
      <c r="AS17" s="44">
        <f>AR17*(1+Pop_Wilayat!AV$10)</f>
        <v>2673.860280468346</v>
      </c>
      <c r="AT17" s="44">
        <f>AS17*(1+Pop_Wilayat!AW$10)</f>
        <v>2738.0329271995865</v>
      </c>
      <c r="AU17" s="44">
        <f>AT17*(1+Pop_Wilayat!AX$10)</f>
        <v>2803.7457174523765</v>
      </c>
      <c r="AV17" s="44">
        <f>AU17*(1+Pop_Wilayat!AY$10)</f>
        <v>2871.0356146712338</v>
      </c>
      <c r="AW17" s="44">
        <f>AV17*(1+Pop_Wilayat!AZ$10)</f>
        <v>2939.9404694233435</v>
      </c>
      <c r="AX17" s="44">
        <f>AW17*(1+Pop_Wilayat!BA$10)</f>
        <v>3010.499040689504</v>
      </c>
      <c r="AY17" s="44">
        <f>AX17*(1+Pop_Wilayat!BB$10)</f>
        <v>3082.7510176660521</v>
      </c>
      <c r="AZ17" s="44">
        <f>AY17*(1+Pop_Wilayat!BC$10)</f>
        <v>3156.7370420900374</v>
      </c>
      <c r="BA17" s="44">
        <f>AZ17*(1+Pop_Wilayat!BD$10)</f>
        <v>3232.4987311001983</v>
      </c>
      <c r="BB17" s="44">
        <f>BA17*(1+Pop_Wilayat!BE$10)</f>
        <v>3310.078700646603</v>
      </c>
      <c r="BC17" s="44">
        <f>BB17*(1+Pop_Wilayat!BF$10)</f>
        <v>3389.5205894621217</v>
      </c>
      <c r="BD17" s="44">
        <f>BC17*(1+Pop_Wilayat!BG$10)</f>
        <v>3470.8690836092128</v>
      </c>
      <c r="BE17" s="44">
        <f>BD17*(1+Pop_Wilayat!BH$10)</f>
        <v>3554.169941615834</v>
      </c>
      <c r="BF17" s="44">
        <f>BE17*(1+Pop_Wilayat!BI$10)</f>
        <v>3639.4700202146141</v>
      </c>
      <c r="BG17" s="44">
        <f>BF17*(1+Pop_Wilayat!BJ$10)</f>
        <v>3726.8173006997649</v>
      </c>
      <c r="BH17" s="44">
        <f>BG17*(1+Pop_Wilayat!BK$10)</f>
        <v>3816.2609159165595</v>
      </c>
      <c r="BI17" s="44">
        <f>BH17*(1+Pop_Wilayat!BL$10)</f>
        <v>3907.8511778985571</v>
      </c>
      <c r="BJ17" s="44">
        <f>BI17*(1+Pop_Wilayat!BM$10)</f>
        <v>4001.6396061681226</v>
      </c>
      <c r="BK17" s="44">
        <f>BJ17*(1+Pop_Wilayat!BN$10)</f>
        <v>4097.6789567161577</v>
      </c>
      <c r="BL17" s="44">
        <f>BK17*(1+Pop_Wilayat!BO$10)</f>
        <v>4196.0232516773458</v>
      </c>
      <c r="BM17" s="44">
        <f>BL17*(1+Pop_Wilayat!BP$10)</f>
        <v>4296.7278097176022</v>
      </c>
      <c r="BN17" s="44">
        <f>BM17*(1+Pop_Wilayat!BQ$10)</f>
        <v>4399.8492771508245</v>
      </c>
      <c r="BO17" s="44">
        <f>BN17*(1+Pop_Wilayat!BR$10)</f>
        <v>4505.4456598024444</v>
      </c>
      <c r="BP17" s="44">
        <f>BO17*(1+Pop_Wilayat!BS$10)</f>
        <v>4613.5763556377033</v>
      </c>
      <c r="BQ17" s="44">
        <f>BP17*(1+Pop_Wilayat!BT$10)</f>
        <v>4724.3021881730083</v>
      </c>
      <c r="BR17" s="44">
        <f>BQ17*(1+Pop_Wilayat!BU$10)</f>
        <v>4837.6854406891607</v>
      </c>
      <c r="BS17" s="44">
        <f>BR17*(1+Pop_Wilayat!BV$10)</f>
        <v>4953.789891265701</v>
      </c>
      <c r="BT17" s="44">
        <f>BS17*(1+Pop_Wilayat!BW$10)</f>
        <v>5072.6808486560776</v>
      </c>
      <c r="BU17" s="44">
        <f>BT17*(1+Pop_Wilayat!BX$10)</f>
        <v>5194.4251890238238</v>
      </c>
      <c r="BV17" s="44">
        <f>BU17*(1+Pop_Wilayat!BY$10)</f>
        <v>5319.0913935603958</v>
      </c>
      <c r="BW17" s="44">
        <f>BV17*(1+Pop_Wilayat!BZ$10)</f>
        <v>5446.7495870058456</v>
      </c>
      <c r="BX17" s="44">
        <f>BW17*(1+Pop_Wilayat!CA$10)</f>
        <v>5577.4715770939856</v>
      </c>
      <c r="BY17" s="44">
        <f>BX17*(1+Pop_Wilayat!CB$10)</f>
        <v>5711.3308949442417</v>
      </c>
      <c r="BZ17" s="44">
        <f>BY17*(1+Pop_Wilayat!CC$10)</f>
        <v>5848.4028364229034</v>
      </c>
      <c r="CA17" s="44">
        <f>BZ17*(1+Pop_Wilayat!CD$10)</f>
        <v>5988.7645044970532</v>
      </c>
      <c r="CB17" s="44">
        <f>CA17*(1+Pop_Wilayat!CE$10)</f>
        <v>6132.494852604983</v>
      </c>
    </row>
    <row r="18" spans="1:80" x14ac:dyDescent="0.25">
      <c r="A18" s="33">
        <v>17</v>
      </c>
      <c r="B18" s="36" t="s">
        <v>18</v>
      </c>
      <c r="C18" s="34">
        <f>VLOOKUP($B18,'Ibri Pop Settlements'!$H$2:$AJ$240,C$29,FALSE)</f>
        <v>65245.853715355646</v>
      </c>
      <c r="D18" s="34">
        <f>VLOOKUP($B18,'Ibri Pop Settlements'!$H$2:$AJ$240,D$29,FALSE)</f>
        <v>67105.508784916514</v>
      </c>
      <c r="E18" s="34">
        <f>VLOOKUP($B18,'Ibri Pop Settlements'!$H$2:$AJ$240,E$29,FALSE)</f>
        <v>68713.286059524078</v>
      </c>
      <c r="F18" s="34">
        <f>VLOOKUP($B18,'Ibri Pop Settlements'!$H$2:$AJ$240,F$29,FALSE)</f>
        <v>70597.434325401147</v>
      </c>
      <c r="G18" s="34">
        <f>VLOOKUP($B18,'Ibri Pop Settlements'!$H$2:$AJ$240,G$29,FALSE)</f>
        <v>72508.634778254345</v>
      </c>
      <c r="H18" s="34">
        <f>VLOOKUP($B18,'Ibri Pop Settlements'!$H$2:$AJ$240,H$29,FALSE)</f>
        <v>74451.639829309177</v>
      </c>
      <c r="I18" s="34">
        <f>VLOOKUP($B18,'Ibri Pop Settlements'!$H$2:$AJ$240,I$29,FALSE)</f>
        <v>76427.180618754224</v>
      </c>
      <c r="J18" s="34">
        <f>VLOOKUP($B18,'Ibri Pop Settlements'!$H$2:$AJ$240,J$29,FALSE)</f>
        <v>78099.298229953623</v>
      </c>
      <c r="K18" s="34">
        <f>VLOOKUP($B18,'Ibri Pop Settlements'!$H$2:$AJ$240,K$29,FALSE)</f>
        <v>80127.846683068085</v>
      </c>
      <c r="L18" s="34">
        <f>VLOOKUP($B18,'Ibri Pop Settlements'!$H$2:$AJ$240,L$29,FALSE)</f>
        <v>82194.779996081081</v>
      </c>
      <c r="M18" s="34">
        <f>VLOOKUP($B18,'Ibri Pop Settlements'!$H$2:$AJ$240,M$29,FALSE)</f>
        <v>83253.47098909234</v>
      </c>
      <c r="N18" s="34">
        <f>VLOOKUP($B18,'Ibri Pop Settlements'!$H$2:$AJ$240,N$29,FALSE)</f>
        <v>86468.659968213193</v>
      </c>
      <c r="O18" s="34">
        <f>VLOOKUP($B18,'Ibri Pop Settlements'!$H$2:$AJ$240,O$29,FALSE)</f>
        <v>88272.017243256196</v>
      </c>
      <c r="P18" s="34">
        <f>VLOOKUP($B18,'Ibri Pop Settlements'!$H$2:$AJ$240,P$29,FALSE)</f>
        <v>90552.443491323953</v>
      </c>
      <c r="Q18" s="34">
        <f>VLOOKUP($B18,'Ibri Pop Settlements'!$H$2:$AJ$240,Q$29,FALSE)</f>
        <v>92922.799982582568</v>
      </c>
      <c r="R18" s="34">
        <f>VLOOKUP($B18,'Ibri Pop Settlements'!$H$2:$AJ$240,R$29,FALSE)</f>
        <v>95376.506455335184</v>
      </c>
      <c r="S18" s="34">
        <f>VLOOKUP($B18,'Ibri Pop Settlements'!$H$2:$AJ$240,S$29,FALSE)</f>
        <v>97935.497115238075</v>
      </c>
      <c r="T18" s="34">
        <f>VLOOKUP($B18,'Ibri Pop Settlements'!$H$2:$AJ$240,T$29,FALSE)</f>
        <v>100065.67405456011</v>
      </c>
      <c r="U18" s="34">
        <f>VLOOKUP($B18,'Ibri Pop Settlements'!$H$2:$AJ$240,U$29,FALSE)</f>
        <v>101974.57590114798</v>
      </c>
      <c r="V18" s="34">
        <f>VLOOKUP($B18,'Ibri Pop Settlements'!$H$2:$AJ$240,V$29,FALSE)</f>
        <v>103970.62704523465</v>
      </c>
      <c r="W18" s="34">
        <f>VLOOKUP($B18,'Ibri Pop Settlements'!$H$2:$AJ$240,W$29,FALSE)</f>
        <v>106028.81717287436</v>
      </c>
      <c r="X18" s="34">
        <f>VLOOKUP($B18,'Ibri Pop Settlements'!$H$2:$AJ$240,X$29,FALSE)</f>
        <v>108153.42259043042</v>
      </c>
      <c r="Y18" s="34">
        <f>VLOOKUP($B18,'Ibri Pop Settlements'!$H$2:$AJ$240,Y$29,FALSE)</f>
        <v>110348.71960432761</v>
      </c>
      <c r="Z18" s="34">
        <f>VLOOKUP($B18,'Ibri Pop Settlements'!$H$2:$AJ$240,Z$29,FALSE)</f>
        <v>112618.98452431173</v>
      </c>
      <c r="AA18" s="34">
        <f>VLOOKUP($B18,'Ibri Pop Settlements'!$H$2:$AJ$240,AA$29,FALSE)</f>
        <v>114968.49365449906</v>
      </c>
      <c r="AB18" s="34">
        <f>VLOOKUP($B18,'Ibri Pop Settlements'!$H$2:$AJ$240,AB$29,FALSE)</f>
        <v>117401.5233082866</v>
      </c>
      <c r="AC18" s="34">
        <f>VLOOKUP($B18,'Ibri Pop Settlements'!$H$2:$AJ$240,AC$29,FALSE)</f>
        <v>119922.34978657519</v>
      </c>
      <c r="AD18" s="34">
        <f>VLOOKUP($B18,'Ibri Pop Settlements'!$H$2:$AJ$240,AD$29,FALSE)</f>
        <v>122535.24940490771</v>
      </c>
      <c r="AE18" s="44">
        <f>AD18*(1+Pop_Wilayat!AH$10)</f>
        <v>125241.84014043042</v>
      </c>
      <c r="AF18" s="44">
        <f>AE18*(1+Pop_Wilayat!AI$10)</f>
        <v>128045.7873142255</v>
      </c>
      <c r="AG18" s="44">
        <f>AF18*(1+Pop_Wilayat!AJ$10)</f>
        <v>130950.92372914689</v>
      </c>
      <c r="AH18" s="44">
        <f>AG18*(1+Pop_Wilayat!AK$10)</f>
        <v>133961.25791832051</v>
      </c>
      <c r="AI18" s="44">
        <f>AH18*(1+Pop_Wilayat!AL$10)</f>
        <v>137080.98283696032</v>
      </c>
      <c r="AJ18" s="44">
        <f>AI18*(1+Pop_Wilayat!AM$10)</f>
        <v>140314.48502280476</v>
      </c>
      <c r="AK18" s="44">
        <f>AJ18*(1+Pop_Wilayat!AN$10)</f>
        <v>143666.354252013</v>
      </c>
      <c r="AL18" s="44">
        <f>AK18*(1+Pop_Wilayat!AO$10)</f>
        <v>147114.34675406132</v>
      </c>
      <c r="AM18" s="44">
        <f>AL18*(1+Pop_Wilayat!AP$10)</f>
        <v>150645.0910761588</v>
      </c>
      <c r="AN18" s="44">
        <f>AM18*(1+Pop_Wilayat!AQ$10)</f>
        <v>154260.5732619866</v>
      </c>
      <c r="AO18" s="44">
        <f>AN18*(1+Pop_Wilayat!AR$10)</f>
        <v>157962.82702027427</v>
      </c>
      <c r="AP18" s="44">
        <f>AO18*(1+Pop_Wilayat!AS$10)</f>
        <v>161753.93486876084</v>
      </c>
      <c r="AQ18" s="44">
        <f>AP18*(1+Pop_Wilayat!AT$10)</f>
        <v>165636.0293056111</v>
      </c>
      <c r="AR18" s="44">
        <f>AQ18*(1+Pop_Wilayat!AU$10)</f>
        <v>169611.29400894576</v>
      </c>
      <c r="AS18" s="44">
        <f>AR18*(1+Pop_Wilayat!AV$10)</f>
        <v>173681.96506516045</v>
      </c>
      <c r="AT18" s="44">
        <f>AS18*(1+Pop_Wilayat!AW$10)</f>
        <v>177850.33222672431</v>
      </c>
      <c r="AU18" s="44">
        <f>AT18*(1+Pop_Wilayat!AX$10)</f>
        <v>182118.74020016569</v>
      </c>
      <c r="AV18" s="44">
        <f>AU18*(1+Pop_Wilayat!AY$10)</f>
        <v>186489.58996496967</v>
      </c>
      <c r="AW18" s="44">
        <f>AV18*(1+Pop_Wilayat!AZ$10)</f>
        <v>190965.34012412894</v>
      </c>
      <c r="AX18" s="44">
        <f>AW18*(1+Pop_Wilayat!BA$10)</f>
        <v>195548.50828710804</v>
      </c>
      <c r="AY18" s="44">
        <f>AX18*(1+Pop_Wilayat!BB$10)</f>
        <v>200241.67248599863</v>
      </c>
      <c r="AZ18" s="44">
        <f>AY18*(1+Pop_Wilayat!BC$10)</f>
        <v>205047.4726256626</v>
      </c>
      <c r="BA18" s="44">
        <f>AZ18*(1+Pop_Wilayat!BD$10)</f>
        <v>209968.61196867851</v>
      </c>
      <c r="BB18" s="44">
        <f>BA18*(1+Pop_Wilayat!BE$10)</f>
        <v>215007.8586559268</v>
      </c>
      <c r="BC18" s="44">
        <f>BB18*(1+Pop_Wilayat!BF$10)</f>
        <v>220168.04726366905</v>
      </c>
      <c r="BD18" s="44">
        <f>BC18*(1+Pop_Wilayat!BG$10)</f>
        <v>225452.08039799711</v>
      </c>
      <c r="BE18" s="44">
        <f>BD18*(1+Pop_Wilayat!BH$10)</f>
        <v>230862.93032754905</v>
      </c>
      <c r="BF18" s="44">
        <f>BE18*(1+Pop_Wilayat!BI$10)</f>
        <v>236403.64065541024</v>
      </c>
      <c r="BG18" s="44">
        <f>BF18*(1+Pop_Wilayat!BJ$10)</f>
        <v>242077.32803114009</v>
      </c>
      <c r="BH18" s="44">
        <f>BG18*(1+Pop_Wilayat!BK$10)</f>
        <v>247887.18390388746</v>
      </c>
      <c r="BI18" s="44">
        <f>BH18*(1+Pop_Wilayat!BL$10)</f>
        <v>253836.47631758076</v>
      </c>
      <c r="BJ18" s="44">
        <f>BI18*(1+Pop_Wilayat!BM$10)</f>
        <v>259928.55174920271</v>
      </c>
      <c r="BK18" s="44">
        <f>BJ18*(1+Pop_Wilayat!BN$10)</f>
        <v>266166.83699118358</v>
      </c>
      <c r="BL18" s="44">
        <f>BK18*(1+Pop_Wilayat!BO$10)</f>
        <v>272554.84107897198</v>
      </c>
      <c r="BM18" s="44">
        <f>BL18*(1+Pop_Wilayat!BP$10)</f>
        <v>279096.15726486733</v>
      </c>
      <c r="BN18" s="44">
        <f>BM18*(1+Pop_Wilayat!BQ$10)</f>
        <v>285794.46503922413</v>
      </c>
      <c r="BO18" s="44">
        <f>BN18*(1+Pop_Wilayat!BR$10)</f>
        <v>292653.5322001655</v>
      </c>
      <c r="BP18" s="44">
        <f>BO18*(1+Pop_Wilayat!BS$10)</f>
        <v>299677.21697296947</v>
      </c>
      <c r="BQ18" s="44">
        <f>BP18*(1+Pop_Wilayat!BT$10)</f>
        <v>306869.47018032073</v>
      </c>
      <c r="BR18" s="44">
        <f>BQ18*(1+Pop_Wilayat!BU$10)</f>
        <v>314234.33746464842</v>
      </c>
      <c r="BS18" s="44">
        <f>BR18*(1+Pop_Wilayat!BV$10)</f>
        <v>321775.9615638</v>
      </c>
      <c r="BT18" s="44">
        <f>BS18*(1+Pop_Wilayat!BW$10)</f>
        <v>329498.58464133122</v>
      </c>
      <c r="BU18" s="44">
        <f>BT18*(1+Pop_Wilayat!BX$10)</f>
        <v>337406.55067272316</v>
      </c>
      <c r="BV18" s="44">
        <f>BU18*(1+Pop_Wilayat!BY$10)</f>
        <v>345504.3078888685</v>
      </c>
      <c r="BW18" s="44">
        <f>BV18*(1+Pop_Wilayat!BZ$10)</f>
        <v>353796.41127820133</v>
      </c>
      <c r="BX18" s="44">
        <f>BW18*(1+Pop_Wilayat!CA$10)</f>
        <v>362287.52514887817</v>
      </c>
      <c r="BY18" s="44">
        <f>BX18*(1+Pop_Wilayat!CB$10)</f>
        <v>370982.42575245124</v>
      </c>
      <c r="BZ18" s="44">
        <f>BY18*(1+Pop_Wilayat!CC$10)</f>
        <v>379886.00397051009</v>
      </c>
      <c r="CA18" s="44">
        <f>BZ18*(1+Pop_Wilayat!CD$10)</f>
        <v>389003.26806580235</v>
      </c>
      <c r="CB18" s="44">
        <f>CA18*(1+Pop_Wilayat!CE$10)</f>
        <v>398339.34649938159</v>
      </c>
    </row>
    <row r="19" spans="1:80" x14ac:dyDescent="0.25">
      <c r="A19" s="33">
        <v>18</v>
      </c>
      <c r="B19" s="36" t="s">
        <v>58</v>
      </c>
      <c r="C19" s="34">
        <f>VLOOKUP($B19,'Ibri Pop Settlements'!$H$2:$AJ$240,C$29,FALSE)</f>
        <v>33.02898913587773</v>
      </c>
      <c r="D19" s="34">
        <f>VLOOKUP($B19,'Ibri Pop Settlements'!$H$2:$AJ$240,D$29,FALSE)</f>
        <v>33.970390368160935</v>
      </c>
      <c r="E19" s="34">
        <f>VLOOKUP($B19,'Ibri Pop Settlements'!$H$2:$AJ$240,E$29,FALSE)</f>
        <v>34.784285123337177</v>
      </c>
      <c r="F19" s="34">
        <f>VLOOKUP($B19,'Ibri Pop Settlements'!$H$2:$AJ$240,F$29,FALSE)</f>
        <v>35.738085388952996</v>
      </c>
      <c r="G19" s="34">
        <f>VLOOKUP($B19,'Ibri Pop Settlements'!$H$2:$AJ$240,G$29,FALSE)</f>
        <v>36.705580109294381</v>
      </c>
      <c r="H19" s="34">
        <f>VLOOKUP($B19,'Ibri Pop Settlements'!$H$2:$AJ$240,H$29,FALSE)</f>
        <v>37.689175066948252</v>
      </c>
      <c r="I19" s="34">
        <f>VLOOKUP($B19,'Ibri Pop Settlements'!$H$2:$AJ$240,I$29,FALSE)</f>
        <v>38.689240382312597</v>
      </c>
      <c r="J19" s="34">
        <f>VLOOKUP($B19,'Ibri Pop Settlements'!$H$2:$AJ$240,J$29,FALSE)</f>
        <v>39.535705732511815</v>
      </c>
      <c r="K19" s="34">
        <f>VLOOKUP($B19,'Ibri Pop Settlements'!$H$2:$AJ$240,K$29,FALSE)</f>
        <v>40.562604776730318</v>
      </c>
      <c r="L19" s="34">
        <f>VLOOKUP($B19,'Ibri Pop Settlements'!$H$2:$AJ$240,L$29,FALSE)</f>
        <v>41.608935141843205</v>
      </c>
      <c r="M19" s="34">
        <f>VLOOKUP($B19,'Ibri Pop Settlements'!$H$2:$AJ$240,M$29,FALSE)</f>
        <v>42.144869478130239</v>
      </c>
      <c r="N19" s="34">
        <f>VLOOKUP($B19,'Ibri Pop Settlements'!$H$2:$AJ$240,N$29,FALSE)</f>
        <v>43.772473928283731</v>
      </c>
      <c r="O19" s="34">
        <f>VLOOKUP($B19,'Ibri Pop Settlements'!$H$2:$AJ$240,O$29,FALSE)</f>
        <v>44.685375889921843</v>
      </c>
      <c r="P19" s="34">
        <f>VLOOKUP($B19,'Ibri Pop Settlements'!$H$2:$AJ$240,P$29,FALSE)</f>
        <v>45.839781411247309</v>
      </c>
      <c r="Q19" s="34">
        <f>VLOOKUP($B19,'Ibri Pop Settlements'!$H$2:$AJ$240,Q$29,FALSE)</f>
        <v>47.039711741525331</v>
      </c>
      <c r="R19" s="34">
        <f>VLOOKUP($B19,'Ibri Pop Settlements'!$H$2:$AJ$240,R$29,FALSE)</f>
        <v>48.281835797174026</v>
      </c>
      <c r="S19" s="34">
        <f>VLOOKUP($B19,'Ibri Pop Settlements'!$H$2:$AJ$240,S$29,FALSE)</f>
        <v>49.577257190133025</v>
      </c>
      <c r="T19" s="34">
        <f>VLOOKUP($B19,'Ibri Pop Settlements'!$H$2:$AJ$240,T$29,FALSE)</f>
        <v>50.655602969671904</v>
      </c>
      <c r="U19" s="34">
        <f>VLOOKUP($B19,'Ibri Pop Settlements'!$H$2:$AJ$240,U$29,FALSE)</f>
        <v>51.621934081338679</v>
      </c>
      <c r="V19" s="34">
        <f>VLOOKUP($B19,'Ibri Pop Settlements'!$H$2:$AJ$240,V$29,FALSE)</f>
        <v>52.632382221695821</v>
      </c>
      <c r="W19" s="34">
        <f>VLOOKUP($B19,'Ibri Pop Settlements'!$H$2:$AJ$240,W$29,FALSE)</f>
        <v>53.674286580277062</v>
      </c>
      <c r="X19" s="34">
        <f>VLOOKUP($B19,'Ibri Pop Settlements'!$H$2:$AJ$240,X$29,FALSE)</f>
        <v>54.749811924165243</v>
      </c>
      <c r="Y19" s="34">
        <f>VLOOKUP($B19,'Ibri Pop Settlements'!$H$2:$AJ$240,Y$29,FALSE)</f>
        <v>55.861123020474345</v>
      </c>
      <c r="Z19" s="34">
        <f>VLOOKUP($B19,'Ibri Pop Settlements'!$H$2:$AJ$240,Z$29,FALSE)</f>
        <v>57.010384637999508</v>
      </c>
      <c r="AA19" s="34">
        <f>VLOOKUP($B19,'Ibri Pop Settlements'!$H$2:$AJ$240,AA$29,FALSE)</f>
        <v>58.199761542686083</v>
      </c>
      <c r="AB19" s="34">
        <f>VLOOKUP($B19,'Ibri Pop Settlements'!$H$2:$AJ$240,AB$29,FALSE)</f>
        <v>59.43141850517754</v>
      </c>
      <c r="AC19" s="34">
        <f>VLOOKUP($B19,'Ibri Pop Settlements'!$H$2:$AJ$240,AC$29,FALSE)</f>
        <v>60.707520289791503</v>
      </c>
      <c r="AD19" s="34">
        <f>VLOOKUP($B19,'Ibri Pop Settlements'!$H$2:$AJ$240,AD$29,FALSE)</f>
        <v>62.030231668257727</v>
      </c>
      <c r="AE19" s="44">
        <f>AD19*(1+Pop_Wilayat!AH$10)</f>
        <v>63.400371698746859</v>
      </c>
      <c r="AF19" s="44">
        <f>AE19*(1+Pop_Wilayat!AI$10)</f>
        <v>64.8197958531902</v>
      </c>
      <c r="AG19" s="44">
        <f>AF19*(1+Pop_Wilayat!AJ$10)</f>
        <v>66.290444386739821</v>
      </c>
      <c r="AH19" s="44">
        <f>AG19*(1+Pop_Wilayat!AK$10)</f>
        <v>67.814346513353826</v>
      </c>
      <c r="AI19" s="44">
        <f>AH19*(1+Pop_Wilayat!AL$10)</f>
        <v>69.393624805798495</v>
      </c>
      <c r="AJ19" s="44">
        <f>AI19*(1+Pop_Wilayat!AM$10)</f>
        <v>71.03049983287714</v>
      </c>
      <c r="AK19" s="44">
        <f>AJ19*(1+Pop_Wilayat!AN$10)</f>
        <v>72.727295047472467</v>
      </c>
      <c r="AL19" s="44">
        <f>AK19*(1+Pop_Wilayat!AO$10)</f>
        <v>74.472750128611807</v>
      </c>
      <c r="AM19" s="44">
        <f>AL19*(1+Pop_Wilayat!AP$10)</f>
        <v>76.260096131698489</v>
      </c>
      <c r="AN19" s="44">
        <f>AM19*(1+Pop_Wilayat!AQ$10)</f>
        <v>78.090338438859249</v>
      </c>
      <c r="AO19" s="44">
        <f>AN19*(1+Pop_Wilayat!AR$10)</f>
        <v>79.964506561391872</v>
      </c>
      <c r="AP19" s="44">
        <f>AO19*(1+Pop_Wilayat!AS$10)</f>
        <v>81.883654718865273</v>
      </c>
      <c r="AQ19" s="44">
        <f>AP19*(1+Pop_Wilayat!AT$10)</f>
        <v>83.84886243211804</v>
      </c>
      <c r="AR19" s="44">
        <f>AQ19*(1+Pop_Wilayat!AU$10)</f>
        <v>85.861235130488879</v>
      </c>
      <c r="AS19" s="44">
        <f>AR19*(1+Pop_Wilayat!AV$10)</f>
        <v>87.921904773620611</v>
      </c>
      <c r="AT19" s="44">
        <f>AS19*(1+Pop_Wilayat!AW$10)</f>
        <v>90.032030488187502</v>
      </c>
      <c r="AU19" s="44">
        <f>AT19*(1+Pop_Wilayat!AX$10)</f>
        <v>92.192799219904003</v>
      </c>
      <c r="AV19" s="44">
        <f>AU19*(1+Pop_Wilayat!AY$10)</f>
        <v>94.4054264011817</v>
      </c>
      <c r="AW19" s="44">
        <f>AV19*(1+Pop_Wilayat!AZ$10)</f>
        <v>96.67115663481006</v>
      </c>
      <c r="AX19" s="44">
        <f>AW19*(1+Pop_Wilayat!BA$10)</f>
        <v>98.991264394045501</v>
      </c>
      <c r="AY19" s="44">
        <f>AX19*(1+Pop_Wilayat!BB$10)</f>
        <v>101.36705473950259</v>
      </c>
      <c r="AZ19" s="44">
        <f>AY19*(1+Pop_Wilayat!BC$10)</f>
        <v>103.79986405325066</v>
      </c>
      <c r="BA19" s="44">
        <f>AZ19*(1+Pop_Wilayat!BD$10)</f>
        <v>106.29106079052868</v>
      </c>
      <c r="BB19" s="44">
        <f>BA19*(1+Pop_Wilayat!BE$10)</f>
        <v>108.84204624950137</v>
      </c>
      <c r="BC19" s="44">
        <f>BB19*(1+Pop_Wilayat!BF$10)</f>
        <v>111.45425535948939</v>
      </c>
      <c r="BD19" s="44">
        <f>BC19*(1+Pop_Wilayat!BG$10)</f>
        <v>114.12915748811714</v>
      </c>
      <c r="BE19" s="44">
        <f>BD19*(1+Pop_Wilayat!BH$10)</f>
        <v>116.86825726783196</v>
      </c>
      <c r="BF19" s="44">
        <f>BE19*(1+Pop_Wilayat!BI$10)</f>
        <v>119.67309544225994</v>
      </c>
      <c r="BG19" s="44">
        <f>BF19*(1+Pop_Wilayat!BJ$10)</f>
        <v>122.54524973287418</v>
      </c>
      <c r="BH19" s="44">
        <f>BG19*(1+Pop_Wilayat!BK$10)</f>
        <v>125.48633572646317</v>
      </c>
      <c r="BI19" s="44">
        <f>BH19*(1+Pop_Wilayat!BL$10)</f>
        <v>128.49800778389829</v>
      </c>
      <c r="BJ19" s="44">
        <f>BI19*(1+Pop_Wilayat!BM$10)</f>
        <v>131.58195997071184</v>
      </c>
      <c r="BK19" s="44">
        <f>BJ19*(1+Pop_Wilayat!BN$10)</f>
        <v>134.73992701000893</v>
      </c>
      <c r="BL19" s="44">
        <f>BK19*(1+Pop_Wilayat!BO$10)</f>
        <v>137.97368525824913</v>
      </c>
      <c r="BM19" s="44">
        <f>BL19*(1+Pop_Wilayat!BP$10)</f>
        <v>141.28505370444711</v>
      </c>
      <c r="BN19" s="44">
        <f>BM19*(1+Pop_Wilayat!BQ$10)</f>
        <v>144.67589499335384</v>
      </c>
      <c r="BO19" s="44">
        <f>BN19*(1+Pop_Wilayat!BR$10)</f>
        <v>148.14811647319434</v>
      </c>
      <c r="BP19" s="44">
        <f>BO19*(1+Pop_Wilayat!BS$10)</f>
        <v>151.70367126855101</v>
      </c>
      <c r="BQ19" s="44">
        <f>BP19*(1+Pop_Wilayat!BT$10)</f>
        <v>155.34455937899622</v>
      </c>
      <c r="BR19" s="44">
        <f>BQ19*(1+Pop_Wilayat!BU$10)</f>
        <v>159.07282880409213</v>
      </c>
      <c r="BS19" s="44">
        <f>BR19*(1+Pop_Wilayat!BV$10)</f>
        <v>162.89057669539034</v>
      </c>
      <c r="BT19" s="44">
        <f>BS19*(1+Pop_Wilayat!BW$10)</f>
        <v>166.79995053607971</v>
      </c>
      <c r="BU19" s="44">
        <f>BT19*(1+Pop_Wilayat!BX$10)</f>
        <v>170.80314934894562</v>
      </c>
      <c r="BV19" s="44">
        <f>BU19*(1+Pop_Wilayat!BY$10)</f>
        <v>174.90242493332033</v>
      </c>
      <c r="BW19" s="44">
        <f>BV19*(1+Pop_Wilayat!BZ$10)</f>
        <v>179.10008313172003</v>
      </c>
      <c r="BX19" s="44">
        <f>BW19*(1+Pop_Wilayat!CA$10)</f>
        <v>183.3984851268813</v>
      </c>
      <c r="BY19" s="44">
        <f>BX19*(1+Pop_Wilayat!CB$10)</f>
        <v>187.80004876992646</v>
      </c>
      <c r="BZ19" s="44">
        <f>BY19*(1+Pop_Wilayat!CC$10)</f>
        <v>192.30724994040469</v>
      </c>
      <c r="CA19" s="44">
        <f>BZ19*(1+Pop_Wilayat!CD$10)</f>
        <v>196.9226239389744</v>
      </c>
      <c r="CB19" s="44">
        <f>CA19*(1+Pop_Wilayat!CE$10)</f>
        <v>201.64876691350977</v>
      </c>
    </row>
    <row r="20" spans="1:80" x14ac:dyDescent="0.25">
      <c r="A20" s="33">
        <v>19</v>
      </c>
      <c r="B20" s="36" t="s">
        <v>44</v>
      </c>
      <c r="C20" s="34">
        <f>VLOOKUP($B20,'Ibri Pop Settlements'!$H$2:$AJ$240,C$29,FALSE)</f>
        <v>255.48894537458361</v>
      </c>
      <c r="D20" s="34">
        <f>VLOOKUP($B20,'Ibri Pop Settlements'!$H$2:$AJ$240,D$29,FALSE)</f>
        <v>262.77096078900962</v>
      </c>
      <c r="E20" s="34">
        <f>VLOOKUP($B20,'Ibri Pop Settlements'!$H$2:$AJ$240,E$29,FALSE)</f>
        <v>269.06667610110816</v>
      </c>
      <c r="F20" s="34">
        <f>VLOOKUP($B20,'Ibri Pop Settlements'!$H$2:$AJ$240,F$29,FALSE)</f>
        <v>276.44460168513638</v>
      </c>
      <c r="G20" s="34">
        <f>VLOOKUP($B20,'Ibri Pop Settlements'!$H$2:$AJ$240,G$29,FALSE)</f>
        <v>283.92845790424769</v>
      </c>
      <c r="H20" s="34">
        <f>VLOOKUP($B20,'Ibri Pop Settlements'!$H$2:$AJ$240,H$29,FALSE)</f>
        <v>291.53685419433498</v>
      </c>
      <c r="I20" s="34">
        <f>VLOOKUP($B20,'Ibri Pop Settlements'!$H$2:$AJ$240,I$29,FALSE)</f>
        <v>299.27265354553572</v>
      </c>
      <c r="J20" s="34">
        <f>VLOOKUP($B20,'Ibri Pop Settlements'!$H$2:$AJ$240,J$29,FALSE)</f>
        <v>305.82031198972373</v>
      </c>
      <c r="K20" s="34">
        <f>VLOOKUP($B20,'Ibri Pop Settlements'!$H$2:$AJ$240,K$29,FALSE)</f>
        <v>313.7636781258845</v>
      </c>
      <c r="L20" s="34">
        <f>VLOOKUP($B20,'Ibri Pop Settlements'!$H$2:$AJ$240,L$29,FALSE)</f>
        <v>321.8573512442577</v>
      </c>
      <c r="M20" s="34">
        <f>VLOOKUP($B20,'Ibri Pop Settlements'!$H$2:$AJ$240,M$29,FALSE)</f>
        <v>326.00296096318391</v>
      </c>
      <c r="N20" s="34">
        <f>VLOOKUP($B20,'Ibri Pop Settlements'!$H$2:$AJ$240,N$29,FALSE)</f>
        <v>338.59296009231235</v>
      </c>
      <c r="O20" s="34">
        <f>VLOOKUP($B20,'Ibri Pop Settlements'!$H$2:$AJ$240,O$29,FALSE)</f>
        <v>345.65452526616008</v>
      </c>
      <c r="P20" s="34">
        <f>VLOOKUP($B20,'Ibri Pop Settlements'!$H$2:$AJ$240,P$29,FALSE)</f>
        <v>354.58419150464829</v>
      </c>
      <c r="Q20" s="34">
        <f>VLOOKUP($B20,'Ibri Pop Settlements'!$H$2:$AJ$240,Q$29,FALSE)</f>
        <v>363.86600553003416</v>
      </c>
      <c r="R20" s="34">
        <f>VLOOKUP($B20,'Ibri Pop Settlements'!$H$2:$AJ$240,R$29,FALSE)</f>
        <v>373.47420043108139</v>
      </c>
      <c r="S20" s="34">
        <f>VLOOKUP($B20,'Ibri Pop Settlements'!$H$2:$AJ$240,S$29,FALSE)</f>
        <v>383.49466591191134</v>
      </c>
      <c r="T20" s="34">
        <f>VLOOKUP($B20,'Ibri Pop Settlements'!$H$2:$AJ$240,T$29,FALSE)</f>
        <v>391.83598767716791</v>
      </c>
      <c r="U20" s="34">
        <f>VLOOKUP($B20,'Ibri Pop Settlements'!$H$2:$AJ$240,U$29,FALSE)</f>
        <v>399.31084304094333</v>
      </c>
      <c r="V20" s="34">
        <f>VLOOKUP($B20,'Ibri Pop Settlements'!$H$2:$AJ$240,V$29,FALSE)</f>
        <v>407.12695659723528</v>
      </c>
      <c r="W20" s="34">
        <f>VLOOKUP($B20,'Ibri Pop Settlements'!$H$2:$AJ$240,W$29,FALSE)</f>
        <v>415.18639325331958</v>
      </c>
      <c r="X20" s="34">
        <f>VLOOKUP($B20,'Ibri Pop Settlements'!$H$2:$AJ$240,X$29,FALSE)</f>
        <v>423.50589811927819</v>
      </c>
      <c r="Y20" s="34">
        <f>VLOOKUP($B20,'Ibri Pop Settlements'!$H$2:$AJ$240,Y$29,FALSE)</f>
        <v>432.1022163054339</v>
      </c>
      <c r="Z20" s="34">
        <f>VLOOKUP($B20,'Ibri Pop Settlements'!$H$2:$AJ$240,Z$29,FALSE)</f>
        <v>440.99209293511382</v>
      </c>
      <c r="AA20" s="34">
        <f>VLOOKUP($B20,'Ibri Pop Settlements'!$H$2:$AJ$240,AA$29,FALSE)</f>
        <v>450.19227310960116</v>
      </c>
      <c r="AB20" s="34">
        <f>VLOOKUP($B20,'Ibri Pop Settlements'!$H$2:$AJ$240,AB$29,FALSE)</f>
        <v>459.71950196652034</v>
      </c>
      <c r="AC20" s="34">
        <f>VLOOKUP($B20,'Ibri Pop Settlements'!$H$2:$AJ$240,AC$29,FALSE)</f>
        <v>469.59052459456365</v>
      </c>
      <c r="AD20" s="34">
        <f>VLOOKUP($B20,'Ibri Pop Settlements'!$H$2:$AJ$240,AD$29,FALSE)</f>
        <v>479.82208613975831</v>
      </c>
      <c r="AE20" s="44">
        <f>AD20*(1+Pop_Wilayat!AH$10)</f>
        <v>490.42052225795368</v>
      </c>
      <c r="AF20" s="44">
        <f>AE20*(1+Pop_Wilayat!AI$10)</f>
        <v>501.40018557026542</v>
      </c>
      <c r="AG20" s="44">
        <f>AF20*(1+Pop_Wilayat!AJ$10)</f>
        <v>512.77608452095808</v>
      </c>
      <c r="AH20" s="44">
        <f>AG20*(1+Pop_Wilayat!AK$10)</f>
        <v>524.56391567682522</v>
      </c>
      <c r="AI20" s="44">
        <f>AH20*(1+Pop_Wilayat!AL$10)</f>
        <v>536.78009776250019</v>
      </c>
      <c r="AJ20" s="44">
        <f>AI20*(1+Pop_Wilayat!AM$10)</f>
        <v>549.44180753078501</v>
      </c>
      <c r="AK20" s="44">
        <f>AJ20*(1+Pop_Wilayat!AN$10)</f>
        <v>562.56701757309588</v>
      </c>
      <c r="AL20" s="44">
        <f>AK20*(1+Pop_Wilayat!AO$10)</f>
        <v>576.06862599485021</v>
      </c>
      <c r="AM20" s="44">
        <f>AL20*(1+Pop_Wilayat!AP$10)</f>
        <v>589.89427301872661</v>
      </c>
      <c r="AN20" s="44">
        <f>AM20*(1+Pop_Wilayat!AQ$10)</f>
        <v>604.0517355711761</v>
      </c>
      <c r="AO20" s="44">
        <f>AN20*(1+Pop_Wilayat!AR$10)</f>
        <v>618.54897722488431</v>
      </c>
      <c r="AP20" s="44">
        <f>AO20*(1+Pop_Wilayat!AS$10)</f>
        <v>633.39415267828156</v>
      </c>
      <c r="AQ20" s="44">
        <f>AP20*(1+Pop_Wilayat!AT$10)</f>
        <v>648.59561234256034</v>
      </c>
      <c r="AR20" s="44">
        <f>AQ20*(1+Pop_Wilayat!AU$10)</f>
        <v>664.16190703878181</v>
      </c>
      <c r="AS20" s="44">
        <f>AR20*(1+Pop_Wilayat!AV$10)</f>
        <v>680.10179280771263</v>
      </c>
      <c r="AT20" s="44">
        <f>AS20*(1+Pop_Wilayat!AW$10)</f>
        <v>696.42423583509776</v>
      </c>
      <c r="AU20" s="44">
        <f>AT20*(1+Pop_Wilayat!AX$10)</f>
        <v>713.13841749514017</v>
      </c>
      <c r="AV20" s="44">
        <f>AU20*(1+Pop_Wilayat!AY$10)</f>
        <v>730.25373951502354</v>
      </c>
      <c r="AW20" s="44">
        <f>AV20*(1+Pop_Wilayat!AZ$10)</f>
        <v>747.77982926338416</v>
      </c>
      <c r="AX20" s="44">
        <f>AW20*(1+Pop_Wilayat!BA$10)</f>
        <v>765.72654516570537</v>
      </c>
      <c r="AY20" s="44">
        <f>AX20*(1+Pop_Wilayat!BB$10)</f>
        <v>784.1039822496823</v>
      </c>
      <c r="AZ20" s="44">
        <f>AY20*(1+Pop_Wilayat!BC$10)</f>
        <v>802.92247782367474</v>
      </c>
      <c r="BA20" s="44">
        <f>AZ20*(1+Pop_Wilayat!BD$10)</f>
        <v>822.19261729144296</v>
      </c>
      <c r="BB20" s="44">
        <f>BA20*(1+Pop_Wilayat!BE$10)</f>
        <v>841.92524010643763</v>
      </c>
      <c r="BC20" s="44">
        <f>BB20*(1+Pop_Wilayat!BF$10)</f>
        <v>862.13144586899216</v>
      </c>
      <c r="BD20" s="44">
        <f>BC20*(1+Pop_Wilayat!BG$10)</f>
        <v>882.82260056984796</v>
      </c>
      <c r="BE20" s="44">
        <f>BD20*(1+Pop_Wilayat!BH$10)</f>
        <v>904.01034298352431</v>
      </c>
      <c r="BF20" s="44">
        <f>BE20*(1+Pop_Wilayat!BI$10)</f>
        <v>925.70659121512892</v>
      </c>
      <c r="BG20" s="44">
        <f>BF20*(1+Pop_Wilayat!BJ$10)</f>
        <v>947.92354940429209</v>
      </c>
      <c r="BH20" s="44">
        <f>BG20*(1+Pop_Wilayat!BK$10)</f>
        <v>970.67371458999514</v>
      </c>
      <c r="BI20" s="44">
        <f>BH20*(1+Pop_Wilayat!BL$10)</f>
        <v>993.96988374015507</v>
      </c>
      <c r="BJ20" s="44">
        <f>BI20*(1+Pop_Wilayat!BM$10)</f>
        <v>1017.8251609499188</v>
      </c>
      <c r="BK20" s="44">
        <f>BJ20*(1+Pop_Wilayat!BN$10)</f>
        <v>1042.2529648127168</v>
      </c>
      <c r="BL20" s="44">
        <f>BK20*(1+Pop_Wilayat!BO$10)</f>
        <v>1067.267035968222</v>
      </c>
      <c r="BM20" s="44">
        <f>BL20*(1+Pop_Wilayat!BP$10)</f>
        <v>1092.8814448314592</v>
      </c>
      <c r="BN20" s="44">
        <f>BM20*(1+Pop_Wilayat!BQ$10)</f>
        <v>1119.1105995074142</v>
      </c>
      <c r="BO20" s="44">
        <f>BN20*(1+Pop_Wilayat!BR$10)</f>
        <v>1145.9692538955921</v>
      </c>
      <c r="BP20" s="44">
        <f>BO20*(1+Pop_Wilayat!BS$10)</f>
        <v>1173.4725159890863</v>
      </c>
      <c r="BQ20" s="44">
        <f>BP20*(1+Pop_Wilayat!BT$10)</f>
        <v>1201.6358563728245</v>
      </c>
      <c r="BR20" s="44">
        <f>BQ20*(1+Pop_Wilayat!BU$10)</f>
        <v>1230.4751169257722</v>
      </c>
      <c r="BS20" s="44">
        <f>BR20*(1+Pop_Wilayat!BV$10)</f>
        <v>1260.0065197319907</v>
      </c>
      <c r="BT20" s="44">
        <f>BS20*(1+Pop_Wilayat!BW$10)</f>
        <v>1290.2466762055585</v>
      </c>
      <c r="BU20" s="44">
        <f>BT20*(1+Pop_Wilayat!BX$10)</f>
        <v>1321.2125964344918</v>
      </c>
      <c r="BV20" s="44">
        <f>BU20*(1+Pop_Wilayat!BY$10)</f>
        <v>1352.9216987489197</v>
      </c>
      <c r="BW20" s="44">
        <f>BV20*(1+Pop_Wilayat!BZ$10)</f>
        <v>1385.3918195188937</v>
      </c>
      <c r="BX20" s="44">
        <f>BW20*(1+Pop_Wilayat!CA$10)</f>
        <v>1418.6412231873471</v>
      </c>
      <c r="BY20" s="44">
        <f>BX20*(1+Pop_Wilayat!CB$10)</f>
        <v>1452.6886125438434</v>
      </c>
      <c r="BZ20" s="44">
        <f>BY20*(1+Pop_Wilayat!CC$10)</f>
        <v>1487.5531392448956</v>
      </c>
      <c r="CA20" s="44">
        <f>BZ20*(1+Pop_Wilayat!CD$10)</f>
        <v>1523.2544145867732</v>
      </c>
      <c r="CB20" s="44">
        <f>CA20*(1+Pop_Wilayat!CE$10)</f>
        <v>1559.8125205368558</v>
      </c>
    </row>
    <row r="21" spans="1:80" x14ac:dyDescent="0.25">
      <c r="A21" s="33">
        <v>20</v>
      </c>
      <c r="B21" s="36" t="s">
        <v>53</v>
      </c>
      <c r="C21" s="34">
        <f>VLOOKUP($B21,'Ibri Pop Settlements'!$H$2:$AJ$240,C$29,FALSE)</f>
        <v>452.69143933291241</v>
      </c>
      <c r="D21" s="34">
        <f>VLOOKUP($B21,'Ibri Pop Settlements'!$H$2:$AJ$240,D$29,FALSE)</f>
        <v>465.59417386949991</v>
      </c>
      <c r="E21" s="34">
        <f>VLOOKUP($B21,'Ibri Pop Settlements'!$H$2:$AJ$240,E$29,FALSE)</f>
        <v>476.74931963162135</v>
      </c>
      <c r="F21" s="34">
        <f>VLOOKUP($B21,'Ibri Pop Settlements'!$H$2:$AJ$240,F$29,FALSE)</f>
        <v>489.82199386035575</v>
      </c>
      <c r="G21" s="34">
        <f>VLOOKUP($B21,'Ibri Pop Settlements'!$H$2:$AJ$240,G$29,FALSE)</f>
        <v>503.08236267444647</v>
      </c>
      <c r="H21" s="34">
        <f>VLOOKUP($B21,'Ibri Pop Settlements'!$H$2:$AJ$240,H$29,FALSE)</f>
        <v>516.56339944699664</v>
      </c>
      <c r="I21" s="34">
        <f>VLOOKUP($B21,'Ibri Pop Settlements'!$H$2:$AJ$240,I$29,FALSE)</f>
        <v>530.27017700463739</v>
      </c>
      <c r="J21" s="34">
        <f>VLOOKUP($B21,'Ibri Pop Settlements'!$H$2:$AJ$240,J$29,FALSE)</f>
        <v>541.8717315103089</v>
      </c>
      <c r="K21" s="34">
        <f>VLOOKUP($B21,'Ibri Pop Settlements'!$H$2:$AJ$240,K$29,FALSE)</f>
        <v>555.94628899871543</v>
      </c>
      <c r="L21" s="34">
        <f>VLOOKUP($B21,'Ibri Pop Settlements'!$H$2:$AJ$240,L$29,FALSE)</f>
        <v>570.28716988526264</v>
      </c>
      <c r="M21" s="34">
        <f>VLOOKUP($B21,'Ibri Pop Settlements'!$H$2:$AJ$240,M$29,FALSE)</f>
        <v>577.63262284731445</v>
      </c>
      <c r="N21" s="34">
        <f>VLOOKUP($B21,'Ibri Pop Settlements'!$H$2:$AJ$240,N$29,FALSE)</f>
        <v>599.9403779582417</v>
      </c>
      <c r="O21" s="34">
        <f>VLOOKUP($B21,'Ibri Pop Settlements'!$H$2:$AJ$240,O$29,FALSE)</f>
        <v>612.45250484422286</v>
      </c>
      <c r="P21" s="34">
        <f>VLOOKUP($B21,'Ibri Pop Settlements'!$H$2:$AJ$240,P$29,FALSE)</f>
        <v>628.27465110709545</v>
      </c>
      <c r="Q21" s="34">
        <f>VLOOKUP($B21,'Ibri Pop Settlements'!$H$2:$AJ$240,Q$29,FALSE)</f>
        <v>644.7207550456119</v>
      </c>
      <c r="R21" s="34">
        <f>VLOOKUP($B21,'Ibri Pop Settlements'!$H$2:$AJ$240,R$29,FALSE)</f>
        <v>661.74516122009106</v>
      </c>
      <c r="S21" s="34">
        <f>VLOOKUP($B21,'Ibri Pop Settlements'!$H$2:$AJ$240,S$29,FALSE)</f>
        <v>679.50005442947031</v>
      </c>
      <c r="T21" s="34">
        <f>VLOOKUP($B21,'Ibri Pop Settlements'!$H$2:$AJ$240,T$29,FALSE)</f>
        <v>694.27973481962078</v>
      </c>
      <c r="U21" s="34">
        <f>VLOOKUP($B21,'Ibri Pop Settlements'!$H$2:$AJ$240,U$29,FALSE)</f>
        <v>707.52415535011255</v>
      </c>
      <c r="V21" s="34">
        <f>VLOOKUP($B21,'Ibri Pop Settlements'!$H$2:$AJ$240,V$29,FALSE)</f>
        <v>721.37323868559565</v>
      </c>
      <c r="W21" s="34">
        <f>VLOOKUP($B21,'Ibri Pop Settlements'!$H$2:$AJ$240,W$29,FALSE)</f>
        <v>735.65345724732674</v>
      </c>
      <c r="X21" s="34">
        <f>VLOOKUP($B21,'Ibri Pop Settlements'!$H$2:$AJ$240,X$29,FALSE)</f>
        <v>750.39448107826479</v>
      </c>
      <c r="Y21" s="34">
        <f>VLOOKUP($B21,'Ibri Pop Settlements'!$H$2:$AJ$240,Y$29,FALSE)</f>
        <v>765.62598022179543</v>
      </c>
      <c r="Z21" s="34">
        <f>VLOOKUP($B21,'Ibri Pop Settlements'!$H$2:$AJ$240,Z$29,FALSE)</f>
        <v>781.37762474434624</v>
      </c>
      <c r="AA21" s="34">
        <f>VLOOKUP($B21,'Ibri Pop Settlements'!$H$2:$AJ$240,AA$29,FALSE)</f>
        <v>797.67908467328573</v>
      </c>
      <c r="AB21" s="34">
        <f>VLOOKUP($B21,'Ibri Pop Settlements'!$H$2:$AJ$240,AB$29,FALSE)</f>
        <v>814.56003010037455</v>
      </c>
      <c r="AC21" s="34">
        <f>VLOOKUP($B21,'Ibri Pop Settlements'!$H$2:$AJ$240,AC$29,FALSE)</f>
        <v>832.05013103067176</v>
      </c>
      <c r="AD21" s="34">
        <f>VLOOKUP($B21,'Ibri Pop Settlements'!$H$2:$AJ$240,AD$29,FALSE)</f>
        <v>850.17905757082656</v>
      </c>
      <c r="AE21" s="44">
        <f>AD21*(1+Pop_Wilayat!AH$10)</f>
        <v>868.9580356357659</v>
      </c>
      <c r="AF21" s="44">
        <f>AE21*(1+Pop_Wilayat!AI$10)</f>
        <v>888.41249610548937</v>
      </c>
      <c r="AG21" s="44">
        <f>AF21*(1+Pop_Wilayat!AJ$10)</f>
        <v>908.56903188884598</v>
      </c>
      <c r="AH21" s="44">
        <f>AG21*(1+Pop_Wilayat!AK$10)</f>
        <v>929.45545515361448</v>
      </c>
      <c r="AI21" s="44">
        <f>AH21*(1+Pop_Wilayat!AL$10)</f>
        <v>951.100857632415</v>
      </c>
      <c r="AJ21" s="44">
        <f>AI21*(1+Pop_Wilayat!AM$10)</f>
        <v>973.5356741800224</v>
      </c>
      <c r="AK21" s="44">
        <f>AJ21*(1+Pop_Wilayat!AN$10)</f>
        <v>996.7917497682995</v>
      </c>
      <c r="AL21" s="44">
        <f>AK21*(1+Pop_Wilayat!AO$10)</f>
        <v>1020.7147517627387</v>
      </c>
      <c r="AM21" s="44">
        <f>AL21*(1+Pop_Wilayat!AP$10)</f>
        <v>1045.2119058050446</v>
      </c>
      <c r="AN21" s="44">
        <f>AM21*(1+Pop_Wilayat!AQ$10)</f>
        <v>1070.2969915443657</v>
      </c>
      <c r="AO21" s="44">
        <f>AN21*(1+Pop_Wilayat!AR$10)</f>
        <v>1095.9841193414304</v>
      </c>
      <c r="AP21" s="44">
        <f>AO21*(1+Pop_Wilayat!AS$10)</f>
        <v>1122.2877382056247</v>
      </c>
      <c r="AQ21" s="44">
        <f>AP21*(1+Pop_Wilayat!AT$10)</f>
        <v>1149.2226439225597</v>
      </c>
      <c r="AR21" s="44">
        <f>AQ21*(1+Pop_Wilayat!AU$10)</f>
        <v>1176.8039873767011</v>
      </c>
      <c r="AS21" s="44">
        <f>AR21*(1+Pop_Wilayat!AV$10)</f>
        <v>1205.0472830737419</v>
      </c>
      <c r="AT21" s="44">
        <f>AS21*(1+Pop_Wilayat!AW$10)</f>
        <v>1233.9684178675118</v>
      </c>
      <c r="AU21" s="44">
        <f>AT21*(1+Pop_Wilayat!AX$10)</f>
        <v>1263.5836598963322</v>
      </c>
      <c r="AV21" s="44">
        <f>AU21*(1+Pop_Wilayat!AY$10)</f>
        <v>1293.9096677338441</v>
      </c>
      <c r="AW21" s="44">
        <f>AV21*(1+Pop_Wilayat!AZ$10)</f>
        <v>1324.9634997594565</v>
      </c>
      <c r="AX21" s="44">
        <f>AW21*(1+Pop_Wilayat!BA$10)</f>
        <v>1356.7626237536833</v>
      </c>
      <c r="AY21" s="44">
        <f>AX21*(1+Pop_Wilayat!BB$10)</f>
        <v>1389.3249267237718</v>
      </c>
      <c r="AZ21" s="44">
        <f>AY21*(1+Pop_Wilayat!BC$10)</f>
        <v>1422.6687249651422</v>
      </c>
      <c r="BA21" s="44">
        <f>AZ21*(1+Pop_Wilayat!BD$10)</f>
        <v>1456.8127743643056</v>
      </c>
      <c r="BB21" s="44">
        <f>BA21*(1+Pop_Wilayat!BE$10)</f>
        <v>1491.7762809490489</v>
      </c>
      <c r="BC21" s="44">
        <f>BB21*(1+Pop_Wilayat!BF$10)</f>
        <v>1527.5789116918261</v>
      </c>
      <c r="BD21" s="44">
        <f>BC21*(1+Pop_Wilayat!BG$10)</f>
        <v>1564.24080557243</v>
      </c>
      <c r="BE21" s="44">
        <f>BD21*(1+Pop_Wilayat!BH$10)</f>
        <v>1601.7825849061683</v>
      </c>
      <c r="BF21" s="44">
        <f>BE21*(1+Pop_Wilayat!BI$10)</f>
        <v>1640.2253669439162</v>
      </c>
      <c r="BG21" s="44">
        <f>BF21*(1+Pop_Wilayat!BJ$10)</f>
        <v>1679.5907757505702</v>
      </c>
      <c r="BH21" s="44">
        <f>BG21*(1+Pop_Wilayat!BK$10)</f>
        <v>1719.9009543685838</v>
      </c>
      <c r="BI21" s="44">
        <f>BH21*(1+Pop_Wilayat!BL$10)</f>
        <v>1761.1785772734299</v>
      </c>
      <c r="BJ21" s="44">
        <f>BI21*(1+Pop_Wilayat!BM$10)</f>
        <v>1803.4468631279924</v>
      </c>
      <c r="BK21" s="44">
        <f>BJ21*(1+Pop_Wilayat!BN$10)</f>
        <v>1846.7295878430643</v>
      </c>
      <c r="BL21" s="44">
        <f>BK21*(1+Pop_Wilayat!BO$10)</f>
        <v>1891.0510979512978</v>
      </c>
      <c r="BM21" s="44">
        <f>BL21*(1+Pop_Wilayat!BP$10)</f>
        <v>1936.4363243021289</v>
      </c>
      <c r="BN21" s="44">
        <f>BM21*(1+Pop_Wilayat!BQ$10)</f>
        <v>1982.9107960853801</v>
      </c>
      <c r="BO21" s="44">
        <f>BN21*(1+Pop_Wilayat!BR$10)</f>
        <v>2030.5006551914291</v>
      </c>
      <c r="BP21" s="44">
        <f>BO21*(1+Pop_Wilayat!BS$10)</f>
        <v>2079.2326709160234</v>
      </c>
      <c r="BQ21" s="44">
        <f>BP21*(1+Pop_Wilayat!BT$10)</f>
        <v>2129.1342550180079</v>
      </c>
      <c r="BR21" s="44">
        <f>BQ21*(1+Pop_Wilayat!BU$10)</f>
        <v>2180.2334771384403</v>
      </c>
      <c r="BS21" s="44">
        <f>BR21*(1+Pop_Wilayat!BV$10)</f>
        <v>2232.5590805897627</v>
      </c>
      <c r="BT21" s="44">
        <f>BS21*(1+Pop_Wilayat!BW$10)</f>
        <v>2286.1404985239169</v>
      </c>
      <c r="BU21" s="44">
        <f>BT21*(1+Pop_Wilayat!BX$10)</f>
        <v>2341.0078704884909</v>
      </c>
      <c r="BV21" s="44">
        <f>BU21*(1+Pop_Wilayat!BY$10)</f>
        <v>2397.1920593802147</v>
      </c>
      <c r="BW21" s="44">
        <f>BV21*(1+Pop_Wilayat!BZ$10)</f>
        <v>2454.7246688053401</v>
      </c>
      <c r="BX21" s="44">
        <f>BW21*(1+Pop_Wilayat!CA$10)</f>
        <v>2513.6380608566683</v>
      </c>
      <c r="BY21" s="44">
        <f>BX21*(1+Pop_Wilayat!CB$10)</f>
        <v>2573.9653743172285</v>
      </c>
      <c r="BZ21" s="44">
        <f>BY21*(1+Pop_Wilayat!CC$10)</f>
        <v>2635.7405433008421</v>
      </c>
      <c r="CA21" s="44">
        <f>BZ21*(1+Pop_Wilayat!CD$10)</f>
        <v>2698.9983163400625</v>
      </c>
      <c r="CB21" s="44">
        <f>CA21*(1+Pop_Wilayat!CE$10)</f>
        <v>2763.7742759322241</v>
      </c>
    </row>
    <row r="22" spans="1:80" x14ac:dyDescent="0.25">
      <c r="A22" s="33">
        <v>21</v>
      </c>
      <c r="B22" s="36" t="s">
        <v>48</v>
      </c>
      <c r="C22" s="34">
        <f>VLOOKUP($B22,'Ibri Pop Settlements'!$H$2:$AJ$240,C$29,FALSE)</f>
        <v>126.28731140188543</v>
      </c>
      <c r="D22" s="34">
        <f>VLOOKUP($B22,'Ibri Pop Settlements'!$H$2:$AJ$240,D$29,FALSE)</f>
        <v>129.88678670179183</v>
      </c>
      <c r="E22" s="34">
        <f>VLOOKUP($B22,'Ibri Pop Settlements'!$H$2:$AJ$240,E$29,FALSE)</f>
        <v>132.99873723628923</v>
      </c>
      <c r="F22" s="34">
        <f>VLOOKUP($B22,'Ibri Pop Settlements'!$H$2:$AJ$240,F$29,FALSE)</f>
        <v>136.64562060482027</v>
      </c>
      <c r="G22" s="34">
        <f>VLOOKUP($B22,'Ibri Pop Settlements'!$H$2:$AJ$240,G$29,FALSE)</f>
        <v>140.34486512377262</v>
      </c>
      <c r="H22" s="34">
        <f>VLOOKUP($B22,'Ibri Pop Settlements'!$H$2:$AJ$240,H$29,FALSE)</f>
        <v>144.10566937362566</v>
      </c>
      <c r="I22" s="34">
        <f>VLOOKUP($B22,'Ibri Pop Settlements'!$H$2:$AJ$240,I$29,FALSE)</f>
        <v>147.929448520607</v>
      </c>
      <c r="J22" s="34">
        <f>VLOOKUP($B22,'Ibri Pop Settlements'!$H$2:$AJ$240,J$29,FALSE)</f>
        <v>151.1659336831334</v>
      </c>
      <c r="K22" s="34">
        <f>VLOOKUP($B22,'Ibri Pop Settlements'!$H$2:$AJ$240,K$29,FALSE)</f>
        <v>155.0923123816159</v>
      </c>
      <c r="L22" s="34">
        <f>VLOOKUP($B22,'Ibri Pop Settlements'!$H$2:$AJ$240,L$29,FALSE)</f>
        <v>159.09298730704754</v>
      </c>
      <c r="M22" s="34">
        <f>VLOOKUP($B22,'Ibri Pop Settlements'!$H$2:$AJ$240,M$29,FALSE)</f>
        <v>161.14214800461562</v>
      </c>
      <c r="N22" s="34">
        <f>VLOOKUP($B22,'Ibri Pop Settlements'!$H$2:$AJ$240,N$29,FALSE)</f>
        <v>167.3653414904966</v>
      </c>
      <c r="O22" s="34">
        <f>VLOOKUP($B22,'Ibri Pop Settlements'!$H$2:$AJ$240,O$29,FALSE)</f>
        <v>170.85584899087763</v>
      </c>
      <c r="P22" s="34">
        <f>VLOOKUP($B22,'Ibri Pop Settlements'!$H$2:$AJ$240,P$29,FALSE)</f>
        <v>175.2697524547691</v>
      </c>
      <c r="Q22" s="34">
        <f>VLOOKUP($B22,'Ibri Pop Settlements'!$H$2:$AJ$240,Q$29,FALSE)</f>
        <v>179.85772136465567</v>
      </c>
      <c r="R22" s="34">
        <f>VLOOKUP($B22,'Ibri Pop Settlements'!$H$2:$AJ$240,R$29,FALSE)</f>
        <v>184.60701922448891</v>
      </c>
      <c r="S22" s="34">
        <f>VLOOKUP($B22,'Ibri Pop Settlements'!$H$2:$AJ$240,S$29,FALSE)</f>
        <v>189.56010102109687</v>
      </c>
      <c r="T22" s="34">
        <f>VLOOKUP($B22,'Ibri Pop Settlements'!$H$2:$AJ$240,T$29,FALSE)</f>
        <v>193.68318782521609</v>
      </c>
      <c r="U22" s="34">
        <f>VLOOKUP($B22,'Ibri Pop Settlements'!$H$2:$AJ$240,U$29,FALSE)</f>
        <v>197.3779832521773</v>
      </c>
      <c r="V22" s="34">
        <f>VLOOKUP($B22,'Ibri Pop Settlements'!$H$2:$AJ$240,V$29,FALSE)</f>
        <v>201.24146143589579</v>
      </c>
      <c r="W22" s="34">
        <f>VLOOKUP($B22,'Ibri Pop Settlements'!$H$2:$AJ$240,W$29,FALSE)</f>
        <v>205.22521339517698</v>
      </c>
      <c r="X22" s="34">
        <f>VLOOKUP($B22,'Ibri Pop Settlements'!$H$2:$AJ$240,X$29,FALSE)</f>
        <v>209.33751618063181</v>
      </c>
      <c r="Y22" s="34">
        <f>VLOOKUP($B22,'Ibri Pop Settlements'!$H$2:$AJ$240,Y$29,FALSE)</f>
        <v>213.58664684299012</v>
      </c>
      <c r="Z22" s="34">
        <f>VLOOKUP($B22,'Ibri Pop Settlements'!$H$2:$AJ$240,Z$29,FALSE)</f>
        <v>217.9808824394099</v>
      </c>
      <c r="AA22" s="34">
        <f>VLOOKUP($B22,'Ibri Pop Settlements'!$H$2:$AJ$240,AA$29,FALSE)</f>
        <v>222.52850001615266</v>
      </c>
      <c r="AB22" s="34">
        <f>VLOOKUP($B22,'Ibri Pop Settlements'!$H$2:$AJ$240,AB$29,FALSE)</f>
        <v>227.23777663744355</v>
      </c>
      <c r="AC22" s="34">
        <f>VLOOKUP($B22,'Ibri Pop Settlements'!$H$2:$AJ$240,AC$29,FALSE)</f>
        <v>232.11698934332045</v>
      </c>
      <c r="AD22" s="34">
        <f>VLOOKUP($B22,'Ibri Pop Settlements'!$H$2:$AJ$240,AD$29,FALSE)</f>
        <v>237.1744152021619</v>
      </c>
      <c r="AE22" s="44">
        <f>AD22*(1+Pop_Wilayat!AH$10)</f>
        <v>242.4131859069733</v>
      </c>
      <c r="AF22" s="44">
        <f>AE22*(1+Pop_Wilayat!AI$10)</f>
        <v>247.84039590925667</v>
      </c>
      <c r="AG22" s="44">
        <f>AF22*(1+Pop_Wilayat!AJ$10)</f>
        <v>253.46346383165229</v>
      </c>
      <c r="AH22" s="44">
        <f>AG22*(1+Pop_Wilayat!AK$10)</f>
        <v>259.29014843341173</v>
      </c>
      <c r="AI22" s="44">
        <f>AH22*(1+Pop_Wilayat!AL$10)</f>
        <v>265.32856543393547</v>
      </c>
      <c r="AJ22" s="44">
        <f>AI22*(1+Pop_Wilayat!AM$10)</f>
        <v>271.58720524335382</v>
      </c>
      <c r="AK22" s="44">
        <f>AJ22*(1+Pop_Wilayat!AN$10)</f>
        <v>278.07495165210065</v>
      </c>
      <c r="AL22" s="44">
        <f>AK22*(1+Pop_Wilayat!AO$10)</f>
        <v>284.74875049175108</v>
      </c>
      <c r="AM22" s="44">
        <f>AL22*(1+Pop_Wilayat!AP$10)</f>
        <v>291.58272050355311</v>
      </c>
      <c r="AN22" s="44">
        <f>AM22*(1+Pop_Wilayat!AQ$10)</f>
        <v>298.58070579563838</v>
      </c>
      <c r="AO22" s="44">
        <f>AN22*(1+Pop_Wilayat!AR$10)</f>
        <v>305.74664273473371</v>
      </c>
      <c r="AP22" s="44">
        <f>AO22*(1+Pop_Wilayat!AS$10)</f>
        <v>313.08456216036734</v>
      </c>
      <c r="AQ22" s="44">
        <f>AP22*(1+Pop_Wilayat!AT$10)</f>
        <v>320.59859165221616</v>
      </c>
      <c r="AR22" s="44">
        <f>AQ22*(1+Pop_Wilayat!AU$10)</f>
        <v>328.29295785186935</v>
      </c>
      <c r="AS22" s="44">
        <f>AR22*(1+Pop_Wilayat!AV$10)</f>
        <v>336.17198884031421</v>
      </c>
      <c r="AT22" s="44">
        <f>AS22*(1+Pop_Wilayat!AW$10)</f>
        <v>344.24011657248178</v>
      </c>
      <c r="AU22" s="44">
        <f>AT22*(1+Pop_Wilayat!AX$10)</f>
        <v>352.50187937022133</v>
      </c>
      <c r="AV22" s="44">
        <f>AU22*(1+Pop_Wilayat!AY$10)</f>
        <v>360.96192447510663</v>
      </c>
      <c r="AW22" s="44">
        <f>AV22*(1+Pop_Wilayat!AZ$10)</f>
        <v>369.62501066250917</v>
      </c>
      <c r="AX22" s="44">
        <f>AW22*(1+Pop_Wilayat!BA$10)</f>
        <v>378.49601091840941</v>
      </c>
      <c r="AY22" s="44">
        <f>AX22*(1+Pop_Wilayat!BB$10)</f>
        <v>387.57991518045122</v>
      </c>
      <c r="AZ22" s="44">
        <f>AY22*(1+Pop_Wilayat!BC$10)</f>
        <v>396.88183314478204</v>
      </c>
      <c r="BA22" s="44">
        <f>AZ22*(1+Pop_Wilayat!BD$10)</f>
        <v>406.40699714025681</v>
      </c>
      <c r="BB22" s="44">
        <f>BA22*(1+Pop_Wilayat!BE$10)</f>
        <v>416.16076507162296</v>
      </c>
      <c r="BC22" s="44">
        <f>BB22*(1+Pop_Wilayat!BF$10)</f>
        <v>426.14862343334192</v>
      </c>
      <c r="BD22" s="44">
        <f>BC22*(1+Pop_Wilayat!BG$10)</f>
        <v>436.37619039574213</v>
      </c>
      <c r="BE22" s="44">
        <f>BD22*(1+Pop_Wilayat!BH$10)</f>
        <v>446.84921896523997</v>
      </c>
      <c r="BF22" s="44">
        <f>BE22*(1+Pop_Wilayat!BI$10)</f>
        <v>457.57360022040575</v>
      </c>
      <c r="BG22" s="44">
        <f>BF22*(1+Pop_Wilayat!BJ$10)</f>
        <v>468.55536662569551</v>
      </c>
      <c r="BH22" s="44">
        <f>BG22*(1+Pop_Wilayat!BK$10)</f>
        <v>479.80069542471222</v>
      </c>
      <c r="BI22" s="44">
        <f>BH22*(1+Pop_Wilayat!BL$10)</f>
        <v>491.3159121149053</v>
      </c>
      <c r="BJ22" s="44">
        <f>BI22*(1+Pop_Wilayat!BM$10)</f>
        <v>503.10749400566306</v>
      </c>
      <c r="BK22" s="44">
        <f>BJ22*(1+Pop_Wilayat!BN$10)</f>
        <v>515.18207386179893</v>
      </c>
      <c r="BL22" s="44">
        <f>BK22*(1+Pop_Wilayat!BO$10)</f>
        <v>527.5464436344821</v>
      </c>
      <c r="BM22" s="44">
        <f>BL22*(1+Pop_Wilayat!BP$10)</f>
        <v>540.20755828170968</v>
      </c>
      <c r="BN22" s="44">
        <f>BM22*(1+Pop_Wilayat!BQ$10)</f>
        <v>553.17253968047078</v>
      </c>
      <c r="BO22" s="44">
        <f>BN22*(1+Pop_Wilayat!BR$10)</f>
        <v>566.44868063280205</v>
      </c>
      <c r="BP22" s="44">
        <f>BO22*(1+Pop_Wilayat!BS$10)</f>
        <v>580.04344896798932</v>
      </c>
      <c r="BQ22" s="44">
        <f>BP22*(1+Pop_Wilayat!BT$10)</f>
        <v>593.96449174322106</v>
      </c>
      <c r="BR22" s="44">
        <f>BQ22*(1+Pop_Wilayat!BU$10)</f>
        <v>608.21963954505839</v>
      </c>
      <c r="BS22" s="44">
        <f>BR22*(1+Pop_Wilayat!BV$10)</f>
        <v>622.81691089413982</v>
      </c>
      <c r="BT22" s="44">
        <f>BS22*(1+Pop_Wilayat!BW$10)</f>
        <v>637.76451675559917</v>
      </c>
      <c r="BU22" s="44">
        <f>BT22*(1+Pop_Wilayat!BX$10)</f>
        <v>653.07086515773358</v>
      </c>
      <c r="BV22" s="44">
        <f>BU22*(1+Pop_Wilayat!BY$10)</f>
        <v>668.74456592151921</v>
      </c>
      <c r="BW22" s="44">
        <f>BV22*(1+Pop_Wilayat!BZ$10)</f>
        <v>684.79443550363567</v>
      </c>
      <c r="BX22" s="44">
        <f>BW22*(1+Pop_Wilayat!CA$10)</f>
        <v>701.22950195572298</v>
      </c>
      <c r="BY22" s="44">
        <f>BX22*(1+Pop_Wilayat!CB$10)</f>
        <v>718.05901000266033</v>
      </c>
      <c r="BZ22" s="44">
        <f>BY22*(1+Pop_Wilayat!CC$10)</f>
        <v>735.29242624272422</v>
      </c>
      <c r="CA22" s="44">
        <f>BZ22*(1+Pop_Wilayat!CD$10)</f>
        <v>752.93944447254967</v>
      </c>
      <c r="CB22" s="44">
        <f>CA22*(1+Pop_Wilayat!CE$10)</f>
        <v>771.00999113989087</v>
      </c>
    </row>
    <row r="23" spans="1:80" x14ac:dyDescent="0.25">
      <c r="A23" s="33">
        <v>22</v>
      </c>
      <c r="B23" s="36" t="s">
        <v>52</v>
      </c>
      <c r="C23" s="34">
        <f>VLOOKUP($B23,'Ibri Pop Settlements'!$H$2:$AJ$240,C$29,FALSE)</f>
        <v>1515.4477368226253</v>
      </c>
      <c r="D23" s="34">
        <f>VLOOKUP($B23,'Ibri Pop Settlements'!$H$2:$AJ$240,D$29,FALSE)</f>
        <v>1558.641440421502</v>
      </c>
      <c r="E23" s="34">
        <f>VLOOKUP($B23,'Ibri Pop Settlements'!$H$2:$AJ$240,E$29,FALSE)</f>
        <v>1595.9848468354708</v>
      </c>
      <c r="F23" s="34">
        <f>VLOOKUP($B23,'Ibri Pop Settlements'!$H$2:$AJ$240,F$29,FALSE)</f>
        <v>1639.7474472578433</v>
      </c>
      <c r="G23" s="34">
        <f>VLOOKUP($B23,'Ibri Pop Settlements'!$H$2:$AJ$240,G$29,FALSE)</f>
        <v>1684.1383814852716</v>
      </c>
      <c r="H23" s="34">
        <f>VLOOKUP($B23,'Ibri Pop Settlements'!$H$2:$AJ$240,H$29,FALSE)</f>
        <v>1729.268032483508</v>
      </c>
      <c r="I23" s="34">
        <f>VLOOKUP($B23,'Ibri Pop Settlements'!$H$2:$AJ$240,I$29,FALSE)</f>
        <v>1775.1533822472841</v>
      </c>
      <c r="J23" s="34">
        <f>VLOOKUP($B23,'Ibri Pop Settlements'!$H$2:$AJ$240,J$29,FALSE)</f>
        <v>1813.9912041976008</v>
      </c>
      <c r="K23" s="34">
        <f>VLOOKUP($B23,'Ibri Pop Settlements'!$H$2:$AJ$240,K$29,FALSE)</f>
        <v>1861.107748579391</v>
      </c>
      <c r="L23" s="34">
        <f>VLOOKUP($B23,'Ibri Pop Settlements'!$H$2:$AJ$240,L$29,FALSE)</f>
        <v>1909.1158476845706</v>
      </c>
      <c r="M23" s="34">
        <f>VLOOKUP($B23,'Ibri Pop Settlements'!$H$2:$AJ$240,M$29,FALSE)</f>
        <v>1933.7057760553876</v>
      </c>
      <c r="N23" s="34">
        <f>VLOOKUP($B23,'Ibri Pop Settlements'!$H$2:$AJ$240,N$29,FALSE)</f>
        <v>2008.3840978859596</v>
      </c>
      <c r="O23" s="34">
        <f>VLOOKUP($B23,'Ibri Pop Settlements'!$H$2:$AJ$240,O$29,FALSE)</f>
        <v>2050.2701878905318</v>
      </c>
      <c r="P23" s="34">
        <f>VLOOKUP($B23,'Ibri Pop Settlements'!$H$2:$AJ$240,P$29,FALSE)</f>
        <v>2103.2370294572293</v>
      </c>
      <c r="Q23" s="34">
        <f>VLOOKUP($B23,'Ibri Pop Settlements'!$H$2:$AJ$240,Q$29,FALSE)</f>
        <v>2158.2926563758683</v>
      </c>
      <c r="R23" s="34">
        <f>VLOOKUP($B23,'Ibri Pop Settlements'!$H$2:$AJ$240,R$29,FALSE)</f>
        <v>2215.2842306938669</v>
      </c>
      <c r="S23" s="34">
        <f>VLOOKUP($B23,'Ibri Pop Settlements'!$H$2:$AJ$240,S$29,FALSE)</f>
        <v>2274.7212122531623</v>
      </c>
      <c r="T23" s="34">
        <f>VLOOKUP($B23,'Ibri Pop Settlements'!$H$2:$AJ$240,T$29,FALSE)</f>
        <v>2324.198253902593</v>
      </c>
      <c r="U23" s="34">
        <f>VLOOKUP($B23,'Ibri Pop Settlements'!$H$2:$AJ$240,U$29,FALSE)</f>
        <v>2368.5357990261277</v>
      </c>
      <c r="V23" s="34">
        <f>VLOOKUP($B23,'Ibri Pop Settlements'!$H$2:$AJ$240,V$29,FALSE)</f>
        <v>2414.8975372307495</v>
      </c>
      <c r="W23" s="34">
        <f>VLOOKUP($B23,'Ibri Pop Settlements'!$H$2:$AJ$240,W$29,FALSE)</f>
        <v>2462.7025607421242</v>
      </c>
      <c r="X23" s="34">
        <f>VLOOKUP($B23,'Ibri Pop Settlements'!$H$2:$AJ$240,X$29,FALSE)</f>
        <v>2512.0501941675816</v>
      </c>
      <c r="Y23" s="34">
        <f>VLOOKUP($B23,'Ibri Pop Settlements'!$H$2:$AJ$240,Y$29,FALSE)</f>
        <v>2563.0397621158818</v>
      </c>
      <c r="Z23" s="34">
        <f>VLOOKUP($B23,'Ibri Pop Settlements'!$H$2:$AJ$240,Z$29,FALSE)</f>
        <v>2615.7705892729186</v>
      </c>
      <c r="AA23" s="34">
        <f>VLOOKUP($B23,'Ibri Pop Settlements'!$H$2:$AJ$240,AA$29,FALSE)</f>
        <v>2670.3420001938321</v>
      </c>
      <c r="AB23" s="34">
        <f>VLOOKUP($B23,'Ibri Pop Settlements'!$H$2:$AJ$240,AB$29,FALSE)</f>
        <v>2726.8533196493227</v>
      </c>
      <c r="AC23" s="34">
        <f>VLOOKUP($B23,'Ibri Pop Settlements'!$H$2:$AJ$240,AC$29,FALSE)</f>
        <v>2785.4038721198453</v>
      </c>
      <c r="AD23" s="34">
        <f>VLOOKUP($B23,'Ibri Pop Settlements'!$H$2:$AJ$240,AD$29,FALSE)</f>
        <v>2846.0929824259429</v>
      </c>
      <c r="AE23" s="44">
        <f>AD23*(1+Pop_Wilayat!AH$10)</f>
        <v>2908.9582308836798</v>
      </c>
      <c r="AF23" s="44">
        <f>AE23*(1+Pop_Wilayat!AI$10)</f>
        <v>2974.0847509110804</v>
      </c>
      <c r="AG23" s="44">
        <f>AF23*(1+Pop_Wilayat!AJ$10)</f>
        <v>3041.5615659798282</v>
      </c>
      <c r="AH23" s="44">
        <f>AG23*(1+Pop_Wilayat!AK$10)</f>
        <v>3111.4817812009414</v>
      </c>
      <c r="AI23" s="44">
        <f>AH23*(1+Pop_Wilayat!AL$10)</f>
        <v>3183.9427852072263</v>
      </c>
      <c r="AJ23" s="44">
        <f>AI23*(1+Pop_Wilayat!AM$10)</f>
        <v>3259.0464629202465</v>
      </c>
      <c r="AK23" s="44">
        <f>AJ23*(1+Pop_Wilayat!AN$10)</f>
        <v>3336.8994198252085</v>
      </c>
      <c r="AL23" s="44">
        <f>AK23*(1+Pop_Wilayat!AO$10)</f>
        <v>3416.9850059010137</v>
      </c>
      <c r="AM23" s="44">
        <f>AL23*(1+Pop_Wilayat!AP$10)</f>
        <v>3498.9926460426382</v>
      </c>
      <c r="AN23" s="44">
        <f>AM23*(1+Pop_Wilayat!AQ$10)</f>
        <v>3582.9684695476617</v>
      </c>
      <c r="AO23" s="44">
        <f>AN23*(1+Pop_Wilayat!AR$10)</f>
        <v>3668.9597128168057</v>
      </c>
      <c r="AP23" s="44">
        <f>AO23*(1+Pop_Wilayat!AS$10)</f>
        <v>3757.014745924409</v>
      </c>
      <c r="AQ23" s="44">
        <f>AP23*(1+Pop_Wilayat!AT$10)</f>
        <v>3847.183099826595</v>
      </c>
      <c r="AR23" s="44">
        <f>AQ23*(1+Pop_Wilayat!AU$10)</f>
        <v>3939.5154942224335</v>
      </c>
      <c r="AS23" s="44">
        <f>AR23*(1+Pop_Wilayat!AV$10)</f>
        <v>4034.0638660837722</v>
      </c>
      <c r="AT23" s="44">
        <f>AS23*(1+Pop_Wilayat!AW$10)</f>
        <v>4130.881398869783</v>
      </c>
      <c r="AU23" s="44">
        <f>AT23*(1+Pop_Wilayat!AX$10)</f>
        <v>4230.0225524426578</v>
      </c>
      <c r="AV23" s="44">
        <f>AU23*(1+Pop_Wilayat!AY$10)</f>
        <v>4331.5430937012816</v>
      </c>
      <c r="AW23" s="44">
        <f>AV23*(1+Pop_Wilayat!AZ$10)</f>
        <v>4435.5001279501121</v>
      </c>
      <c r="AX23" s="44">
        <f>AW23*(1+Pop_Wilayat!BA$10)</f>
        <v>4541.9521310209147</v>
      </c>
      <c r="AY23" s="44">
        <f>AX23*(1+Pop_Wilayat!BB$10)</f>
        <v>4650.9589821654172</v>
      </c>
      <c r="AZ23" s="44">
        <f>AY23*(1+Pop_Wilayat!BC$10)</f>
        <v>4762.5819977373876</v>
      </c>
      <c r="BA23" s="44">
        <f>AZ23*(1+Pop_Wilayat!BD$10)</f>
        <v>4876.8839656830851</v>
      </c>
      <c r="BB23" s="44">
        <f>BA23*(1+Pop_Wilayat!BE$10)</f>
        <v>4993.9291808594789</v>
      </c>
      <c r="BC23" s="44">
        <f>BB23*(1+Pop_Wilayat!BF$10)</f>
        <v>5113.7834812001065</v>
      </c>
      <c r="BD23" s="44">
        <f>BC23*(1+Pop_Wilayat!BG$10)</f>
        <v>5236.5142847489087</v>
      </c>
      <c r="BE23" s="44">
        <f>BD23*(1+Pop_Wilayat!BH$10)</f>
        <v>5362.1906275828824</v>
      </c>
      <c r="BF23" s="44">
        <f>BE23*(1+Pop_Wilayat!BI$10)</f>
        <v>5490.8832026448717</v>
      </c>
      <c r="BG23" s="44">
        <f>BF23*(1+Pop_Wilayat!BJ$10)</f>
        <v>5622.6643995083487</v>
      </c>
      <c r="BH23" s="44">
        <f>BG23*(1+Pop_Wilayat!BK$10)</f>
        <v>5757.6083450965489</v>
      </c>
      <c r="BI23" s="44">
        <f>BH23*(1+Pop_Wilayat!BL$10)</f>
        <v>5895.7909453788661</v>
      </c>
      <c r="BJ23" s="44">
        <f>BI23*(1+Pop_Wilayat!BM$10)</f>
        <v>6037.2899280679594</v>
      </c>
      <c r="BK23" s="44">
        <f>BJ23*(1+Pop_Wilayat!BN$10)</f>
        <v>6182.1848863415908</v>
      </c>
      <c r="BL23" s="44">
        <f>BK23*(1+Pop_Wilayat!BO$10)</f>
        <v>6330.5573236137889</v>
      </c>
      <c r="BM23" s="44">
        <f>BL23*(1+Pop_Wilayat!BP$10)</f>
        <v>6482.4906993805198</v>
      </c>
      <c r="BN23" s="44">
        <f>BM23*(1+Pop_Wilayat!BQ$10)</f>
        <v>6638.0704761656525</v>
      </c>
      <c r="BO23" s="44">
        <f>BN23*(1+Pop_Wilayat!BR$10)</f>
        <v>6797.3841675936283</v>
      </c>
      <c r="BP23" s="44">
        <f>BO23*(1+Pop_Wilayat!BS$10)</f>
        <v>6960.5213876158759</v>
      </c>
      <c r="BQ23" s="44">
        <f>BP23*(1+Pop_Wilayat!BT$10)</f>
        <v>7127.5739009186573</v>
      </c>
      <c r="BR23" s="44">
        <f>BQ23*(1+Pop_Wilayat!BU$10)</f>
        <v>7298.6356745407056</v>
      </c>
      <c r="BS23" s="44">
        <f>BR23*(1+Pop_Wilayat!BV$10)</f>
        <v>7473.8029307296829</v>
      </c>
      <c r="BT23" s="44">
        <f>BS23*(1+Pop_Wilayat!BW$10)</f>
        <v>7653.1742010671951</v>
      </c>
      <c r="BU23" s="44">
        <f>BT23*(1+Pop_Wilayat!BX$10)</f>
        <v>7836.8503818928075</v>
      </c>
      <c r="BV23" s="44">
        <f>BU23*(1+Pop_Wilayat!BY$10)</f>
        <v>8024.9347910582346</v>
      </c>
      <c r="BW23" s="44">
        <f>BV23*(1+Pop_Wilayat!BZ$10)</f>
        <v>8217.5332260436317</v>
      </c>
      <c r="BX23" s="44">
        <f>BW23*(1+Pop_Wilayat!CA$10)</f>
        <v>8414.7540234686785</v>
      </c>
      <c r="BY23" s="44">
        <f>BX23*(1+Pop_Wilayat!CB$10)</f>
        <v>8616.7081200319262</v>
      </c>
      <c r="BZ23" s="44">
        <f>BY23*(1+Pop_Wilayat!CC$10)</f>
        <v>8823.5091149126929</v>
      </c>
      <c r="CA23" s="44">
        <f>BZ23*(1+Pop_Wilayat!CD$10)</f>
        <v>9035.2733336705969</v>
      </c>
      <c r="CB23" s="44">
        <f>CA23*(1+Pop_Wilayat!CE$10)</f>
        <v>9252.1198936786914</v>
      </c>
    </row>
    <row r="24" spans="1:80" x14ac:dyDescent="0.25">
      <c r="A24" s="33">
        <v>23</v>
      </c>
      <c r="B24" s="36" t="s">
        <v>36</v>
      </c>
      <c r="C24" s="34">
        <f>VLOOKUP($B24,'Ibri Pop Settlements'!$H$2:$AJ$240,C$29,FALSE)</f>
        <v>2057.511734993795</v>
      </c>
      <c r="D24" s="34">
        <f>VLOOKUP($B24,'Ibri Pop Settlements'!$H$2:$AJ$240,D$29,FALSE)</f>
        <v>2116.1554941107311</v>
      </c>
      <c r="E24" s="34">
        <f>VLOOKUP($B24,'Ibri Pop Settlements'!$H$2:$AJ$240,E$29,FALSE)</f>
        <v>2166.8563497420041</v>
      </c>
      <c r="F24" s="34">
        <f>VLOOKUP($B24,'Ibri Pop Settlements'!$H$2:$AJ$240,F$29,FALSE)</f>
        <v>2226.2724957000719</v>
      </c>
      <c r="G24" s="34">
        <f>VLOOKUP($B24,'Ibri Pop Settlements'!$H$2:$AJ$240,G$29,FALSE)</f>
        <v>2286.5417256319261</v>
      </c>
      <c r="H24" s="34">
        <f>VLOOKUP($B24,'Ibri Pop Settlements'!$H$2:$AJ$240,H$29,FALSE)</f>
        <v>2347.8139056410701</v>
      </c>
      <c r="I24" s="34">
        <f>VLOOKUP($B24,'Ibri Pop Settlements'!$H$2:$AJ$240,I$29,FALSE)</f>
        <v>2410.1120920511198</v>
      </c>
      <c r="J24" s="34">
        <f>VLOOKUP($B24,'Ibri Pop Settlements'!$H$2:$AJ$240,J$29,FALSE)</f>
        <v>2462.8419041605885</v>
      </c>
      <c r="K24" s="34">
        <f>VLOOKUP($B24,'Ibri Pop Settlements'!$H$2:$AJ$240,K$29,FALSE)</f>
        <v>2526.8116740327882</v>
      </c>
      <c r="L24" s="34">
        <f>VLOOKUP($B24,'Ibri Pop Settlements'!$H$2:$AJ$240,L$29,FALSE)</f>
        <v>2591.9919008948204</v>
      </c>
      <c r="M24" s="34">
        <f>VLOOKUP($B24,'Ibri Pop Settlements'!$H$2:$AJ$240,M$29,FALSE)</f>
        <v>2625.3774574905838</v>
      </c>
      <c r="N24" s="34">
        <f>VLOOKUP($B24,'Ibri Pop Settlements'!$H$2:$AJ$240,N$29,FALSE)</f>
        <v>2726.7676405913217</v>
      </c>
      <c r="O24" s="34">
        <f>VLOOKUP($B24,'Ibri Pop Settlements'!$H$2:$AJ$240,O$29,FALSE)</f>
        <v>2783.6360627898366</v>
      </c>
      <c r="P24" s="34">
        <f>VLOOKUP($B24,'Ibri Pop Settlements'!$H$2:$AJ$240,P$29,FALSE)</f>
        <v>2855.5487361476999</v>
      </c>
      <c r="Q24" s="34">
        <f>VLOOKUP($B24,'Ibri Pop Settlements'!$H$2:$AJ$240,Q$29,FALSE)</f>
        <v>2930.2973373103132</v>
      </c>
      <c r="R24" s="34">
        <f>VLOOKUP($B24,'Ibri Pop Settlements'!$H$2:$AJ$240,R$29,FALSE)</f>
        <v>3007.6743593651345</v>
      </c>
      <c r="S24" s="34">
        <f>VLOOKUP($B24,'Ibri Pop Settlements'!$H$2:$AJ$240,S$29,FALSE)</f>
        <v>3088.3714920206394</v>
      </c>
      <c r="T24" s="34">
        <f>VLOOKUP($B24,'Ibri Pop Settlements'!$H$2:$AJ$240,T$29,FALSE)</f>
        <v>3155.5460908754435</v>
      </c>
      <c r="U24" s="34">
        <f>VLOOKUP($B24,'Ibri Pop Settlements'!$H$2:$AJ$240,U$29,FALSE)</f>
        <v>3215.7428348316271</v>
      </c>
      <c r="V24" s="34">
        <f>VLOOKUP($B24,'Ibri Pop Settlements'!$H$2:$AJ$240,V$29,FALSE)</f>
        <v>3278.6878101632865</v>
      </c>
      <c r="W24" s="34">
        <f>VLOOKUP($B24,'Ibri Pop Settlements'!$H$2:$AJ$240,W$29,FALSE)</f>
        <v>3343.5923228537295</v>
      </c>
      <c r="X24" s="34">
        <f>VLOOKUP($B24,'Ibri Pop Settlements'!$H$2:$AJ$240,X$29,FALSE)</f>
        <v>3410.5912251582931</v>
      </c>
      <c r="Y24" s="34">
        <f>VLOOKUP($B24,'Ibri Pop Settlements'!$H$2:$AJ$240,Y$29,FALSE)</f>
        <v>3479.8193693342546</v>
      </c>
      <c r="Z24" s="34">
        <f>VLOOKUP($B24,'Ibri Pop Settlements'!$H$2:$AJ$240,Z$29,FALSE)</f>
        <v>3551.4116077436161</v>
      </c>
      <c r="AA24" s="34">
        <f>VLOOKUP($B24,'Ibri Pop Settlements'!$H$2:$AJ$240,AA$29,FALSE)</f>
        <v>3625.5027925708564</v>
      </c>
      <c r="AB24" s="34">
        <f>VLOOKUP($B24,'Ibri Pop Settlements'!$H$2:$AJ$240,AB$29,FALSE)</f>
        <v>3702.227776293118</v>
      </c>
      <c r="AC24" s="34">
        <f>VLOOKUP($B24,'Ibri Pop Settlements'!$H$2:$AJ$240,AC$29,FALSE)</f>
        <v>3781.7214109934821</v>
      </c>
      <c r="AD24" s="34">
        <f>VLOOKUP($B24,'Ibri Pop Settlements'!$H$2:$AJ$240,AD$29,FALSE)</f>
        <v>3864.1185492167606</v>
      </c>
      <c r="AE24" s="44">
        <f>AD24*(1+Pop_Wilayat!AH$10)</f>
        <v>3949.4702134689956</v>
      </c>
      <c r="AF24" s="44">
        <f>AE24*(1+Pop_Wilayat!AI$10)</f>
        <v>4037.8919887369661</v>
      </c>
      <c r="AG24" s="44">
        <f>AF24*(1+Pop_Wilayat!AJ$10)</f>
        <v>4129.5047415033814</v>
      </c>
      <c r="AH24" s="44">
        <f>AG24*(1+Pop_Wilayat!AK$10)</f>
        <v>4224.4348798612773</v>
      </c>
      <c r="AI24" s="44">
        <f>AH24*(1+Pop_Wilayat!AL$10)</f>
        <v>4322.8146276082716</v>
      </c>
      <c r="AJ24" s="44">
        <f>AI24*(1+Pop_Wilayat!AM$10)</f>
        <v>4424.7823131186415</v>
      </c>
      <c r="AK24" s="44">
        <f>AJ24*(1+Pop_Wilayat!AN$10)</f>
        <v>4530.4826738396087</v>
      </c>
      <c r="AL24" s="44">
        <f>AK24*(1+Pop_Wilayat!AO$10)</f>
        <v>4639.2142580117597</v>
      </c>
      <c r="AM24" s="44">
        <f>AL24*(1+Pop_Wilayat!AP$10)</f>
        <v>4750.5554002040417</v>
      </c>
      <c r="AN24" s="44">
        <f>AM24*(1+Pop_Wilayat!AQ$10)</f>
        <v>4864.5687298089388</v>
      </c>
      <c r="AO24" s="44">
        <f>AN24*(1+Pop_Wilayat!AR$10)</f>
        <v>4981.3183793243534</v>
      </c>
      <c r="AP24" s="44">
        <f>AO24*(1+Pop_Wilayat!AS$10)</f>
        <v>5100.8700204281377</v>
      </c>
      <c r="AQ24" s="44">
        <f>AP24*(1+Pop_Wilayat!AT$10)</f>
        <v>5223.2909009184132</v>
      </c>
      <c r="AR24" s="44">
        <f>AQ24*(1+Pop_Wilayat!AU$10)</f>
        <v>5348.6498825404551</v>
      </c>
      <c r="AS24" s="44">
        <f>AR24*(1+Pop_Wilayat!AV$10)</f>
        <v>5477.0174797214258</v>
      </c>
      <c r="AT24" s="44">
        <f>AS24*(1+Pop_Wilayat!AW$10)</f>
        <v>5608.4658992347404</v>
      </c>
      <c r="AU24" s="44">
        <f>AT24*(1+Pop_Wilayat!AX$10)</f>
        <v>5743.0690808163745</v>
      </c>
      <c r="AV24" s="44">
        <f>AU24*(1+Pop_Wilayat!AY$10)</f>
        <v>5880.9027387559672</v>
      </c>
      <c r="AW24" s="44">
        <f>AV24*(1+Pop_Wilayat!AZ$10)</f>
        <v>6022.0444044861106</v>
      </c>
      <c r="AX24" s="44">
        <f>AW24*(1+Pop_Wilayat!BA$10)</f>
        <v>6166.5734701937772</v>
      </c>
      <c r="AY24" s="44">
        <f>AX24*(1+Pop_Wilayat!BB$10)</f>
        <v>6314.5712334784284</v>
      </c>
      <c r="AZ24" s="44">
        <f>AY24*(1+Pop_Wilayat!BC$10)</f>
        <v>6466.1209430819108</v>
      </c>
      <c r="BA24" s="44">
        <f>AZ24*(1+Pop_Wilayat!BD$10)</f>
        <v>6621.3078457158772</v>
      </c>
      <c r="BB24" s="44">
        <f>BA24*(1+Pop_Wilayat!BE$10)</f>
        <v>6780.2192340130587</v>
      </c>
      <c r="BC24" s="44">
        <f>BB24*(1+Pop_Wilayat!BF$10)</f>
        <v>6942.9444956293719</v>
      </c>
      <c r="BD24" s="44">
        <f>BC24*(1+Pop_Wilayat!BG$10)</f>
        <v>7109.5751635244769</v>
      </c>
      <c r="BE24" s="44">
        <f>BD24*(1+Pop_Wilayat!BH$10)</f>
        <v>7280.2049674490645</v>
      </c>
      <c r="BF24" s="44">
        <f>BE24*(1+Pop_Wilayat!BI$10)</f>
        <v>7454.9298866678419</v>
      </c>
      <c r="BG24" s="44">
        <f>BF24*(1+Pop_Wilayat!BJ$10)</f>
        <v>7633.8482039478704</v>
      </c>
      <c r="BH24" s="44">
        <f>BG24*(1+Pop_Wilayat!BK$10)</f>
        <v>7817.0605608426195</v>
      </c>
      <c r="BI24" s="44">
        <f>BH24*(1+Pop_Wilayat!BL$10)</f>
        <v>8004.6700143028429</v>
      </c>
      <c r="BJ24" s="44">
        <f>BI24*(1+Pop_Wilayat!BM$10)</f>
        <v>8196.7820946461106</v>
      </c>
      <c r="BK24" s="44">
        <f>BJ24*(1+Pop_Wilayat!BN$10)</f>
        <v>8393.5048649176169</v>
      </c>
      <c r="BL24" s="44">
        <f>BK24*(1+Pop_Wilayat!BO$10)</f>
        <v>8594.9489816756395</v>
      </c>
      <c r="BM24" s="44">
        <f>BL24*(1+Pop_Wilayat!BP$10)</f>
        <v>8801.2277572358544</v>
      </c>
      <c r="BN24" s="44">
        <f>BM24*(1+Pop_Wilayat!BQ$10)</f>
        <v>9012.4572234095158</v>
      </c>
      <c r="BO24" s="44">
        <f>BN24*(1+Pop_Wilayat!BR$10)</f>
        <v>9228.7561967713445</v>
      </c>
      <c r="BP24" s="44">
        <f>BO24*(1+Pop_Wilayat!BS$10)</f>
        <v>9450.246345493857</v>
      </c>
      <c r="BQ24" s="44">
        <f>BP24*(1+Pop_Wilayat!BT$10)</f>
        <v>9677.05225778571</v>
      </c>
      <c r="BR24" s="44">
        <f>BQ24*(1+Pop_Wilayat!BU$10)</f>
        <v>9909.3015119725678</v>
      </c>
      <c r="BS24" s="44">
        <f>BR24*(1+Pop_Wilayat!BV$10)</f>
        <v>10147.12474825991</v>
      </c>
      <c r="BT24" s="44">
        <f>BS24*(1+Pop_Wilayat!BW$10)</f>
        <v>10390.655742218149</v>
      </c>
      <c r="BU24" s="44">
        <f>BT24*(1+Pop_Wilayat!BX$10)</f>
        <v>10640.031480031384</v>
      </c>
      <c r="BV24" s="44">
        <f>BU24*(1+Pop_Wilayat!BY$10)</f>
        <v>10895.392235552137</v>
      </c>
      <c r="BW24" s="44">
        <f>BV24*(1+Pop_Wilayat!BZ$10)</f>
        <v>11156.881649205388</v>
      </c>
      <c r="BX24" s="44">
        <f>BW24*(1+Pop_Wilayat!CA$10)</f>
        <v>11424.646808786318</v>
      </c>
      <c r="BY24" s="44">
        <f>BX24*(1+Pop_Wilayat!CB$10)</f>
        <v>11698.838332197189</v>
      </c>
      <c r="BZ24" s="44">
        <f>BY24*(1+Pop_Wilayat!CC$10)</f>
        <v>11979.610452169922</v>
      </c>
      <c r="CA24" s="44">
        <f>BZ24*(1+Pop_Wilayat!CD$10)</f>
        <v>12267.121103022</v>
      </c>
      <c r="CB24" s="44">
        <f>CA24*(1+Pop_Wilayat!CE$10)</f>
        <v>12561.532009494529</v>
      </c>
    </row>
    <row r="25" spans="1:80" x14ac:dyDescent="0.25">
      <c r="A25" s="33">
        <v>24</v>
      </c>
      <c r="B25" s="36" t="s">
        <v>51</v>
      </c>
      <c r="C25" s="34">
        <f>VLOOKUP($B25,'Ibri Pop Settlements'!$H$2:$AJ$240,C$29,FALSE)</f>
        <v>88.4011179813198</v>
      </c>
      <c r="D25" s="34">
        <f>VLOOKUP($B25,'Ibri Pop Settlements'!$H$2:$AJ$240,D$29,FALSE)</f>
        <v>90.92075069125427</v>
      </c>
      <c r="E25" s="34">
        <f>VLOOKUP($B25,'Ibri Pop Settlements'!$H$2:$AJ$240,E$29,FALSE)</f>
        <v>93.099116065402455</v>
      </c>
      <c r="F25" s="34">
        <f>VLOOKUP($B25,'Ibri Pop Settlements'!$H$2:$AJ$240,F$29,FALSE)</f>
        <v>95.651934423374186</v>
      </c>
      <c r="G25" s="34">
        <f>VLOOKUP($B25,'Ibri Pop Settlements'!$H$2:$AJ$240,G$29,FALSE)</f>
        <v>98.241405586640838</v>
      </c>
      <c r="H25" s="34">
        <f>VLOOKUP($B25,'Ibri Pop Settlements'!$H$2:$AJ$240,H$29,FALSE)</f>
        <v>100.87396856153796</v>
      </c>
      <c r="I25" s="34">
        <f>VLOOKUP($B25,'Ibri Pop Settlements'!$H$2:$AJ$240,I$29,FALSE)</f>
        <v>103.5506139644249</v>
      </c>
      <c r="J25" s="34">
        <f>VLOOKUP($B25,'Ibri Pop Settlements'!$H$2:$AJ$240,J$29,FALSE)</f>
        <v>105.81615357819338</v>
      </c>
      <c r="K25" s="34">
        <f>VLOOKUP($B25,'Ibri Pop Settlements'!$H$2:$AJ$240,K$29,FALSE)</f>
        <v>108.56461866713113</v>
      </c>
      <c r="L25" s="34">
        <f>VLOOKUP($B25,'Ibri Pop Settlements'!$H$2:$AJ$240,L$29,FALSE)</f>
        <v>111.36509111493326</v>
      </c>
      <c r="M25" s="34">
        <f>VLOOKUP($B25,'Ibri Pop Settlements'!$H$2:$AJ$240,M$29,FALSE)</f>
        <v>112.79950360323093</v>
      </c>
      <c r="N25" s="34">
        <f>VLOOKUP($B25,'Ibri Pop Settlements'!$H$2:$AJ$240,N$29,FALSE)</f>
        <v>117.15573904334762</v>
      </c>
      <c r="O25" s="34">
        <f>VLOOKUP($B25,'Ibri Pop Settlements'!$H$2:$AJ$240,O$29,FALSE)</f>
        <v>119.59909429361433</v>
      </c>
      <c r="P25" s="34">
        <f>VLOOKUP($B25,'Ibri Pop Settlements'!$H$2:$AJ$240,P$29,FALSE)</f>
        <v>122.68882671833838</v>
      </c>
      <c r="Q25" s="34">
        <f>VLOOKUP($B25,'Ibri Pop Settlements'!$H$2:$AJ$240,Q$29,FALSE)</f>
        <v>125.90040495525898</v>
      </c>
      <c r="R25" s="34">
        <f>VLOOKUP($B25,'Ibri Pop Settlements'!$H$2:$AJ$240,R$29,FALSE)</f>
        <v>129.22491345714224</v>
      </c>
      <c r="S25" s="34">
        <f>VLOOKUP($B25,'Ibri Pop Settlements'!$H$2:$AJ$240,S$29,FALSE)</f>
        <v>132.69207071476779</v>
      </c>
      <c r="T25" s="34">
        <f>VLOOKUP($B25,'Ibri Pop Settlements'!$H$2:$AJ$240,T$29,FALSE)</f>
        <v>135.57823147765126</v>
      </c>
      <c r="U25" s="34">
        <f>VLOOKUP($B25,'Ibri Pop Settlements'!$H$2:$AJ$240,U$29,FALSE)</f>
        <v>138.16458827652411</v>
      </c>
      <c r="V25" s="34">
        <f>VLOOKUP($B25,'Ibri Pop Settlements'!$H$2:$AJ$240,V$29,FALSE)</f>
        <v>140.86902300512705</v>
      </c>
      <c r="W25" s="34">
        <f>VLOOKUP($B25,'Ibri Pop Settlements'!$H$2:$AJ$240,W$29,FALSE)</f>
        <v>143.65764937662388</v>
      </c>
      <c r="X25" s="34">
        <f>VLOOKUP($B25,'Ibri Pop Settlements'!$H$2:$AJ$240,X$29,FALSE)</f>
        <v>146.53626132644226</v>
      </c>
      <c r="Y25" s="34">
        <f>VLOOKUP($B25,'Ibri Pop Settlements'!$H$2:$AJ$240,Y$29,FALSE)</f>
        <v>149.5106527900931</v>
      </c>
      <c r="Z25" s="34">
        <f>VLOOKUP($B25,'Ibri Pop Settlements'!$H$2:$AJ$240,Z$29,FALSE)</f>
        <v>152.58661770758692</v>
      </c>
      <c r="AA25" s="34">
        <f>VLOOKUP($B25,'Ibri Pop Settlements'!$H$2:$AJ$240,AA$29,FALSE)</f>
        <v>155.76995001130686</v>
      </c>
      <c r="AB25" s="34">
        <f>VLOOKUP($B25,'Ibri Pop Settlements'!$H$2:$AJ$240,AB$29,FALSE)</f>
        <v>159.06644364621047</v>
      </c>
      <c r="AC25" s="34">
        <f>VLOOKUP($B25,'Ibri Pop Settlements'!$H$2:$AJ$240,AC$29,FALSE)</f>
        <v>162.48189254032431</v>
      </c>
      <c r="AD25" s="34">
        <f>VLOOKUP($B25,'Ibri Pop Settlements'!$H$2:$AJ$240,AD$29,FALSE)</f>
        <v>166.02209064151333</v>
      </c>
      <c r="AE25" s="44">
        <f>AD25*(1+Pop_Wilayat!AH$10)</f>
        <v>169.68923013488131</v>
      </c>
      <c r="AF25" s="44">
        <f>AE25*(1+Pop_Wilayat!AI$10)</f>
        <v>173.48827713647967</v>
      </c>
      <c r="AG25" s="44">
        <f>AF25*(1+Pop_Wilayat!AJ$10)</f>
        <v>177.4244246821566</v>
      </c>
      <c r="AH25" s="44">
        <f>AG25*(1+Pop_Wilayat!AK$10)</f>
        <v>181.50310390338822</v>
      </c>
      <c r="AI25" s="44">
        <f>AH25*(1+Pop_Wilayat!AL$10)</f>
        <v>185.72999580375486</v>
      </c>
      <c r="AJ25" s="44">
        <f>AI25*(1+Pop_Wilayat!AM$10)</f>
        <v>190.11104367034773</v>
      </c>
      <c r="AK25" s="44">
        <f>AJ25*(1+Pop_Wilayat!AN$10)</f>
        <v>194.6524661564705</v>
      </c>
      <c r="AL25" s="44">
        <f>AK25*(1+Pop_Wilayat!AO$10)</f>
        <v>199.32412534422579</v>
      </c>
      <c r="AM25" s="44">
        <f>AL25*(1+Pop_Wilayat!AP$10)</f>
        <v>204.10790435248722</v>
      </c>
      <c r="AN25" s="44">
        <f>AM25*(1+Pop_Wilayat!AQ$10)</f>
        <v>209.00649405694693</v>
      </c>
      <c r="AO25" s="44">
        <f>AN25*(1+Pop_Wilayat!AR$10)</f>
        <v>214.02264991431366</v>
      </c>
      <c r="AP25" s="44">
        <f>AO25*(1+Pop_Wilayat!AS$10)</f>
        <v>219.15919351225719</v>
      </c>
      <c r="AQ25" s="44">
        <f>AP25*(1+Pop_Wilayat!AT$10)</f>
        <v>224.41901415655136</v>
      </c>
      <c r="AR25" s="44">
        <f>AQ25*(1+Pop_Wilayat!AU$10)</f>
        <v>229.80507049630859</v>
      </c>
      <c r="AS25" s="44">
        <f>AR25*(1+Pop_Wilayat!AV$10)</f>
        <v>235.32039218822001</v>
      </c>
      <c r="AT25" s="44">
        <f>AS25*(1+Pop_Wilayat!AW$10)</f>
        <v>240.96808160073729</v>
      </c>
      <c r="AU25" s="44">
        <f>AT25*(1+Pop_Wilayat!AX$10)</f>
        <v>246.75131555915499</v>
      </c>
      <c r="AV25" s="44">
        <f>AU25*(1+Pop_Wilayat!AY$10)</f>
        <v>252.67334713257472</v>
      </c>
      <c r="AW25" s="44">
        <f>AV25*(1+Pop_Wilayat!AZ$10)</f>
        <v>258.73750746375651</v>
      </c>
      <c r="AX25" s="44">
        <f>AW25*(1+Pop_Wilayat!BA$10)</f>
        <v>264.94720764288667</v>
      </c>
      <c r="AY25" s="44">
        <f>AX25*(1+Pop_Wilayat!BB$10)</f>
        <v>271.30594062631593</v>
      </c>
      <c r="AZ25" s="44">
        <f>AY25*(1+Pop_Wilayat!BC$10)</f>
        <v>277.81728320134749</v>
      </c>
      <c r="BA25" s="44">
        <f>AZ25*(1+Pop_Wilayat!BD$10)</f>
        <v>284.48489799817986</v>
      </c>
      <c r="BB25" s="44">
        <f>BA25*(1+Pop_Wilayat!BE$10)</f>
        <v>291.3125355501362</v>
      </c>
      <c r="BC25" s="44">
        <f>BB25*(1+Pop_Wilayat!BF$10)</f>
        <v>298.30403640333947</v>
      </c>
      <c r="BD25" s="44">
        <f>BC25*(1+Pop_Wilayat!BG$10)</f>
        <v>305.46333327701961</v>
      </c>
      <c r="BE25" s="44">
        <f>BD25*(1+Pop_Wilayat!BH$10)</f>
        <v>312.7944532756681</v>
      </c>
      <c r="BF25" s="44">
        <f>BE25*(1+Pop_Wilayat!BI$10)</f>
        <v>320.30152015428416</v>
      </c>
      <c r="BG25" s="44">
        <f>BF25*(1+Pop_Wilayat!BJ$10)</f>
        <v>327.98875663798697</v>
      </c>
      <c r="BH25" s="44">
        <f>BG25*(1+Pop_Wilayat!BK$10)</f>
        <v>335.86048679729868</v>
      </c>
      <c r="BI25" s="44">
        <f>BH25*(1+Pop_Wilayat!BL$10)</f>
        <v>343.92113848043385</v>
      </c>
      <c r="BJ25" s="44">
        <f>BI25*(1+Pop_Wilayat!BM$10)</f>
        <v>352.17524580396429</v>
      </c>
      <c r="BK25" s="44">
        <f>BJ25*(1+Pop_Wilayat!BN$10)</f>
        <v>360.62745170325945</v>
      </c>
      <c r="BL25" s="44">
        <f>BK25*(1+Pop_Wilayat!BO$10)</f>
        <v>369.28251054413766</v>
      </c>
      <c r="BM25" s="44">
        <f>BL25*(1+Pop_Wilayat!BP$10)</f>
        <v>378.14529079719699</v>
      </c>
      <c r="BN25" s="44">
        <f>BM25*(1+Pop_Wilayat!BQ$10)</f>
        <v>387.22077777632973</v>
      </c>
      <c r="BO25" s="44">
        <f>BN25*(1+Pop_Wilayat!BR$10)</f>
        <v>396.51407644296165</v>
      </c>
      <c r="BP25" s="44">
        <f>BO25*(1+Pop_Wilayat!BS$10)</f>
        <v>406.03041427759274</v>
      </c>
      <c r="BQ25" s="44">
        <f>BP25*(1+Pop_Wilayat!BT$10)</f>
        <v>415.77514422025496</v>
      </c>
      <c r="BR25" s="44">
        <f>BQ25*(1+Pop_Wilayat!BU$10)</f>
        <v>425.75374768154109</v>
      </c>
      <c r="BS25" s="44">
        <f>BR25*(1+Pop_Wilayat!BV$10)</f>
        <v>435.9718376258981</v>
      </c>
      <c r="BT25" s="44">
        <f>BS25*(1+Pop_Wilayat!BW$10)</f>
        <v>446.4351617289197</v>
      </c>
      <c r="BU25" s="44">
        <f>BT25*(1+Pop_Wilayat!BX$10)</f>
        <v>457.1496056104138</v>
      </c>
      <c r="BV25" s="44">
        <f>BU25*(1+Pop_Wilayat!BY$10)</f>
        <v>468.12119614506372</v>
      </c>
      <c r="BW25" s="44">
        <f>BV25*(1+Pop_Wilayat!BZ$10)</f>
        <v>479.35610485254529</v>
      </c>
      <c r="BX25" s="44">
        <f>BW25*(1+Pop_Wilayat!CA$10)</f>
        <v>490.8606513690064</v>
      </c>
      <c r="BY25" s="44">
        <f>BX25*(1+Pop_Wilayat!CB$10)</f>
        <v>502.64130700186257</v>
      </c>
      <c r="BZ25" s="44">
        <f>BY25*(1+Pop_Wilayat!CC$10)</f>
        <v>514.70469836990731</v>
      </c>
      <c r="CA25" s="44">
        <f>BZ25*(1+Pop_Wilayat!CD$10)</f>
        <v>527.05761113078506</v>
      </c>
      <c r="CB25" s="44">
        <f>CA25*(1+Pop_Wilayat!CE$10)</f>
        <v>539.70699379792393</v>
      </c>
    </row>
    <row r="26" spans="1:80" x14ac:dyDescent="0.25">
      <c r="A26" s="33">
        <v>25</v>
      </c>
      <c r="B26" s="36" t="s">
        <v>42</v>
      </c>
      <c r="C26" s="34">
        <f>VLOOKUP($B26,'Ibri Pop Settlements'!$H$2:$AJ$240,C$29,FALSE)</f>
        <v>50.514924560754174</v>
      </c>
      <c r="D26" s="34">
        <f>VLOOKUP($B26,'Ibri Pop Settlements'!$H$2:$AJ$240,D$29,FALSE)</f>
        <v>51.954714680716727</v>
      </c>
      <c r="E26" s="34">
        <f>VLOOKUP($B26,'Ibri Pop Settlements'!$H$2:$AJ$240,E$29,FALSE)</f>
        <v>53.199494894515681</v>
      </c>
      <c r="F26" s="34">
        <f>VLOOKUP($B26,'Ibri Pop Settlements'!$H$2:$AJ$240,F$29,FALSE)</f>
        <v>54.658248241928106</v>
      </c>
      <c r="G26" s="34">
        <f>VLOOKUP($B26,'Ibri Pop Settlements'!$H$2:$AJ$240,G$29,FALSE)</f>
        <v>56.13794604950904</v>
      </c>
      <c r="H26" s="34">
        <f>VLOOKUP($B26,'Ibri Pop Settlements'!$H$2:$AJ$240,H$29,FALSE)</f>
        <v>57.642267749450262</v>
      </c>
      <c r="I26" s="34">
        <f>VLOOKUP($B26,'Ibri Pop Settlements'!$H$2:$AJ$240,I$29,FALSE)</f>
        <v>59.171779408242799</v>
      </c>
      <c r="J26" s="34">
        <f>VLOOKUP($B26,'Ibri Pop Settlements'!$H$2:$AJ$240,J$29,FALSE)</f>
        <v>60.466373473253356</v>
      </c>
      <c r="K26" s="34">
        <f>VLOOKUP($B26,'Ibri Pop Settlements'!$H$2:$AJ$240,K$29,FALSE)</f>
        <v>62.036924952646359</v>
      </c>
      <c r="L26" s="34">
        <f>VLOOKUP($B26,'Ibri Pop Settlements'!$H$2:$AJ$240,L$29,FALSE)</f>
        <v>63.637194922819006</v>
      </c>
      <c r="M26" s="34">
        <f>VLOOKUP($B26,'Ibri Pop Settlements'!$H$2:$AJ$240,M$29,FALSE)</f>
        <v>64.456859201846243</v>
      </c>
      <c r="N26" s="34">
        <f>VLOOKUP($B26,'Ibri Pop Settlements'!$H$2:$AJ$240,N$29,FALSE)</f>
        <v>66.946136596198642</v>
      </c>
      <c r="O26" s="34">
        <f>VLOOKUP($B26,'Ibri Pop Settlements'!$H$2:$AJ$240,O$29,FALSE)</f>
        <v>68.342339596351039</v>
      </c>
      <c r="P26" s="34">
        <f>VLOOKUP($B26,'Ibri Pop Settlements'!$H$2:$AJ$240,P$29,FALSE)</f>
        <v>70.107900981907633</v>
      </c>
      <c r="Q26" s="34">
        <f>VLOOKUP($B26,'Ibri Pop Settlements'!$H$2:$AJ$240,Q$29,FALSE)</f>
        <v>71.943088545862267</v>
      </c>
      <c r="R26" s="34">
        <f>VLOOKUP($B26,'Ibri Pop Settlements'!$H$2:$AJ$240,R$29,FALSE)</f>
        <v>73.842807689795563</v>
      </c>
      <c r="S26" s="34">
        <f>VLOOKUP($B26,'Ibri Pop Settlements'!$H$2:$AJ$240,S$29,FALSE)</f>
        <v>75.824040408438748</v>
      </c>
      <c r="T26" s="34">
        <f>VLOOKUP($B26,'Ibri Pop Settlements'!$H$2:$AJ$240,T$29,FALSE)</f>
        <v>77.473275130086435</v>
      </c>
      <c r="U26" s="34">
        <f>VLOOKUP($B26,'Ibri Pop Settlements'!$H$2:$AJ$240,U$29,FALSE)</f>
        <v>78.951193300870912</v>
      </c>
      <c r="V26" s="34">
        <f>VLOOKUP($B26,'Ibri Pop Settlements'!$H$2:$AJ$240,V$29,FALSE)</f>
        <v>80.496584574358309</v>
      </c>
      <c r="W26" s="34">
        <f>VLOOKUP($B26,'Ibri Pop Settlements'!$H$2:$AJ$240,W$29,FALSE)</f>
        <v>82.090085358070795</v>
      </c>
      <c r="X26" s="34">
        <f>VLOOKUP($B26,'Ibri Pop Settlements'!$H$2:$AJ$240,X$29,FALSE)</f>
        <v>83.735006472252721</v>
      </c>
      <c r="Y26" s="34">
        <f>VLOOKUP($B26,'Ibri Pop Settlements'!$H$2:$AJ$240,Y$29,FALSE)</f>
        <v>85.434658737196045</v>
      </c>
      <c r="Z26" s="34">
        <f>VLOOKUP($B26,'Ibri Pop Settlements'!$H$2:$AJ$240,Z$29,FALSE)</f>
        <v>87.192352975763953</v>
      </c>
      <c r="AA26" s="34">
        <f>VLOOKUP($B26,'Ibri Pop Settlements'!$H$2:$AJ$240,AA$29,FALSE)</f>
        <v>89.011400006461059</v>
      </c>
      <c r="AB26" s="34">
        <f>VLOOKUP($B26,'Ibri Pop Settlements'!$H$2:$AJ$240,AB$29,FALSE)</f>
        <v>90.895110654977401</v>
      </c>
      <c r="AC26" s="34">
        <f>VLOOKUP($B26,'Ibri Pop Settlements'!$H$2:$AJ$240,AC$29,FALSE)</f>
        <v>92.846795737328165</v>
      </c>
      <c r="AD26" s="34">
        <f>VLOOKUP($B26,'Ibri Pop Settlements'!$H$2:$AJ$240,AD$29,FALSE)</f>
        <v>94.86976608086475</v>
      </c>
      <c r="AE26" s="44">
        <f>AD26*(1+Pop_Wilayat!AH$10)</f>
        <v>96.965274362789316</v>
      </c>
      <c r="AF26" s="44">
        <f>AE26*(1+Pop_Wilayat!AI$10)</f>
        <v>99.136158363702663</v>
      </c>
      <c r="AG26" s="44">
        <f>AF26*(1+Pop_Wilayat!AJ$10)</f>
        <v>101.38538553266092</v>
      </c>
      <c r="AH26" s="44">
        <f>AG26*(1+Pop_Wilayat!AK$10)</f>
        <v>103.7160593733647</v>
      </c>
      <c r="AI26" s="44">
        <f>AH26*(1+Pop_Wilayat!AL$10)</f>
        <v>106.1314261735742</v>
      </c>
      <c r="AJ26" s="44">
        <f>AI26*(1+Pop_Wilayat!AM$10)</f>
        <v>108.63488209734155</v>
      </c>
      <c r="AK26" s="44">
        <f>AJ26*(1+Pop_Wilayat!AN$10)</f>
        <v>111.22998066084027</v>
      </c>
      <c r="AL26" s="44">
        <f>AK26*(1+Pop_Wilayat!AO$10)</f>
        <v>113.89950019670044</v>
      </c>
      <c r="AM26" s="44">
        <f>AL26*(1+Pop_Wilayat!AP$10)</f>
        <v>116.63308820142126</v>
      </c>
      <c r="AN26" s="44">
        <f>AM26*(1+Pop_Wilayat!AQ$10)</f>
        <v>119.43228231825537</v>
      </c>
      <c r="AO26" s="44">
        <f>AN26*(1+Pop_Wilayat!AR$10)</f>
        <v>122.29865709389351</v>
      </c>
      <c r="AP26" s="44">
        <f>AO26*(1+Pop_Wilayat!AS$10)</f>
        <v>125.23382486414695</v>
      </c>
      <c r="AQ26" s="44">
        <f>AP26*(1+Pop_Wilayat!AT$10)</f>
        <v>128.2394366608865</v>
      </c>
      <c r="AR26" s="44">
        <f>AQ26*(1+Pop_Wilayat!AU$10)</f>
        <v>131.31718314074777</v>
      </c>
      <c r="AS26" s="44">
        <f>AR26*(1+Pop_Wilayat!AV$10)</f>
        <v>134.46879553612573</v>
      </c>
      <c r="AT26" s="44">
        <f>AS26*(1+Pop_Wilayat!AW$10)</f>
        <v>137.69604662899275</v>
      </c>
      <c r="AU26" s="44">
        <f>AT26*(1+Pop_Wilayat!AX$10)</f>
        <v>141.00075174808859</v>
      </c>
      <c r="AV26" s="44">
        <f>AU26*(1+Pop_Wilayat!AY$10)</f>
        <v>144.38476979004272</v>
      </c>
      <c r="AW26" s="44">
        <f>AV26*(1+Pop_Wilayat!AZ$10)</f>
        <v>147.85000426500375</v>
      </c>
      <c r="AX26" s="44">
        <f>AW26*(1+Pop_Wilayat!BA$10)</f>
        <v>151.39840436736384</v>
      </c>
      <c r="AY26" s="44">
        <f>AX26*(1+Pop_Wilayat!BB$10)</f>
        <v>155.03196607218058</v>
      </c>
      <c r="AZ26" s="44">
        <f>AY26*(1+Pop_Wilayat!BC$10)</f>
        <v>158.75273325791292</v>
      </c>
      <c r="BA26" s="44">
        <f>AZ26*(1+Pop_Wilayat!BD$10)</f>
        <v>162.56279885610283</v>
      </c>
      <c r="BB26" s="44">
        <f>BA26*(1+Pop_Wilayat!BE$10)</f>
        <v>166.4643060286493</v>
      </c>
      <c r="BC26" s="44">
        <f>BB26*(1+Pop_Wilayat!BF$10)</f>
        <v>170.45944937333689</v>
      </c>
      <c r="BD26" s="44">
        <f>BC26*(1+Pop_Wilayat!BG$10)</f>
        <v>174.55047615829699</v>
      </c>
      <c r="BE26" s="44">
        <f>BD26*(1+Pop_Wilayat!BH$10)</f>
        <v>178.73968758609612</v>
      </c>
      <c r="BF26" s="44">
        <f>BE26*(1+Pop_Wilayat!BI$10)</f>
        <v>183.02944008816243</v>
      </c>
      <c r="BG26" s="44">
        <f>BF26*(1+Pop_Wilayat!BJ$10)</f>
        <v>187.42214665027834</v>
      </c>
      <c r="BH26" s="44">
        <f>BG26*(1+Pop_Wilayat!BK$10)</f>
        <v>191.92027816988502</v>
      </c>
      <c r="BI26" s="44">
        <f>BH26*(1+Pop_Wilayat!BL$10)</f>
        <v>196.52636484596226</v>
      </c>
      <c r="BJ26" s="44">
        <f>BI26*(1+Pop_Wilayat!BM$10)</f>
        <v>201.24299760226535</v>
      </c>
      <c r="BK26" s="44">
        <f>BJ26*(1+Pop_Wilayat!BN$10)</f>
        <v>206.07282954471972</v>
      </c>
      <c r="BL26" s="44">
        <f>BK26*(1+Pop_Wilayat!BO$10)</f>
        <v>211.018577453793</v>
      </c>
      <c r="BM26" s="44">
        <f>BL26*(1+Pop_Wilayat!BP$10)</f>
        <v>216.08302331268405</v>
      </c>
      <c r="BN26" s="44">
        <f>BM26*(1+Pop_Wilayat!BQ$10)</f>
        <v>221.26901587218848</v>
      </c>
      <c r="BO26" s="44">
        <f>BN26*(1+Pop_Wilayat!BR$10)</f>
        <v>226.579472253121</v>
      </c>
      <c r="BP26" s="44">
        <f>BO26*(1+Pop_Wilayat!BS$10)</f>
        <v>232.0173795871959</v>
      </c>
      <c r="BQ26" s="44">
        <f>BP26*(1+Pop_Wilayat!BT$10)</f>
        <v>237.5857966972886</v>
      </c>
      <c r="BR26" s="44">
        <f>BQ26*(1+Pop_Wilayat!BU$10)</f>
        <v>243.28785581802353</v>
      </c>
      <c r="BS26" s="44">
        <f>BR26*(1+Pop_Wilayat!BV$10)</f>
        <v>249.1267643576561</v>
      </c>
      <c r="BT26" s="44">
        <f>BS26*(1+Pop_Wilayat!BW$10)</f>
        <v>255.10580670223985</v>
      </c>
      <c r="BU26" s="44">
        <f>BT26*(1+Pop_Wilayat!BX$10)</f>
        <v>261.22834606309362</v>
      </c>
      <c r="BV26" s="44">
        <f>BU26*(1+Pop_Wilayat!BY$10)</f>
        <v>267.49782636860789</v>
      </c>
      <c r="BW26" s="44">
        <f>BV26*(1+Pop_Wilayat!BZ$10)</f>
        <v>273.91777420145451</v>
      </c>
      <c r="BX26" s="44">
        <f>BW26*(1+Pop_Wilayat!CA$10)</f>
        <v>280.49180078228943</v>
      </c>
      <c r="BY26" s="44">
        <f>BX26*(1+Pop_Wilayat!CB$10)</f>
        <v>287.22360400106436</v>
      </c>
      <c r="BZ26" s="44">
        <f>BY26*(1+Pop_Wilayat!CC$10)</f>
        <v>294.11697049708994</v>
      </c>
      <c r="CA26" s="44">
        <f>BZ26*(1+Pop_Wilayat!CD$10)</f>
        <v>301.17577778902012</v>
      </c>
      <c r="CB26" s="44">
        <f>CA26*(1+Pop_Wilayat!CE$10)</f>
        <v>308.40399645595659</v>
      </c>
    </row>
    <row r="27" spans="1:80" ht="37.5" customHeight="1" x14ac:dyDescent="0.25">
      <c r="A27" s="282" t="s">
        <v>861</v>
      </c>
      <c r="B27" s="282"/>
      <c r="C27" s="281">
        <f>SUM(C2:C26)</f>
        <v>113225.31763950275</v>
      </c>
      <c r="D27" s="281">
        <f t="shared" ref="D27:BO27" si="0">SUM(D2:D26)</f>
        <v>116452.49644031267</v>
      </c>
      <c r="E27" s="281">
        <f t="shared" si="0"/>
        <v>119242.57553721892</v>
      </c>
      <c r="F27" s="281">
        <f t="shared" si="0"/>
        <v>122512.25895364786</v>
      </c>
      <c r="G27" s="281">
        <f t="shared" si="0"/>
        <v>125828.88776643225</v>
      </c>
      <c r="H27" s="281">
        <f t="shared" si="0"/>
        <v>129200.70913979666</v>
      </c>
      <c r="I27" s="281">
        <f t="shared" si="0"/>
        <v>132628.99186823712</v>
      </c>
      <c r="J27" s="281">
        <f t="shared" si="0"/>
        <v>135530.72488079948</v>
      </c>
      <c r="K27" s="281">
        <f t="shared" si="0"/>
        <v>139050.99521020657</v>
      </c>
      <c r="L27" s="281">
        <f t="shared" si="0"/>
        <v>142637.87725065858</v>
      </c>
      <c r="M27" s="281">
        <f t="shared" si="0"/>
        <v>144475.09168099976</v>
      </c>
      <c r="N27" s="281">
        <f t="shared" si="0"/>
        <v>150054.61547756413</v>
      </c>
      <c r="O27" s="281">
        <f t="shared" si="0"/>
        <v>153184.097102175</v>
      </c>
      <c r="P27" s="281">
        <f t="shared" si="0"/>
        <v>157141.46713548587</v>
      </c>
      <c r="Q27" s="281">
        <f t="shared" si="0"/>
        <v>161254.898891816</v>
      </c>
      <c r="R27" s="281">
        <f t="shared" si="0"/>
        <v>165512.97322070063</v>
      </c>
      <c r="S27" s="281">
        <f t="shared" si="0"/>
        <v>169953.75395702251</v>
      </c>
      <c r="T27" s="281">
        <f t="shared" si="0"/>
        <v>173650.38672138643</v>
      </c>
      <c r="U27" s="281">
        <f t="shared" si="0"/>
        <v>176963.02661518668</v>
      </c>
      <c r="V27" s="281">
        <f t="shared" si="0"/>
        <v>180426.9022784569</v>
      </c>
      <c r="W27" s="281">
        <f t="shared" si="0"/>
        <v>183998.61170816512</v>
      </c>
      <c r="X27" s="281">
        <f t="shared" si="0"/>
        <v>187685.57585321044</v>
      </c>
      <c r="Y27" s="281">
        <f t="shared" si="0"/>
        <v>191495.21566259902</v>
      </c>
      <c r="Z27" s="281">
        <f t="shared" si="0"/>
        <v>195434.95209109987</v>
      </c>
      <c r="AA27" s="281">
        <f t="shared" si="0"/>
        <v>199512.20608371275</v>
      </c>
      <c r="AB27" s="281">
        <f t="shared" si="0"/>
        <v>203734.39860154304</v>
      </c>
      <c r="AC27" s="281">
        <f t="shared" si="0"/>
        <v>208108.95058401054</v>
      </c>
      <c r="AD27" s="281">
        <f t="shared" si="0"/>
        <v>212643.28299594444</v>
      </c>
      <c r="AE27" s="281">
        <f t="shared" si="0"/>
        <v>217340.20361693358</v>
      </c>
      <c r="AF27" s="281">
        <f t="shared" si="0"/>
        <v>222206.07311390387</v>
      </c>
      <c r="AG27" s="281">
        <f t="shared" si="0"/>
        <v>227247.54279564926</v>
      </c>
      <c r="AH27" s="281">
        <f t="shared" si="0"/>
        <v>232471.56892698366</v>
      </c>
      <c r="AI27" s="281">
        <f t="shared" si="0"/>
        <v>237885.42781220708</v>
      </c>
      <c r="AJ27" s="281">
        <f t="shared" si="0"/>
        <v>243496.73169179898</v>
      </c>
      <c r="AK27" s="281">
        <f t="shared" si="0"/>
        <v>249313.44549891492</v>
      </c>
      <c r="AL27" s="281">
        <f t="shared" si="0"/>
        <v>255296.96819088893</v>
      </c>
      <c r="AM27" s="281">
        <f t="shared" si="0"/>
        <v>261424.09542747031</v>
      </c>
      <c r="AN27" s="281">
        <f t="shared" si="0"/>
        <v>267698.27371772955</v>
      </c>
      <c r="AO27" s="281">
        <f t="shared" si="0"/>
        <v>274123.0322869551</v>
      </c>
      <c r="AP27" s="281">
        <f t="shared" si="0"/>
        <v>280701.98506184196</v>
      </c>
      <c r="AQ27" s="281">
        <f t="shared" si="0"/>
        <v>287438.83270332625</v>
      </c>
      <c r="AR27" s="281">
        <f t="shared" si="0"/>
        <v>294337.36468820594</v>
      </c>
      <c r="AS27" s="281">
        <f t="shared" si="0"/>
        <v>301401.46144072298</v>
      </c>
      <c r="AT27" s="281">
        <f t="shared" si="0"/>
        <v>308635.09651530028</v>
      </c>
      <c r="AU27" s="281">
        <f t="shared" si="0"/>
        <v>316042.3388316675</v>
      </c>
      <c r="AV27" s="281">
        <f t="shared" si="0"/>
        <v>323627.35496362753</v>
      </c>
      <c r="AW27" s="281">
        <f t="shared" si="0"/>
        <v>331394.41148275469</v>
      </c>
      <c r="AX27" s="281">
        <f t="shared" si="0"/>
        <v>339347.87735834066</v>
      </c>
      <c r="AY27" s="281">
        <f t="shared" si="0"/>
        <v>347492.22641494084</v>
      </c>
      <c r="AZ27" s="281">
        <f t="shared" si="0"/>
        <v>355832.03984889947</v>
      </c>
      <c r="BA27" s="281">
        <f t="shared" si="0"/>
        <v>364372.00880527316</v>
      </c>
      <c r="BB27" s="281">
        <f t="shared" si="0"/>
        <v>373116.9370165997</v>
      </c>
      <c r="BC27" s="281">
        <f t="shared" si="0"/>
        <v>382071.74350499804</v>
      </c>
      <c r="BD27" s="281">
        <f t="shared" si="0"/>
        <v>391241.46534911805</v>
      </c>
      <c r="BE27" s="281">
        <f t="shared" si="0"/>
        <v>400631.26051749679</v>
      </c>
      <c r="BF27" s="281">
        <f t="shared" si="0"/>
        <v>410246.41076991672</v>
      </c>
      <c r="BG27" s="281">
        <f t="shared" si="0"/>
        <v>420092.32462839474</v>
      </c>
      <c r="BH27" s="281">
        <f t="shared" si="0"/>
        <v>430174.54041947622</v>
      </c>
      <c r="BI27" s="281">
        <f t="shared" si="0"/>
        <v>440498.72938954382</v>
      </c>
      <c r="BJ27" s="281">
        <f t="shared" si="0"/>
        <v>451070.69889489276</v>
      </c>
      <c r="BK27" s="281">
        <f t="shared" si="0"/>
        <v>461896.39566837024</v>
      </c>
      <c r="BL27" s="281">
        <f t="shared" si="0"/>
        <v>472981.90916441107</v>
      </c>
      <c r="BM27" s="281">
        <f t="shared" si="0"/>
        <v>484333.47498435696</v>
      </c>
      <c r="BN27" s="281">
        <f t="shared" si="0"/>
        <v>495957.47838398162</v>
      </c>
      <c r="BO27" s="281">
        <f t="shared" si="0"/>
        <v>507860.4578651971</v>
      </c>
      <c r="BP27" s="281">
        <f t="shared" ref="BP27:CB27" si="1">SUM(BP2:BP26)</f>
        <v>520049.10885396181</v>
      </c>
      <c r="BQ27" s="281">
        <f t="shared" si="1"/>
        <v>532530.28746645688</v>
      </c>
      <c r="BR27" s="281">
        <f t="shared" si="1"/>
        <v>545311.01436565176</v>
      </c>
      <c r="BS27" s="281">
        <f t="shared" si="1"/>
        <v>558398.47871042776</v>
      </c>
      <c r="BT27" s="281">
        <f t="shared" si="1"/>
        <v>571800.0421994779</v>
      </c>
      <c r="BU27" s="281">
        <f t="shared" si="1"/>
        <v>585523.24321226531</v>
      </c>
      <c r="BV27" s="281">
        <f t="shared" si="1"/>
        <v>599575.80104935972</v>
      </c>
      <c r="BW27" s="281">
        <f t="shared" si="1"/>
        <v>613965.62027454434</v>
      </c>
      <c r="BX27" s="281">
        <f t="shared" si="1"/>
        <v>628700.79516113328</v>
      </c>
      <c r="BY27" s="281">
        <f t="shared" si="1"/>
        <v>643789.61424500064</v>
      </c>
      <c r="BZ27" s="281">
        <f t="shared" si="1"/>
        <v>659240.56498688064</v>
      </c>
      <c r="CA27" s="281">
        <f t="shared" si="1"/>
        <v>675062.33854656585</v>
      </c>
      <c r="CB27" s="281">
        <f t="shared" si="1"/>
        <v>691263.83467168338</v>
      </c>
    </row>
    <row r="28" spans="1:80" x14ac:dyDescent="0.25">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row>
    <row r="29" spans="1:80" x14ac:dyDescent="0.25">
      <c r="B29" s="32" t="s">
        <v>623</v>
      </c>
      <c r="C29" s="31">
        <v>2</v>
      </c>
      <c r="D29" s="31">
        <v>3</v>
      </c>
      <c r="E29" s="31">
        <v>4</v>
      </c>
      <c r="F29" s="31">
        <v>5</v>
      </c>
      <c r="G29" s="31">
        <v>6</v>
      </c>
      <c r="H29" s="31">
        <v>7</v>
      </c>
      <c r="I29" s="31">
        <v>8</v>
      </c>
      <c r="J29" s="31">
        <v>9</v>
      </c>
      <c r="K29" s="31">
        <v>10</v>
      </c>
      <c r="L29" s="31">
        <v>11</v>
      </c>
      <c r="M29" s="31">
        <v>12</v>
      </c>
      <c r="N29" s="31">
        <v>13</v>
      </c>
      <c r="O29" s="31">
        <v>14</v>
      </c>
      <c r="P29" s="31">
        <v>15</v>
      </c>
      <c r="Q29" s="31">
        <v>16</v>
      </c>
      <c r="R29" s="31">
        <v>17</v>
      </c>
      <c r="S29" s="31">
        <v>18</v>
      </c>
      <c r="T29" s="31">
        <v>19</v>
      </c>
      <c r="U29" s="31">
        <v>20</v>
      </c>
      <c r="V29" s="31">
        <v>21</v>
      </c>
      <c r="W29" s="31">
        <v>22</v>
      </c>
      <c r="X29" s="31">
        <v>23</v>
      </c>
      <c r="Y29" s="31">
        <v>24</v>
      </c>
      <c r="Z29" s="31">
        <v>25</v>
      </c>
      <c r="AA29" s="31">
        <v>26</v>
      </c>
      <c r="AB29" s="31">
        <v>27</v>
      </c>
      <c r="AC29" s="31">
        <v>28</v>
      </c>
      <c r="AD29" s="31">
        <v>29</v>
      </c>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row>
    <row r="30" spans="1:80" x14ac:dyDescent="0.25">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row>
    <row r="31" spans="1:80" x14ac:dyDescent="0.25">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row>
    <row r="32" spans="1:80" x14ac:dyDescent="0.25">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row>
    <row r="33" spans="3:80" x14ac:dyDescent="0.25">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row>
    <row r="34" spans="3:80" x14ac:dyDescent="0.25">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row>
    <row r="35" spans="3:80" x14ac:dyDescent="0.25">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row>
    <row r="36" spans="3:80" x14ac:dyDescent="0.25">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row>
    <row r="37" spans="3:80" x14ac:dyDescent="0.25">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row>
    <row r="38" spans="3:80" x14ac:dyDescent="0.25">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row>
    <row r="39" spans="3:80" x14ac:dyDescent="0.25">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row>
    <row r="40" spans="3:80" x14ac:dyDescent="0.25">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row>
    <row r="41" spans="3:80" x14ac:dyDescent="0.25">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row>
    <row r="42" spans="3:80" x14ac:dyDescent="0.25">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c r="CB42" s="31"/>
    </row>
    <row r="43" spans="3:80" x14ac:dyDescent="0.25">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c r="CB43" s="31"/>
    </row>
    <row r="44" spans="3:80" x14ac:dyDescent="0.25">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c r="CB44" s="31"/>
    </row>
    <row r="45" spans="3:80" x14ac:dyDescent="0.25">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row>
    <row r="46" spans="3:80" x14ac:dyDescent="0.25">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c r="CA46" s="31"/>
      <c r="CB46" s="31"/>
    </row>
    <row r="47" spans="3:80" x14ac:dyDescent="0.25">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row>
    <row r="48" spans="3:80" x14ac:dyDescent="0.25">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row>
    <row r="49" spans="3:80" x14ac:dyDescent="0.25">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row>
    <row r="50" spans="3:80" x14ac:dyDescent="0.25">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c r="CB50" s="31"/>
    </row>
    <row r="51" spans="3:80" x14ac:dyDescent="0.25">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row>
  </sheetData>
  <mergeCells count="1">
    <mergeCell ref="A27:B27"/>
  </mergeCells>
  <phoneticPr fontId="2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6F7F1-4E9C-4926-B7F3-0113C334A8FD}">
  <sheetPr>
    <tabColor theme="9"/>
  </sheetPr>
  <dimension ref="A1:CB50"/>
  <sheetViews>
    <sheetView workbookViewId="0">
      <selection activeCell="K32" sqref="K32"/>
    </sheetView>
  </sheetViews>
  <sheetFormatPr defaultRowHeight="15" x14ac:dyDescent="0.25"/>
  <cols>
    <col min="1" max="1" width="9.140625" style="32"/>
    <col min="2" max="2" width="20.7109375" style="32" customWidth="1"/>
    <col min="3" max="3" width="12" style="32" customWidth="1"/>
    <col min="4" max="16384" width="9.140625" style="32"/>
  </cols>
  <sheetData>
    <row r="1" spans="1:80" x14ac:dyDescent="0.25">
      <c r="A1" s="35" t="s">
        <v>59</v>
      </c>
      <c r="B1" s="35" t="s">
        <v>4</v>
      </c>
      <c r="C1" s="43" t="s">
        <v>545</v>
      </c>
      <c r="D1" s="43" t="s">
        <v>546</v>
      </c>
      <c r="E1" s="43" t="s">
        <v>547</v>
      </c>
      <c r="F1" s="43" t="s">
        <v>548</v>
      </c>
      <c r="G1" s="43" t="s">
        <v>549</v>
      </c>
      <c r="H1" s="43" t="s">
        <v>550</v>
      </c>
      <c r="I1" s="43" t="s">
        <v>551</v>
      </c>
      <c r="J1" s="43" t="s">
        <v>552</v>
      </c>
      <c r="K1" s="43" t="s">
        <v>553</v>
      </c>
      <c r="L1" s="43" t="s">
        <v>554</v>
      </c>
      <c r="M1" s="43" t="s">
        <v>555</v>
      </c>
      <c r="N1" s="43" t="s">
        <v>556</v>
      </c>
      <c r="O1" s="43" t="s">
        <v>557</v>
      </c>
      <c r="P1" s="43" t="s">
        <v>558</v>
      </c>
      <c r="Q1" s="43" t="s">
        <v>559</v>
      </c>
      <c r="R1" s="43" t="s">
        <v>560</v>
      </c>
      <c r="S1" s="43" t="s">
        <v>561</v>
      </c>
      <c r="T1" s="43" t="s">
        <v>562</v>
      </c>
      <c r="U1" s="43" t="s">
        <v>563</v>
      </c>
      <c r="V1" s="43" t="s">
        <v>564</v>
      </c>
      <c r="W1" s="43" t="s">
        <v>565</v>
      </c>
      <c r="X1" s="43" t="s">
        <v>566</v>
      </c>
      <c r="Y1" s="43" t="s">
        <v>567</v>
      </c>
      <c r="Z1" s="43" t="s">
        <v>568</v>
      </c>
      <c r="AA1" s="43" t="s">
        <v>569</v>
      </c>
      <c r="AB1" s="43" t="s">
        <v>570</v>
      </c>
      <c r="AC1" s="43" t="s">
        <v>571</v>
      </c>
      <c r="AD1" s="43" t="s">
        <v>572</v>
      </c>
      <c r="AE1" s="45" t="s">
        <v>573</v>
      </c>
      <c r="AF1" s="45" t="s">
        <v>574</v>
      </c>
      <c r="AG1" s="45" t="s">
        <v>575</v>
      </c>
      <c r="AH1" s="45" t="s">
        <v>576</v>
      </c>
      <c r="AI1" s="45" t="s">
        <v>577</v>
      </c>
      <c r="AJ1" s="45" t="s">
        <v>578</v>
      </c>
      <c r="AK1" s="45" t="s">
        <v>579</v>
      </c>
      <c r="AL1" s="45" t="s">
        <v>580</v>
      </c>
      <c r="AM1" s="45" t="s">
        <v>581</v>
      </c>
      <c r="AN1" s="45" t="s">
        <v>582</v>
      </c>
      <c r="AO1" s="45" t="s">
        <v>583</v>
      </c>
      <c r="AP1" s="45" t="s">
        <v>584</v>
      </c>
      <c r="AQ1" s="45" t="s">
        <v>585</v>
      </c>
      <c r="AR1" s="45" t="s">
        <v>586</v>
      </c>
      <c r="AS1" s="45" t="s">
        <v>587</v>
      </c>
      <c r="AT1" s="45" t="s">
        <v>588</v>
      </c>
      <c r="AU1" s="45" t="s">
        <v>589</v>
      </c>
      <c r="AV1" s="45" t="s">
        <v>590</v>
      </c>
      <c r="AW1" s="45" t="s">
        <v>591</v>
      </c>
      <c r="AX1" s="45" t="s">
        <v>592</v>
      </c>
      <c r="AY1" s="45" t="s">
        <v>593</v>
      </c>
      <c r="AZ1" s="45" t="s">
        <v>594</v>
      </c>
      <c r="BA1" s="45" t="s">
        <v>595</v>
      </c>
      <c r="BB1" s="45" t="s">
        <v>596</v>
      </c>
      <c r="BC1" s="45" t="s">
        <v>597</v>
      </c>
      <c r="BD1" s="45" t="s">
        <v>598</v>
      </c>
      <c r="BE1" s="45" t="s">
        <v>599</v>
      </c>
      <c r="BF1" s="45" t="s">
        <v>600</v>
      </c>
      <c r="BG1" s="45" t="s">
        <v>601</v>
      </c>
      <c r="BH1" s="45" t="s">
        <v>602</v>
      </c>
      <c r="BI1" s="45" t="s">
        <v>603</v>
      </c>
      <c r="BJ1" s="45" t="s">
        <v>604</v>
      </c>
      <c r="BK1" s="45" t="s">
        <v>605</v>
      </c>
      <c r="BL1" s="45" t="s">
        <v>606</v>
      </c>
      <c r="BM1" s="45" t="s">
        <v>607</v>
      </c>
      <c r="BN1" s="45" t="s">
        <v>608</v>
      </c>
      <c r="BO1" s="45" t="s">
        <v>609</v>
      </c>
      <c r="BP1" s="45" t="s">
        <v>610</v>
      </c>
      <c r="BQ1" s="45" t="s">
        <v>611</v>
      </c>
      <c r="BR1" s="45" t="s">
        <v>612</v>
      </c>
      <c r="BS1" s="45" t="s">
        <v>613</v>
      </c>
      <c r="BT1" s="45" t="s">
        <v>614</v>
      </c>
      <c r="BU1" s="45" t="s">
        <v>615</v>
      </c>
      <c r="BV1" s="45" t="s">
        <v>616</v>
      </c>
      <c r="BW1" s="45" t="s">
        <v>617</v>
      </c>
      <c r="BX1" s="45" t="s">
        <v>618</v>
      </c>
      <c r="BY1" s="45" t="s">
        <v>619</v>
      </c>
      <c r="BZ1" s="45" t="s">
        <v>620</v>
      </c>
      <c r="CA1" s="45" t="s">
        <v>621</v>
      </c>
      <c r="CB1" s="45" t="s">
        <v>622</v>
      </c>
    </row>
    <row r="2" spans="1:80" x14ac:dyDescent="0.25">
      <c r="A2" s="33">
        <v>1</v>
      </c>
      <c r="B2" s="36" t="s">
        <v>35</v>
      </c>
      <c r="C2" s="34">
        <f>'Project Pop Settlements'!C2*Pop_Wilayat!F$11</f>
        <v>5675.0728061184818</v>
      </c>
      <c r="D2" s="34">
        <f>'Project Pop Settlements'!D2*Pop_Wilayat!G$11</f>
        <v>5989.6433384406328</v>
      </c>
      <c r="E2" s="34">
        <f>'Project Pop Settlements'!E2*Pop_Wilayat!H$11</f>
        <v>6458.0318630164993</v>
      </c>
      <c r="F2" s="34">
        <f>'Project Pop Settlements'!F2*Pop_Wilayat!I$11</f>
        <v>6968.9053278105048</v>
      </c>
      <c r="G2" s="34">
        <f>'Project Pop Settlements'!G2*Pop_Wilayat!J$11</f>
        <v>7500.3939744950294</v>
      </c>
      <c r="H2" s="34">
        <f>'Project Pop Settlements'!H2*Pop_Wilayat!K$11</f>
        <v>8053.3955849224812</v>
      </c>
      <c r="I2" s="34">
        <f>'Project Pop Settlements'!I2*Pop_Wilayat!L$11</f>
        <v>8628.4438285893884</v>
      </c>
      <c r="J2" s="34">
        <f>'Project Pop Settlements'!J2*Pop_Wilayat!M$11</f>
        <v>9186.4828068111219</v>
      </c>
      <c r="K2" s="34">
        <f>'Project Pop Settlements'!K2*Pop_Wilayat!N$11</f>
        <v>9803.9443067749999</v>
      </c>
      <c r="L2" s="34">
        <f>'Project Pop Settlements'!L2*Pop_Wilayat!O$11</f>
        <v>10445.466168261875</v>
      </c>
      <c r="M2" s="34">
        <f>'Project Pop Settlements'!M2*Pop_Wilayat!P$11</f>
        <v>10973.636962865728</v>
      </c>
      <c r="N2" s="34">
        <f>'Project Pop Settlements'!N2*Pop_Wilayat!Q$11</f>
        <v>11806.262990941406</v>
      </c>
      <c r="O2" s="34">
        <f>'Project Pop Settlements'!O2*Pop_Wilayat!R$11</f>
        <v>12469.848424811131</v>
      </c>
      <c r="P2" s="34">
        <f>'Project Pop Settlements'!P2*Pop_Wilayat!S$11</f>
        <v>12791.995471468072</v>
      </c>
      <c r="Q2" s="34">
        <f>'Project Pop Settlements'!Q2*Pop_Wilayat!T$11</f>
        <v>13126.846617752715</v>
      </c>
      <c r="R2" s="34">
        <f>'Project Pop Settlements'!R2*Pop_Wilayat!U$11</f>
        <v>13473.472295399622</v>
      </c>
      <c r="S2" s="34">
        <f>'Project Pop Settlements'!S2*Pop_Wilayat!V$11</f>
        <v>13834.971065293594</v>
      </c>
      <c r="T2" s="34">
        <f>'Project Pop Settlements'!T2*Pop_Wilayat!W$11</f>
        <v>14135.892969889617</v>
      </c>
      <c r="U2" s="34">
        <f>'Project Pop Settlements'!U2*Pop_Wilayat!X$11</f>
        <v>14405.556193051218</v>
      </c>
      <c r="V2" s="34">
        <f>'Project Pop Settlements'!V2*Pop_Wilayat!Y$11</f>
        <v>14687.530662336763</v>
      </c>
      <c r="W2" s="34">
        <f>'Project Pop Settlements'!W2*Pop_Wilayat!Z$11</f>
        <v>14978.283266872611</v>
      </c>
      <c r="X2" s="34">
        <f>'Project Pop Settlements'!X2*Pop_Wilayat!AA$11</f>
        <v>15278.418104014112</v>
      </c>
      <c r="Y2" s="34">
        <f>'Project Pop Settlements'!Y2*Pop_Wilayat!AB$11</f>
        <v>15588.539271125312</v>
      </c>
      <c r="Z2" s="34">
        <f>'Project Pop Settlements'!Z2*Pop_Wilayat!AC$11</f>
        <v>15909.250866039392</v>
      </c>
      <c r="AA2" s="34">
        <f>'Project Pop Settlements'!AA2*Pop_Wilayat!AD$11</f>
        <v>16241.156985794281</v>
      </c>
      <c r="AB2" s="34">
        <f>'Project Pop Settlements'!AB2*Pop_Wilayat!AE$11</f>
        <v>16584.861728738957</v>
      </c>
      <c r="AC2" s="34">
        <f>'Project Pop Settlements'!AC2*Pop_Wilayat!AF$11</f>
        <v>16940.969191457112</v>
      </c>
      <c r="AD2" s="34">
        <f>'Project Pop Settlements'!AD2*Pop_Wilayat!AG$11</f>
        <v>17310.083472600862</v>
      </c>
      <c r="AE2" s="44">
        <f>'Project Pop Settlements'!AE2*Pop_Wilayat!AH$11</f>
        <v>17913.588551799461</v>
      </c>
      <c r="AF2" s="44">
        <f>'Project Pop Settlements'!AF2*Pop_Wilayat!AI$11</f>
        <v>18540.749371513102</v>
      </c>
      <c r="AG2" s="44">
        <f>'Project Pop Settlements'!AG2*Pop_Wilayat!AJ$11</f>
        <v>19192.643425123228</v>
      </c>
      <c r="AH2" s="44">
        <f>'Project Pop Settlements'!AH2*Pop_Wilayat!AK$11</f>
        <v>19870.401344254013</v>
      </c>
      <c r="AI2" s="44">
        <f>'Project Pop Settlements'!AI2*Pop_Wilayat!AL$11</f>
        <v>20575.209754919266</v>
      </c>
      <c r="AJ2" s="44">
        <f>'Project Pop Settlements'!AJ2*Pop_Wilayat!AM$11</f>
        <v>21308.314296923945</v>
      </c>
      <c r="AK2" s="44">
        <f>'Project Pop Settlements'!AK2*Pop_Wilayat!AN$11</f>
        <v>22071.022816436202</v>
      </c>
      <c r="AL2" s="44">
        <f>'Project Pop Settlements'!AL2*Pop_Wilayat!AO$11</f>
        <v>22860.505839479301</v>
      </c>
      <c r="AM2" s="44">
        <f>'Project Pop Settlements'!AM2*Pop_Wilayat!AP$11</f>
        <v>23675.171138486203</v>
      </c>
      <c r="AN2" s="44">
        <f>'Project Pop Settlements'!AN2*Pop_Wilayat!AQ$11</f>
        <v>24515.772720481891</v>
      </c>
      <c r="AO2" s="44">
        <f>'Project Pop Settlements'!AO2*Pop_Wilayat!AR$11</f>
        <v>25383.086279837607</v>
      </c>
      <c r="AP2" s="44">
        <f>'Project Pop Settlements'!AP2*Pop_Wilayat!AS$11</f>
        <v>26277.909804955398</v>
      </c>
      <c r="AQ2" s="44">
        <f>'Project Pop Settlements'!AQ2*Pop_Wilayat!AT$11</f>
        <v>27201.064201581659</v>
      </c>
      <c r="AR2" s="44">
        <f>'Project Pop Settlements'!AR2*Pop_Wilayat!AU$11</f>
        <v>28153.393933198324</v>
      </c>
      <c r="AS2" s="44">
        <f>'Project Pop Settlements'!AS2*Pop_Wilayat!AV$11</f>
        <v>29135.767678952478</v>
      </c>
      <c r="AT2" s="44">
        <f>'Project Pop Settlements'!AT2*Pop_Wilayat!AW$11</f>
        <v>30149.07900959731</v>
      </c>
      <c r="AU2" s="44">
        <f>'Project Pop Settlements'!AU2*Pop_Wilayat!AX$11</f>
        <v>31194.247081930018</v>
      </c>
      <c r="AV2" s="44">
        <f>'Project Pop Settlements'!AV2*Pop_Wilayat!AY$11</f>
        <v>32272.217352225169</v>
      </c>
      <c r="AW2" s="44">
        <f>'Project Pop Settlements'!AW2*Pop_Wilayat!AZ$11</f>
        <v>33383.962309175295</v>
      </c>
      <c r="AX2" s="44">
        <f>'Project Pop Settlements'!AX2*Pop_Wilayat!BA$11</f>
        <v>34530.482226864144</v>
      </c>
      <c r="AY2" s="44">
        <f>'Project Pop Settlements'!AY2*Pop_Wilayat!BB$11</f>
        <v>35359.213800308884</v>
      </c>
      <c r="AZ2" s="44">
        <f>'Project Pop Settlements'!AZ2*Pop_Wilayat!BC$11</f>
        <v>36207.8349315163</v>
      </c>
      <c r="BA2" s="44">
        <f>'Project Pop Settlements'!BA2*Pop_Wilayat!BD$11</f>
        <v>37076.822969872694</v>
      </c>
      <c r="BB2" s="44">
        <f>'Project Pop Settlements'!BB2*Pop_Wilayat!BE$11</f>
        <v>37966.666721149639</v>
      </c>
      <c r="BC2" s="44">
        <f>'Project Pop Settlements'!BC2*Pop_Wilayat!BF$11</f>
        <v>38877.866722457227</v>
      </c>
      <c r="BD2" s="44">
        <f>'Project Pop Settlements'!BD2*Pop_Wilayat!BG$11</f>
        <v>39810.935523796201</v>
      </c>
      <c r="BE2" s="44">
        <f>'Project Pop Settlements'!BE2*Pop_Wilayat!BH$11</f>
        <v>40766.397976367312</v>
      </c>
      <c r="BF2" s="44">
        <f>'Project Pop Settlements'!BF2*Pop_Wilayat!BI$11</f>
        <v>41744.791527800131</v>
      </c>
      <c r="BG2" s="44">
        <f>'Project Pop Settlements'!BG2*Pop_Wilayat!BJ$11</f>
        <v>42746.666524467335</v>
      </c>
      <c r="BH2" s="44">
        <f>'Project Pop Settlements'!BH2*Pop_Wilayat!BK$11</f>
        <v>43772.586521054553</v>
      </c>
      <c r="BI2" s="44">
        <f>'Project Pop Settlements'!BI2*Pop_Wilayat!BL$11</f>
        <v>44823.128597559866</v>
      </c>
      <c r="BJ2" s="44">
        <f>'Project Pop Settlements'!BJ2*Pop_Wilayat!BM$11</f>
        <v>45898.883683901302</v>
      </c>
      <c r="BK2" s="44">
        <f>'Project Pop Settlements'!BK2*Pop_Wilayat!BN$11</f>
        <v>47000.456892314935</v>
      </c>
      <c r="BL2" s="44">
        <f>'Project Pop Settlements'!BL2*Pop_Wilayat!BO$11</f>
        <v>48128.467857730495</v>
      </c>
      <c r="BM2" s="44">
        <f>'Project Pop Settlements'!BM2*Pop_Wilayat!BP$11</f>
        <v>49283.551086316038</v>
      </c>
      <c r="BN2" s="44">
        <f>'Project Pop Settlements'!BN2*Pop_Wilayat!BQ$11</f>
        <v>50466.356312387623</v>
      </c>
      <c r="BO2" s="44">
        <f>'Project Pop Settlements'!BO2*Pop_Wilayat!BR$11</f>
        <v>51677.548863884927</v>
      </c>
      <c r="BP2" s="44">
        <f>'Project Pop Settlements'!BP2*Pop_Wilayat!BS$11</f>
        <v>52917.810036618168</v>
      </c>
      <c r="BQ2" s="44">
        <f>'Project Pop Settlements'!BQ2*Pop_Wilayat!BT$11</f>
        <v>54187.837477497007</v>
      </c>
      <c r="BR2" s="44">
        <f>'Project Pop Settlements'!BR2*Pop_Wilayat!BU$11</f>
        <v>55488.345576956934</v>
      </c>
      <c r="BS2" s="44">
        <f>'Project Pop Settlements'!BS2*Pop_Wilayat!BV$11</f>
        <v>56820.065870803897</v>
      </c>
      <c r="BT2" s="44">
        <f>'Project Pop Settlements'!BT2*Pop_Wilayat!BW$11</f>
        <v>58183.747451703195</v>
      </c>
      <c r="BU2" s="44">
        <f>'Project Pop Settlements'!BU2*Pop_Wilayat!BX$11</f>
        <v>59580.157390544075</v>
      </c>
      <c r="BV2" s="44">
        <f>'Project Pop Settlements'!BV2*Pop_Wilayat!BY$11</f>
        <v>61010.081167917131</v>
      </c>
      <c r="BW2" s="44">
        <f>'Project Pop Settlements'!BW2*Pop_Wilayat!BZ$11</f>
        <v>62474.32311594714</v>
      </c>
      <c r="BX2" s="44">
        <f>'Project Pop Settlements'!BX2*Pop_Wilayat!CA$11</f>
        <v>63973.706870729875</v>
      </c>
      <c r="BY2" s="44">
        <f>'Project Pop Settlements'!BY2*Pop_Wilayat!CB$11</f>
        <v>65509.075835627395</v>
      </c>
      <c r="BZ2" s="44">
        <f>'Project Pop Settlements'!BZ2*Pop_Wilayat!CC$11</f>
        <v>67081.293655682457</v>
      </c>
      <c r="CA2" s="44">
        <f>'Project Pop Settlements'!CA2*Pop_Wilayat!CD$11</f>
        <v>68691.244703418837</v>
      </c>
      <c r="CB2" s="44">
        <f>'Project Pop Settlements'!CB2*Pop_Wilayat!CE$11</f>
        <v>70339.834576300884</v>
      </c>
    </row>
    <row r="3" spans="1:80" x14ac:dyDescent="0.25">
      <c r="A3" s="33">
        <v>2</v>
      </c>
      <c r="B3" s="36" t="s">
        <v>40</v>
      </c>
      <c r="C3" s="34">
        <f>'Project Pop Settlements'!C3*Pop_Wilayat!F$11</f>
        <v>1154.633278344342</v>
      </c>
      <c r="D3" s="34">
        <f>'Project Pop Settlements'!D3*Pop_Wilayat!G$11</f>
        <v>1218.6348546085369</v>
      </c>
      <c r="E3" s="34">
        <f>'Project Pop Settlements'!E3*Pop_Wilayat!H$11</f>
        <v>1313.9317778633063</v>
      </c>
      <c r="F3" s="34">
        <f>'Project Pop Settlements'!F3*Pop_Wilayat!I$11</f>
        <v>1417.8725595283936</v>
      </c>
      <c r="G3" s="34">
        <f>'Project Pop Settlements'!G3*Pop_Wilayat!J$11</f>
        <v>1526.0076442206157</v>
      </c>
      <c r="H3" s="34">
        <f>'Project Pop Settlements'!H3*Pop_Wilayat!K$11</f>
        <v>1638.5196919408052</v>
      </c>
      <c r="I3" s="34">
        <f>'Project Pop Settlements'!I3*Pop_Wilayat!L$11</f>
        <v>1755.5172814828161</v>
      </c>
      <c r="J3" s="34">
        <f>'Project Pop Settlements'!J3*Pop_Wilayat!M$11</f>
        <v>1869.0542169338312</v>
      </c>
      <c r="K3" s="34">
        <f>'Project Pop Settlements'!K3*Pop_Wilayat!N$11</f>
        <v>1994.6810802907314</v>
      </c>
      <c r="L3" s="34">
        <f>'Project Pop Settlements'!L3*Pop_Wilayat!O$11</f>
        <v>2125.2031925814422</v>
      </c>
      <c r="M3" s="34">
        <f>'Project Pop Settlements'!M3*Pop_Wilayat!P$11</f>
        <v>2232.6632370484826</v>
      </c>
      <c r="N3" s="34">
        <f>'Project Pop Settlements'!N3*Pop_Wilayat!Q$11</f>
        <v>2402.0668294385846</v>
      </c>
      <c r="O3" s="34">
        <f>'Project Pop Settlements'!O3*Pop_Wilayat!R$11</f>
        <v>2537.0779299383862</v>
      </c>
      <c r="P3" s="34">
        <f>'Project Pop Settlements'!P3*Pop_Wilayat!S$11</f>
        <v>2602.6210010668178</v>
      </c>
      <c r="Q3" s="34">
        <f>'Project Pop Settlements'!Q3*Pop_Wilayat!T$11</f>
        <v>2670.7488101717795</v>
      </c>
      <c r="R3" s="34">
        <f>'Project Pop Settlements'!R3*Pop_Wilayat!U$11</f>
        <v>2741.272230084257</v>
      </c>
      <c r="S3" s="34">
        <f>'Project Pop Settlements'!S3*Pop_Wilayat!V$11</f>
        <v>2814.8216847009649</v>
      </c>
      <c r="T3" s="34">
        <f>'Project Pop Settlements'!T3*Pop_Wilayat!W$11</f>
        <v>2876.0463521369015</v>
      </c>
      <c r="U3" s="34">
        <f>'Project Pop Settlements'!U3*Pop_Wilayat!X$11</f>
        <v>2930.9112220769471</v>
      </c>
      <c r="V3" s="34">
        <f>'Project Pop Settlements'!V3*Pop_Wilayat!Y$11</f>
        <v>2988.2809011988711</v>
      </c>
      <c r="W3" s="34">
        <f>'Project Pop Settlements'!W3*Pop_Wilayat!Z$11</f>
        <v>3047.4365533696127</v>
      </c>
      <c r="X3" s="34">
        <f>'Project Pop Settlements'!X3*Pop_Wilayat!AA$11</f>
        <v>3108.501086423782</v>
      </c>
      <c r="Y3" s="34">
        <f>'Project Pop Settlements'!Y3*Pop_Wilayat!AB$11</f>
        <v>3171.5974081977552</v>
      </c>
      <c r="Z3" s="34">
        <f>'Project Pop Settlements'!Z3*Pop_Wilayat!AC$11</f>
        <v>3236.8484266233609</v>
      </c>
      <c r="AA3" s="34">
        <f>'Project Pop Settlements'!AA3*Pop_Wilayat!AD$11</f>
        <v>3304.3770494706241</v>
      </c>
      <c r="AB3" s="34">
        <f>'Project Pop Settlements'!AB3*Pop_Wilayat!AE$11</f>
        <v>3374.3061847763151</v>
      </c>
      <c r="AC3" s="34">
        <f>'Project Pop Settlements'!AC3*Pop_Wilayat!AF$11</f>
        <v>3446.7587402180452</v>
      </c>
      <c r="AD3" s="34">
        <f>'Project Pop Settlements'!AD3*Pop_Wilayat!AG$11</f>
        <v>3521.8576238942569</v>
      </c>
      <c r="AE3" s="44">
        <f>'Project Pop Settlements'!AE3*Pop_Wilayat!AH$11</f>
        <v>3644.6449557750502</v>
      </c>
      <c r="AF3" s="44">
        <f>'Project Pop Settlements'!AF3*Pop_Wilayat!AI$11</f>
        <v>3772.2452136139214</v>
      </c>
      <c r="AG3" s="44">
        <f>'Project Pop Settlements'!AG3*Pop_Wilayat!AJ$11</f>
        <v>3904.8776209799607</v>
      </c>
      <c r="AH3" s="44">
        <f>'Project Pop Settlements'!AH3*Pop_Wilayat!AK$11</f>
        <v>4042.7722127896227</v>
      </c>
      <c r="AI3" s="44">
        <f>'Project Pop Settlements'!AI3*Pop_Wilayat!AL$11</f>
        <v>4186.1704164097955</v>
      </c>
      <c r="AJ3" s="44">
        <f>'Project Pop Settlements'!AJ3*Pop_Wilayat!AM$11</f>
        <v>4335.3256659761782</v>
      </c>
      <c r="AK3" s="44">
        <f>'Project Pop Settlements'!AK3*Pop_Wilayat!AN$11</f>
        <v>4490.5040519443965</v>
      </c>
      <c r="AL3" s="44">
        <f>'Project Pop Settlements'!AL3*Pop_Wilayat!AO$11</f>
        <v>4651.129898032339</v>
      </c>
      <c r="AM3" s="44">
        <f>'Project Pop Settlements'!AM3*Pop_Wilayat!AP$11</f>
        <v>4816.8792543985828</v>
      </c>
      <c r="AN3" s="44">
        <f>'Project Pop Settlements'!AN3*Pop_Wilayat!AQ$11</f>
        <v>4987.9055290491387</v>
      </c>
      <c r="AO3" s="44">
        <f>'Project Pop Settlements'!AO3*Pop_Wilayat!AR$11</f>
        <v>5164.3665424323881</v>
      </c>
      <c r="AP3" s="44">
        <f>'Project Pop Settlements'!AP3*Pop_Wilayat!AS$11</f>
        <v>5346.4246508733022</v>
      </c>
      <c r="AQ3" s="44">
        <f>'Project Pop Settlements'!AQ3*Pop_Wilayat!AT$11</f>
        <v>5534.2468733909382</v>
      </c>
      <c r="AR3" s="44">
        <f>'Project Pop Settlements'!AR3*Pop_Wilayat!AU$11</f>
        <v>5728.0050219905179</v>
      </c>
      <c r="AS3" s="44">
        <f>'Project Pop Settlements'!AS3*Pop_Wilayat!AV$11</f>
        <v>5927.8758355238042</v>
      </c>
      <c r="AT3" s="44">
        <f>'Project Pop Settlements'!AT3*Pop_Wilayat!AW$11</f>
        <v>6134.0411172140221</v>
      </c>
      <c r="AU3" s="44">
        <f>'Project Pop Settlements'!AU3*Pop_Wilayat!AX$11</f>
        <v>6346.6878759441088</v>
      </c>
      <c r="AV3" s="44">
        <f>'Project Pop Settlements'!AV3*Pop_Wilayat!AY$11</f>
        <v>6566.0084714097229</v>
      </c>
      <c r="AW3" s="44">
        <f>'Project Pop Settlements'!AW3*Pop_Wilayat!AZ$11</f>
        <v>6792.2007632411432</v>
      </c>
      <c r="AX3" s="44">
        <f>'Project Pop Settlements'!AX3*Pop_Wilayat!BA$11</f>
        <v>7025.4682642009411</v>
      </c>
      <c r="AY3" s="44">
        <f>'Project Pop Settlements'!AY3*Pop_Wilayat!BB$11</f>
        <v>7194.0795025417638</v>
      </c>
      <c r="AZ3" s="44">
        <f>'Project Pop Settlements'!AZ3*Pop_Wilayat!BC$11</f>
        <v>7366.7374106027664</v>
      </c>
      <c r="BA3" s="44">
        <f>'Project Pop Settlements'!BA3*Pop_Wilayat!BD$11</f>
        <v>7543.5391084572329</v>
      </c>
      <c r="BB3" s="44">
        <f>'Project Pop Settlements'!BB3*Pop_Wilayat!BE$11</f>
        <v>7724.584047060207</v>
      </c>
      <c r="BC3" s="44">
        <f>'Project Pop Settlements'!BC3*Pop_Wilayat!BF$11</f>
        <v>7909.9740641896524</v>
      </c>
      <c r="BD3" s="44">
        <f>'Project Pop Settlements'!BD3*Pop_Wilayat!BG$11</f>
        <v>8099.8134417302044</v>
      </c>
      <c r="BE3" s="44">
        <f>'Project Pop Settlements'!BE3*Pop_Wilayat!BH$11</f>
        <v>8294.2089643317286</v>
      </c>
      <c r="BF3" s="44">
        <f>'Project Pop Settlements'!BF3*Pop_Wilayat!BI$11</f>
        <v>8493.26997947569</v>
      </c>
      <c r="BG3" s="44">
        <f>'Project Pop Settlements'!BG3*Pop_Wilayat!BJ$11</f>
        <v>8697.1084589831062</v>
      </c>
      <c r="BH3" s="44">
        <f>'Project Pop Settlements'!BH3*Pop_Wilayat!BK$11</f>
        <v>8905.8390619987003</v>
      </c>
      <c r="BI3" s="44">
        <f>'Project Pop Settlements'!BI3*Pop_Wilayat!BL$11</f>
        <v>9119.5791994866686</v>
      </c>
      <c r="BJ3" s="44">
        <f>'Project Pop Settlements'!BJ3*Pop_Wilayat!BM$11</f>
        <v>9338.4491002743489</v>
      </c>
      <c r="BK3" s="44">
        <f>'Project Pop Settlements'!BK3*Pop_Wilayat!BN$11</f>
        <v>9562.5718786809339</v>
      </c>
      <c r="BL3" s="44">
        <f>'Project Pop Settlements'!BL3*Pop_Wilayat!BO$11</f>
        <v>9792.0736037692768</v>
      </c>
      <c r="BM3" s="44">
        <f>'Project Pop Settlements'!BM3*Pop_Wilayat!BP$11</f>
        <v>10027.083370259739</v>
      </c>
      <c r="BN3" s="44">
        <f>'Project Pop Settlements'!BN3*Pop_Wilayat!BQ$11</f>
        <v>10267.733371145972</v>
      </c>
      <c r="BO3" s="44">
        <f>'Project Pop Settlements'!BO3*Pop_Wilayat!BR$11</f>
        <v>10514.158972053476</v>
      </c>
      <c r="BP3" s="44">
        <f>'Project Pop Settlements'!BP3*Pop_Wilayat!BS$11</f>
        <v>10766.498787382759</v>
      </c>
      <c r="BQ3" s="44">
        <f>'Project Pop Settlements'!BQ3*Pop_Wilayat!BT$11</f>
        <v>11024.894758279946</v>
      </c>
      <c r="BR3" s="44">
        <f>'Project Pop Settlements'!BR3*Pop_Wilayat!BU$11</f>
        <v>11289.492232478666</v>
      </c>
      <c r="BS3" s="44">
        <f>'Project Pop Settlements'!BS3*Pop_Wilayat!BV$11</f>
        <v>11560.440046058155</v>
      </c>
      <c r="BT3" s="44">
        <f>'Project Pop Settlements'!BT3*Pop_Wilayat!BW$11</f>
        <v>11837.89060716355</v>
      </c>
      <c r="BU3" s="44">
        <f>'Project Pop Settlements'!BU3*Pop_Wilayat!BX$11</f>
        <v>12121.999981735476</v>
      </c>
      <c r="BV3" s="44">
        <f>'Project Pop Settlements'!BV3*Pop_Wilayat!BY$11</f>
        <v>12412.927981297131</v>
      </c>
      <c r="BW3" s="44">
        <f>'Project Pop Settlements'!BW3*Pop_Wilayat!BZ$11</f>
        <v>12710.838252848262</v>
      </c>
      <c r="BX3" s="44">
        <f>'Project Pop Settlements'!BX3*Pop_Wilayat!CA$11</f>
        <v>13015.89837091662</v>
      </c>
      <c r="BY3" s="44">
        <f>'Project Pop Settlements'!BY3*Pop_Wilayat!CB$11</f>
        <v>13328.279931818619</v>
      </c>
      <c r="BZ3" s="44">
        <f>'Project Pop Settlements'!BZ3*Pop_Wilayat!CC$11</f>
        <v>13648.158650182266</v>
      </c>
      <c r="CA3" s="44">
        <f>'Project Pop Settlements'!CA3*Pop_Wilayat!CD$11</f>
        <v>13975.71445778664</v>
      </c>
      <c r="CB3" s="44">
        <f>'Project Pop Settlements'!CB3*Pop_Wilayat!CE$11</f>
        <v>14311.13160477352</v>
      </c>
    </row>
    <row r="4" spans="1:80" x14ac:dyDescent="0.25">
      <c r="A4" s="33">
        <v>3</v>
      </c>
      <c r="B4" s="36" t="s">
        <v>55</v>
      </c>
      <c r="C4" s="34">
        <f>'Project Pop Settlements'!C4*Pop_Wilayat!F$11</f>
        <v>94.744048533849863</v>
      </c>
      <c r="D4" s="34">
        <f>'Project Pop Settlements'!D4*Pop_Wilayat!G$11</f>
        <v>99.995731957103303</v>
      </c>
      <c r="E4" s="34">
        <f>'Project Pop Settlements'!E4*Pop_Wilayat!H$11</f>
        <v>107.81537174344577</v>
      </c>
      <c r="F4" s="34">
        <f>'Project Pop Settlements'!F4*Pop_Wilayat!I$11</f>
        <v>116.34428793477906</v>
      </c>
      <c r="G4" s="34">
        <f>'Project Pop Settlements'!G4*Pop_Wilayat!J$11</f>
        <v>125.21736989460503</v>
      </c>
      <c r="H4" s="34">
        <f>'Project Pop Settlements'!H4*Pop_Wilayat!K$11</f>
        <v>134.4496058865642</v>
      </c>
      <c r="I4" s="34">
        <f>'Project Pop Settlements'!I4*Pop_Wilayat!L$11</f>
        <v>144.04990540140801</v>
      </c>
      <c r="J4" s="34">
        <f>'Project Pop Settlements'!J4*Pop_Wilayat!M$11</f>
        <v>153.36623910190576</v>
      </c>
      <c r="K4" s="34">
        <f>'Project Pop Settlements'!K4*Pop_Wilayat!N$11</f>
        <v>163.67461827499579</v>
      </c>
      <c r="L4" s="34">
        <f>'Project Pop Settlements'!L4*Pop_Wilayat!O$11</f>
        <v>174.38467970622693</v>
      </c>
      <c r="M4" s="34">
        <f>'Project Pop Settlements'!M4*Pop_Wilayat!P$11</f>
        <v>183.20237088089496</v>
      </c>
      <c r="N4" s="34">
        <f>'Project Pop Settlements'!N4*Pop_Wilayat!Q$11</f>
        <v>197.10287286731858</v>
      </c>
      <c r="O4" s="34">
        <f>'Project Pop Settlements'!O4*Pop_Wilayat!R$11</f>
        <v>208.18128061657706</v>
      </c>
      <c r="P4" s="34">
        <f>'Project Pop Settlements'!P4*Pop_Wilayat!S$11</f>
        <v>213.559452221811</v>
      </c>
      <c r="Q4" s="34">
        <f>'Project Pop Settlements'!Q4*Pop_Wilayat!T$11</f>
        <v>219.1497158781651</v>
      </c>
      <c r="R4" s="34">
        <f>'Project Pop Settlements'!R4*Pop_Wilayat!U$11</f>
        <v>224.93655265506956</v>
      </c>
      <c r="S4" s="34">
        <f>'Project Pop Settlements'!S4*Pop_Wilayat!V$11</f>
        <v>230.97169232109036</v>
      </c>
      <c r="T4" s="34">
        <f>'Project Pop Settlements'!T4*Pop_Wilayat!W$11</f>
        <v>235.99551501164794</v>
      </c>
      <c r="U4" s="34">
        <f>'Project Pop Settlements'!U4*Pop_Wilayat!X$11</f>
        <v>240.49748113188377</v>
      </c>
      <c r="V4" s="34">
        <f>'Project Pop Settlements'!V4*Pop_Wilayat!Y$11</f>
        <v>245.20498070342992</v>
      </c>
      <c r="W4" s="34">
        <f>'Project Pop Settlements'!W4*Pop_Wilayat!Z$11</f>
        <v>250.05902924458488</v>
      </c>
      <c r="X4" s="34">
        <f>'Project Pop Settlements'!X4*Pop_Wilayat!AA$11</f>
        <v>255.06971202316981</v>
      </c>
      <c r="Y4" s="34">
        <f>'Project Pop Settlements'!Y4*Pop_Wilayat!AB$11</f>
        <v>260.24711430715109</v>
      </c>
      <c r="Z4" s="34">
        <f>'Project Pop Settlements'!Z4*Pop_Wilayat!AC$11</f>
        <v>265.60132137232716</v>
      </c>
      <c r="AA4" s="34">
        <f>'Project Pop Settlements'!AA4*Pop_Wilayat!AD$11</f>
        <v>271.14241848121986</v>
      </c>
      <c r="AB4" s="34">
        <f>'Project Pop Settlements'!AB4*Pop_Wilayat!AE$11</f>
        <v>276.88049091823893</v>
      </c>
      <c r="AC4" s="34">
        <f>'Project Pop Settlements'!AC4*Pop_Wilayat!AF$11</f>
        <v>282.82562393832279</v>
      </c>
      <c r="AD4" s="34">
        <f>'Project Pop Settlements'!AD4*Pop_Wilayat!AG$11</f>
        <v>288.98790283094189</v>
      </c>
      <c r="AE4" s="44">
        <f>'Project Pop Settlements'!AE4*Pop_Wilayat!AH$11</f>
        <v>299.06328273661836</v>
      </c>
      <c r="AF4" s="44">
        <f>'Project Pop Settlements'!AF4*Pop_Wilayat!AI$11</f>
        <v>309.53358984482247</v>
      </c>
      <c r="AG4" s="44">
        <f>'Project Pop Settlements'!AG4*Pop_Wilayat!AJ$11</f>
        <v>320.41681266225959</v>
      </c>
      <c r="AH4" s="44">
        <f>'Project Pop Settlements'!AH4*Pop_Wilayat!AK$11</f>
        <v>331.73182682650042</v>
      </c>
      <c r="AI4" s="44">
        <f>'Project Pop Settlements'!AI4*Pop_Wilayat!AL$11</f>
        <v>343.49844278870273</v>
      </c>
      <c r="AJ4" s="44">
        <f>'Project Pop Settlements'!AJ4*Pop_Wilayat!AM$11</f>
        <v>355.73745622183316</v>
      </c>
      <c r="AK4" s="44">
        <f>'Project Pop Settlements'!AK4*Pop_Wilayat!AN$11</f>
        <v>368.47070131992984</v>
      </c>
      <c r="AL4" s="44">
        <f>'Project Pop Settlements'!AL4*Pop_Wilayat!AO$11</f>
        <v>381.65094065909796</v>
      </c>
      <c r="AM4" s="44">
        <f>'Project Pop Settlements'!AM4*Pop_Wilayat!AP$11</f>
        <v>395.25159236258582</v>
      </c>
      <c r="AN4" s="44">
        <f>'Project Pop Settlements'!AN4*Pop_Wilayat!AQ$11</f>
        <v>409.28524440602143</v>
      </c>
      <c r="AO4" s="44">
        <f>'Project Pop Settlements'!AO4*Pop_Wilayat!AR$11</f>
        <v>423.76484683034118</v>
      </c>
      <c r="AP4" s="44">
        <f>'Project Pop Settlements'!AP4*Pop_Wilayat!AS$11</f>
        <v>438.70372187025038</v>
      </c>
      <c r="AQ4" s="44">
        <f>'Project Pop Settlements'!AQ4*Pop_Wilayat!AT$11</f>
        <v>454.11557436030091</v>
      </c>
      <c r="AR4" s="44">
        <f>'Project Pop Settlements'!AR4*Pop_Wilayat!AU$11</f>
        <v>470.01450242607666</v>
      </c>
      <c r="AS4" s="44">
        <f>'Project Pop Settlements'!AS4*Pop_Wilayat!AV$11</f>
        <v>486.41500846817803</v>
      </c>
      <c r="AT4" s="44">
        <f>'Project Pop Settlements'!AT4*Pop_Wilayat!AW$11</f>
        <v>503.33201044690287</v>
      </c>
      <c r="AU4" s="44">
        <f>'Project Pop Settlements'!AU4*Pop_Wilayat!AX$11</f>
        <v>520.7808534757288</v>
      </c>
      <c r="AV4" s="44">
        <f>'Project Pop Settlements'!AV4*Pop_Wilayat!AY$11</f>
        <v>538.77732173192112</v>
      </c>
      <c r="AW4" s="44">
        <f>'Project Pop Settlements'!AW4*Pop_Wilayat!AZ$11</f>
        <v>557.33765069280855</v>
      </c>
      <c r="AX4" s="44">
        <f>'Project Pop Settlements'!AX4*Pop_Wilayat!BA$11</f>
        <v>576.47853970650101</v>
      </c>
      <c r="AY4" s="44">
        <f>'Project Pop Settlements'!AY4*Pop_Wilayat!BB$11</f>
        <v>590.314024659457</v>
      </c>
      <c r="AZ4" s="44">
        <f>'Project Pop Settlements'!AZ4*Pop_Wilayat!BC$11</f>
        <v>604.48156125128401</v>
      </c>
      <c r="BA4" s="44">
        <f>'Project Pop Settlements'!BA4*Pop_Wilayat!BD$11</f>
        <v>618.98911872131487</v>
      </c>
      <c r="BB4" s="44">
        <f>'Project Pop Settlements'!BB4*Pop_Wilayat!BE$11</f>
        <v>633.84485757062646</v>
      </c>
      <c r="BC4" s="44">
        <f>'Project Pop Settlements'!BC4*Pop_Wilayat!BF$11</f>
        <v>649.05713415232151</v>
      </c>
      <c r="BD4" s="44">
        <f>'Project Pop Settlements'!BD4*Pop_Wilayat!BG$11</f>
        <v>664.63450537197718</v>
      </c>
      <c r="BE4" s="44">
        <f>'Project Pop Settlements'!BE4*Pop_Wilayat!BH$11</f>
        <v>680.58573350090467</v>
      </c>
      <c r="BF4" s="44">
        <f>'Project Pop Settlements'!BF4*Pop_Wilayat!BI$11</f>
        <v>696.91979110492639</v>
      </c>
      <c r="BG4" s="44">
        <f>'Project Pop Settlements'!BG4*Pop_Wilayat!BJ$11</f>
        <v>713.64586609144465</v>
      </c>
      <c r="BH4" s="44">
        <f>'Project Pop Settlements'!BH4*Pop_Wilayat!BK$11</f>
        <v>730.77336687763932</v>
      </c>
      <c r="BI4" s="44">
        <f>'Project Pop Settlements'!BI4*Pop_Wilayat!BL$11</f>
        <v>748.31192768270273</v>
      </c>
      <c r="BJ4" s="44">
        <f>'Project Pop Settlements'!BJ4*Pop_Wilayat!BM$11</f>
        <v>766.27141394708758</v>
      </c>
      <c r="BK4" s="44">
        <f>'Project Pop Settlements'!BK4*Pop_Wilayat!BN$11</f>
        <v>784.66192788181786</v>
      </c>
      <c r="BL4" s="44">
        <f>'Project Pop Settlements'!BL4*Pop_Wilayat!BO$11</f>
        <v>803.49381415098151</v>
      </c>
      <c r="BM4" s="44">
        <f>'Project Pop Settlements'!BM4*Pop_Wilayat!BP$11</f>
        <v>822.77766569060509</v>
      </c>
      <c r="BN4" s="44">
        <f>'Project Pop Settlements'!BN4*Pop_Wilayat!BQ$11</f>
        <v>842.52432966717959</v>
      </c>
      <c r="BO4" s="44">
        <f>'Project Pop Settlements'!BO4*Pop_Wilayat!BR$11</f>
        <v>862.74491357919192</v>
      </c>
      <c r="BP4" s="44">
        <f>'Project Pop Settlements'!BP4*Pop_Wilayat!BS$11</f>
        <v>883.45079150509252</v>
      </c>
      <c r="BQ4" s="44">
        <f>'Project Pop Settlements'!BQ4*Pop_Wilayat!BT$11</f>
        <v>904.65361050121476</v>
      </c>
      <c r="BR4" s="44">
        <f>'Project Pop Settlements'!BR4*Pop_Wilayat!BU$11</f>
        <v>926.36529715324389</v>
      </c>
      <c r="BS4" s="44">
        <f>'Project Pop Settlements'!BS4*Pop_Wilayat!BV$11</f>
        <v>948.59806428492175</v>
      </c>
      <c r="BT4" s="44">
        <f>'Project Pop Settlements'!BT4*Pop_Wilayat!BW$11</f>
        <v>971.36441782775989</v>
      </c>
      <c r="BU4" s="44">
        <f>'Project Pop Settlements'!BU4*Pop_Wilayat!BX$11</f>
        <v>994.67716385562619</v>
      </c>
      <c r="BV4" s="44">
        <f>'Project Pop Settlements'!BV4*Pop_Wilayat!BY$11</f>
        <v>1018.5494157881612</v>
      </c>
      <c r="BW4" s="44">
        <f>'Project Pop Settlements'!BW4*Pop_Wilayat!BZ$11</f>
        <v>1042.994601767077</v>
      </c>
      <c r="BX4" s="44">
        <f>'Project Pop Settlements'!BX4*Pop_Wilayat!CA$11</f>
        <v>1068.0264722094869</v>
      </c>
      <c r="BY4" s="44">
        <f>'Project Pop Settlements'!BY4*Pop_Wilayat!CB$11</f>
        <v>1093.6591075425147</v>
      </c>
      <c r="BZ4" s="44">
        <f>'Project Pop Settlements'!BZ4*Pop_Wilayat!CC$11</f>
        <v>1119.906926123535</v>
      </c>
      <c r="CA4" s="44">
        <f>'Project Pop Settlements'!CA4*Pop_Wilayat!CD$11</f>
        <v>1146.7846923504999</v>
      </c>
      <c r="CB4" s="44">
        <f>'Project Pop Settlements'!CB4*Pop_Wilayat!CE$11</f>
        <v>1174.3075249669118</v>
      </c>
    </row>
    <row r="5" spans="1:80" x14ac:dyDescent="0.25">
      <c r="A5" s="33">
        <v>4</v>
      </c>
      <c r="B5" s="36" t="s">
        <v>57</v>
      </c>
      <c r="C5" s="34">
        <f>'Project Pop Settlements'!C5*Pop_Wilayat!F$11</f>
        <v>5122.399189671024</v>
      </c>
      <c r="D5" s="34">
        <f>'Project Pop Settlements'!D5*Pop_Wilayat!G$11</f>
        <v>5406.3349020241967</v>
      </c>
      <c r="E5" s="34">
        <f>'Project Pop Settlements'!E5*Pop_Wilayat!H$11</f>
        <v>5829.1088611797322</v>
      </c>
      <c r="F5" s="34">
        <f>'Project Pop Settlements'!F5*Pop_Wilayat!I$11</f>
        <v>6290.2303148576257</v>
      </c>
      <c r="G5" s="34">
        <f>'Project Pop Settlements'!G5*Pop_Wilayat!J$11</f>
        <v>6769.9593167764997</v>
      </c>
      <c r="H5" s="34">
        <f>'Project Pop Settlements'!H5*Pop_Wilayat!K$11</f>
        <v>7269.1062172508573</v>
      </c>
      <c r="I5" s="34">
        <f>'Project Pop Settlements'!I5*Pop_Wilayat!L$11</f>
        <v>7788.1527137478424</v>
      </c>
      <c r="J5" s="34">
        <f>'Project Pop Settlements'!J5*Pop_Wilayat!M$11</f>
        <v>8291.8464120500048</v>
      </c>
      <c r="K5" s="34">
        <f>'Project Pop Settlements'!K5*Pop_Wilayat!N$11</f>
        <v>8849.1757001708575</v>
      </c>
      <c r="L5" s="34">
        <f>'Project Pop Settlements'!L5*Pop_Wilayat!O$11</f>
        <v>9428.2222033088838</v>
      </c>
      <c r="M5" s="34">
        <f>'Project Pop Settlements'!M5*Pop_Wilayat!P$11</f>
        <v>9904.9564660605083</v>
      </c>
      <c r="N5" s="34">
        <f>'Project Pop Settlements'!N5*Pop_Wilayat!Q$11</f>
        <v>10656.496232548714</v>
      </c>
      <c r="O5" s="34">
        <f>'Project Pop Settlements'!O5*Pop_Wilayat!R$11</f>
        <v>11255.457621214431</v>
      </c>
      <c r="P5" s="34">
        <f>'Project Pop Settlements'!P5*Pop_Wilayat!S$11</f>
        <v>11546.232000174175</v>
      </c>
      <c r="Q5" s="34">
        <f>'Project Pop Settlements'!Q5*Pop_Wilayat!T$11</f>
        <v>11848.473275130087</v>
      </c>
      <c r="R5" s="34">
        <f>'Project Pop Settlements'!R5*Pop_Wilayat!U$11</f>
        <v>12161.342404911717</v>
      </c>
      <c r="S5" s="34">
        <f>'Project Pop Settlements'!S5*Pop_Wilayat!V$11</f>
        <v>12487.636193420567</v>
      </c>
      <c r="T5" s="34">
        <f>'Project Pop Settlements'!T5*Pop_Wilayat!W$11</f>
        <v>12759.252465655005</v>
      </c>
      <c r="U5" s="34">
        <f>'Project Pop Settlements'!U5*Pop_Wilayat!X$11</f>
        <v>13002.654219781896</v>
      </c>
      <c r="V5" s="34">
        <f>'Project Pop Settlements'!V5*Pop_Wilayat!Y$11</f>
        <v>13257.168274900088</v>
      </c>
      <c r="W5" s="34">
        <f>'Project Pop Settlements'!W5*Pop_Wilayat!Z$11</f>
        <v>13519.6055962792</v>
      </c>
      <c r="X5" s="34">
        <f>'Project Pop Settlements'!X5*Pop_Wilayat!AA$11</f>
        <v>13790.511450545622</v>
      </c>
      <c r="Y5" s="34">
        <f>'Project Pop Settlements'!Y5*Pop_Wilayat!AB$11</f>
        <v>14070.431104333598</v>
      </c>
      <c r="Z5" s="34">
        <f>'Project Pop Settlements'!Z5*Pop_Wilayat!AC$11</f>
        <v>14359.909824700817</v>
      </c>
      <c r="AA5" s="34">
        <f>'Project Pop Settlements'!AA5*Pop_Wilayat!AD$11</f>
        <v>14659.492877987164</v>
      </c>
      <c r="AB5" s="34">
        <f>'Project Pop Settlements'!AB5*Pop_Wilayat!AE$11</f>
        <v>14969.725531715898</v>
      </c>
      <c r="AC5" s="34">
        <f>'Project Pop Settlements'!AC5*Pop_Wilayat!AF$11</f>
        <v>15291.153051816895</v>
      </c>
      <c r="AD5" s="34">
        <f>'Project Pop Settlements'!AD5*Pop_Wilayat!AG$11</f>
        <v>15624.320706087034</v>
      </c>
      <c r="AE5" s="44">
        <f>'Project Pop Settlements'!AE5*Pop_Wilayat!AH$11</f>
        <v>16169.052735835852</v>
      </c>
      <c r="AF5" s="44">
        <f>'Project Pop Settlements'!AF5*Pop_Wilayat!AI$11</f>
        <v>16735.136764084968</v>
      </c>
      <c r="AG5" s="44">
        <f>'Project Pop Settlements'!AG5*Pop_Wilayat!AJ$11</f>
        <v>17323.545351260043</v>
      </c>
      <c r="AH5" s="44">
        <f>'Project Pop Settlements'!AH5*Pop_Wilayat!AK$11</f>
        <v>17935.299021099425</v>
      </c>
      <c r="AI5" s="44">
        <f>'Project Pop Settlements'!AI5*Pop_Wilayat!AL$11</f>
        <v>18571.468838651828</v>
      </c>
      <c r="AJ5" s="44">
        <f>'Project Pop Settlements'!AJ5*Pop_Wilayat!AM$11</f>
        <v>19233.179135629918</v>
      </c>
      <c r="AK5" s="44">
        <f>'Project Pop Settlements'!AK5*Pop_Wilayat!AN$11</f>
        <v>19921.610392069942</v>
      </c>
      <c r="AL5" s="44">
        <f>'Project Pop Settlements'!AL5*Pop_Wilayat!AO$11</f>
        <v>20634.20868563456</v>
      </c>
      <c r="AM5" s="44">
        <f>'Project Pop Settlements'!AM5*Pop_Wilayat!AP$11</f>
        <v>21369.536849704447</v>
      </c>
      <c r="AN5" s="44">
        <f>'Project Pop Settlements'!AN5*Pop_Wilayat!AQ$11</f>
        <v>22128.275461446763</v>
      </c>
      <c r="AO5" s="44">
        <f>'Project Pop Settlements'!AO5*Pop_Wilayat!AR$11</f>
        <v>22911.124673327278</v>
      </c>
      <c r="AP5" s="44">
        <f>'Project Pop Settlements'!AP5*Pop_Wilayat!AS$11</f>
        <v>23718.804760712268</v>
      </c>
      <c r="AQ5" s="44">
        <f>'Project Pop Settlements'!AQ5*Pop_Wilayat!AT$11</f>
        <v>24552.056684479896</v>
      </c>
      <c r="AR5" s="44">
        <f>'Project Pop Settlements'!AR5*Pop_Wilayat!AU$11</f>
        <v>25411.642669046207</v>
      </c>
      <c r="AS5" s="44">
        <f>'Project Pop Settlements'!AS5*Pop_Wilayat!AV$11</f>
        <v>26298.346796221438</v>
      </c>
      <c r="AT5" s="44">
        <f>'Project Pop Settlements'!AT5*Pop_Wilayat!AW$11</f>
        <v>27212.97561532371</v>
      </c>
      <c r="AU5" s="44">
        <f>'Project Pop Settlements'!AU5*Pop_Wilayat!AX$11</f>
        <v>28156.358769988263</v>
      </c>
      <c r="AV5" s="44">
        <f>'Project Pop Settlements'!AV5*Pop_Wilayat!AY$11</f>
        <v>29129.349642122292</v>
      </c>
      <c r="AW5" s="44">
        <f>'Project Pop Settlements'!AW5*Pop_Wilayat!AZ$11</f>
        <v>30132.826013467238</v>
      </c>
      <c r="AX5" s="44">
        <f>'Project Pop Settlements'!AX5*Pop_Wilayat!BA$11</f>
        <v>31167.690745242882</v>
      </c>
      <c r="AY5" s="44">
        <f>'Project Pop Settlements'!AY5*Pop_Wilayat!BB$11</f>
        <v>31915.715323128712</v>
      </c>
      <c r="AZ5" s="44">
        <f>'Project Pop Settlements'!AZ5*Pop_Wilayat!BC$11</f>
        <v>32681.692490883801</v>
      </c>
      <c r="BA5" s="44">
        <f>'Project Pop Settlements'!BA5*Pop_Wilayat!BD$11</f>
        <v>33466.053110665016</v>
      </c>
      <c r="BB5" s="44">
        <f>'Project Pop Settlements'!BB5*Pop_Wilayat!BE$11</f>
        <v>34269.238385320976</v>
      </c>
      <c r="BC5" s="44">
        <f>'Project Pop Settlements'!BC5*Pop_Wilayat!BF$11</f>
        <v>35091.700106568678</v>
      </c>
      <c r="BD5" s="44">
        <f>'Project Pop Settlements'!BD5*Pop_Wilayat!BG$11</f>
        <v>35933.900909126329</v>
      </c>
      <c r="BE5" s="44">
        <f>'Project Pop Settlements'!BE5*Pop_Wilayat!BH$11</f>
        <v>36796.314530945361</v>
      </c>
      <c r="BF5" s="44">
        <f>'Project Pop Settlements'!BF5*Pop_Wilayat!BI$11</f>
        <v>37679.426079688048</v>
      </c>
      <c r="BG5" s="44">
        <f>'Project Pop Settlements'!BG5*Pop_Wilayat!BJ$11</f>
        <v>38583.732305600563</v>
      </c>
      <c r="BH5" s="44">
        <f>'Project Pop Settlements'!BH5*Pop_Wilayat!BK$11</f>
        <v>39509.741880934977</v>
      </c>
      <c r="BI5" s="44">
        <f>'Project Pop Settlements'!BI5*Pop_Wilayat!BL$11</f>
        <v>40457.975686077414</v>
      </c>
      <c r="BJ5" s="44">
        <f>'Project Pop Settlements'!BJ5*Pop_Wilayat!BM$11</f>
        <v>41428.967102543276</v>
      </c>
      <c r="BK5" s="44">
        <f>'Project Pop Settlements'!BK5*Pop_Wilayat!BN$11</f>
        <v>42423.262313004314</v>
      </c>
      <c r="BL5" s="44">
        <f>'Project Pop Settlements'!BL5*Pop_Wilayat!BO$11</f>
        <v>43441.420608516419</v>
      </c>
      <c r="BM5" s="44">
        <f>'Project Pop Settlements'!BM5*Pop_Wilayat!BP$11</f>
        <v>44484.014703120811</v>
      </c>
      <c r="BN5" s="44">
        <f>'Project Pop Settlements'!BN5*Pop_Wilayat!BQ$11</f>
        <v>45551.631055995713</v>
      </c>
      <c r="BO5" s="44">
        <f>'Project Pop Settlements'!BO5*Pop_Wilayat!BR$11</f>
        <v>46644.870201339611</v>
      </c>
      <c r="BP5" s="44">
        <f>'Project Pop Settlements'!BP5*Pop_Wilayat!BS$11</f>
        <v>47764.347086171765</v>
      </c>
      <c r="BQ5" s="44">
        <f>'Project Pop Settlements'!BQ5*Pop_Wilayat!BT$11</f>
        <v>48910.69141623989</v>
      </c>
      <c r="BR5" s="44">
        <f>'Project Pop Settlements'!BR5*Pop_Wilayat!BU$11</f>
        <v>50084.548010229657</v>
      </c>
      <c r="BS5" s="44">
        <f>'Project Pop Settlements'!BS5*Pop_Wilayat!BV$11</f>
        <v>51286.577162475172</v>
      </c>
      <c r="BT5" s="44">
        <f>'Project Pop Settlements'!BT5*Pop_Wilayat!BW$11</f>
        <v>52517.45501437458</v>
      </c>
      <c r="BU5" s="44">
        <f>'Project Pop Settlements'!BU5*Pop_Wilayat!BX$11</f>
        <v>53777.873934719573</v>
      </c>
      <c r="BV5" s="44">
        <f>'Project Pop Settlements'!BV5*Pop_Wilayat!BY$11</f>
        <v>55068.542909152842</v>
      </c>
      <c r="BW5" s="44">
        <f>'Project Pop Settlements'!BW5*Pop_Wilayat!BZ$11</f>
        <v>56390.187938972515</v>
      </c>
      <c r="BX5" s="44">
        <f>'Project Pop Settlements'!BX5*Pop_Wilayat!CA$11</f>
        <v>57743.552449507857</v>
      </c>
      <c r="BY5" s="44">
        <f>'Project Pop Settlements'!BY5*Pop_Wilayat!CB$11</f>
        <v>59129.397708296048</v>
      </c>
      <c r="BZ5" s="44">
        <f>'Project Pop Settlements'!BZ5*Pop_Wilayat!CC$11</f>
        <v>60548.503253295152</v>
      </c>
      <c r="CA5" s="44">
        <f>'Project Pop Settlements'!CA5*Pop_Wilayat!CD$11</f>
        <v>62001.667331374236</v>
      </c>
      <c r="CB5" s="44">
        <f>'Project Pop Settlements'!CB5*Pop_Wilayat!CE$11</f>
        <v>63489.707347327218</v>
      </c>
    </row>
    <row r="6" spans="1:80" x14ac:dyDescent="0.25">
      <c r="A6" s="33">
        <v>5</v>
      </c>
      <c r="B6" s="36" t="s">
        <v>43</v>
      </c>
      <c r="C6" s="34">
        <f>'Project Pop Settlements'!C6*Pop_Wilayat!F$11</f>
        <v>2181.0271374610484</v>
      </c>
      <c r="D6" s="34">
        <f>'Project Pop Settlements'!D6*Pop_Wilayat!G$11</f>
        <v>2301.9219508104889</v>
      </c>
      <c r="E6" s="34">
        <f>'Project Pop Settlements'!E6*Pop_Wilayat!H$11</f>
        <v>2481.9316384173021</v>
      </c>
      <c r="F6" s="34">
        <f>'Project Pop Settlements'!F6*Pop_Wilayat!I$11</f>
        <v>2678.2690121551664</v>
      </c>
      <c r="G6" s="34">
        <f>'Project Pop Settlements'!G6*Pop_Wilayat!J$11</f>
        <v>2882.5291514121704</v>
      </c>
      <c r="H6" s="34">
        <f>'Project Pop Settlements'!H6*Pop_Wilayat!K$11</f>
        <v>3095.0570890452504</v>
      </c>
      <c r="I6" s="34">
        <f>'Project Pop Settlements'!I6*Pop_Wilayat!L$11</f>
        <v>3316.0579233314024</v>
      </c>
      <c r="J6" s="34">
        <f>'Project Pop Settlements'!J6*Pop_Wilayat!M$11</f>
        <v>3530.5218072044763</v>
      </c>
      <c r="K6" s="34">
        <f>'Project Pop Settlements'!K6*Pop_Wilayat!N$11</f>
        <v>3767.8227782698523</v>
      </c>
      <c r="L6" s="34">
        <f>'Project Pop Settlements'!L6*Pop_Wilayat!O$11</f>
        <v>4014.3705560655671</v>
      </c>
      <c r="M6" s="34">
        <f>'Project Pop Settlements'!M6*Pop_Wilayat!P$11</f>
        <v>4217.3555882581777</v>
      </c>
      <c r="N6" s="34">
        <f>'Project Pop Settlements'!N6*Pop_Wilayat!Q$11</f>
        <v>4537.3479521678692</v>
      </c>
      <c r="O6" s="34">
        <f>'Project Pop Settlements'!O6*Pop_Wilayat!R$11</f>
        <v>4792.3751366179704</v>
      </c>
      <c r="P6" s="34">
        <f>'Project Pop Settlements'!P6*Pop_Wilayat!S$11</f>
        <v>4916.1817334697698</v>
      </c>
      <c r="Q6" s="34">
        <f>'Project Pop Settlements'!Q6*Pop_Wilayat!T$11</f>
        <v>5044.8707321852344</v>
      </c>
      <c r="R6" s="34">
        <f>'Project Pop Settlements'!R6*Pop_Wilayat!U$11</f>
        <v>5178.0848838475104</v>
      </c>
      <c r="S6" s="34">
        <f>'Project Pop Settlements'!S6*Pop_Wilayat!V$11</f>
        <v>5317.0150181794434</v>
      </c>
      <c r="T6" s="34">
        <f>'Project Pop Settlements'!T6*Pop_Wilayat!W$11</f>
        <v>5432.6644314297537</v>
      </c>
      <c r="U6" s="34">
        <f>'Project Pop Settlements'!U6*Pop_Wilayat!X$11</f>
        <v>5536.300601005687</v>
      </c>
      <c r="V6" s="34">
        <f>'Project Pop Settlements'!V6*Pop_Wilayat!Y$11</f>
        <v>5644.6681921526952</v>
      </c>
      <c r="W6" s="34">
        <f>'Project Pop Settlements'!W6*Pop_Wilayat!Z$11</f>
        <v>5756.4093701859492</v>
      </c>
      <c r="X6" s="34">
        <f>'Project Pop Settlements'!X6*Pop_Wilayat!AA$11</f>
        <v>5871.7563000081209</v>
      </c>
      <c r="Y6" s="34">
        <f>'Project Pop Settlements'!Y6*Pop_Wilayat!AB$11</f>
        <v>5990.9411465252251</v>
      </c>
      <c r="Z6" s="34">
        <f>'Project Pop Settlements'!Z6*Pop_Wilayat!AC$11</f>
        <v>6114.1960748235706</v>
      </c>
      <c r="AA6" s="34">
        <f>'Project Pop Settlements'!AA6*Pop_Wilayat!AD$11</f>
        <v>6241.7532496838394</v>
      </c>
      <c r="AB6" s="34">
        <f>'Project Pop Settlements'!AB6*Pop_Wilayat!AE$11</f>
        <v>6373.84483639057</v>
      </c>
      <c r="AC6" s="34">
        <f>'Project Pop Settlements'!AC6*Pop_Wilayat!AF$11</f>
        <v>6510.7029995498742</v>
      </c>
      <c r="AD6" s="34">
        <f>'Project Pop Settlements'!AD6*Pop_Wilayat!AG$11</f>
        <v>6652.5599045627932</v>
      </c>
      <c r="AE6" s="44">
        <f>'Project Pop Settlements'!AE6*Pop_Wilayat!AH$11</f>
        <v>6884.4971854217483</v>
      </c>
      <c r="AF6" s="44">
        <f>'Project Pop Settlements'!AF6*Pop_Wilayat!AI$11</f>
        <v>7125.5257702661647</v>
      </c>
      <c r="AG6" s="44">
        <f>'Project Pop Settlements'!AG6*Pop_Wilayat!AJ$11</f>
        <v>7376.0597581544398</v>
      </c>
      <c r="AH6" s="44">
        <f>'Project Pop Settlements'!AH6*Pop_Wilayat!AK$11</f>
        <v>7636.5336700767102</v>
      </c>
      <c r="AI6" s="44">
        <f>'Project Pop Settlements'!AI6*Pop_Wilayat!AL$11</f>
        <v>7907.4035466207415</v>
      </c>
      <c r="AJ6" s="44">
        <f>'Project Pop Settlements'!AJ6*Pop_Wilayat!AM$11</f>
        <v>8189.1481083793697</v>
      </c>
      <c r="AK6" s="44">
        <f>'Project Pop Settlements'!AK6*Pop_Wilayat!AN$11</f>
        <v>8482.2699829103021</v>
      </c>
      <c r="AL6" s="44">
        <f>'Project Pop Settlements'!AL6*Pop_Wilayat!AO$11</f>
        <v>8785.6817551725671</v>
      </c>
      <c r="AM6" s="44">
        <f>'Project Pop Settlements'!AM6*Pop_Wilayat!AP$11</f>
        <v>9098.7715049932613</v>
      </c>
      <c r="AN6" s="44">
        <f>'Project Pop Settlements'!AN6*Pop_Wilayat!AQ$11</f>
        <v>9421.8290101143721</v>
      </c>
      <c r="AO6" s="44">
        <f>'Project Pop Settlements'!AO6*Pop_Wilayat!AR$11</f>
        <v>9755.1523830944188</v>
      </c>
      <c r="AP6" s="44">
        <f>'Project Pop Settlements'!AP6*Pop_Wilayat!AS$11</f>
        <v>10099.048304467682</v>
      </c>
      <c r="AQ6" s="44">
        <f>'Project Pop Settlements'!AQ6*Pop_Wilayat!AT$11</f>
        <v>10453.8322622942</v>
      </c>
      <c r="AR6" s="44">
        <f>'Project Pop Settlements'!AR6*Pop_Wilayat!AU$11</f>
        <v>10819.828798273014</v>
      </c>
      <c r="AS6" s="44">
        <f>'Project Pop Settlements'!AS6*Pop_Wilayat!AV$11</f>
        <v>11197.371760595734</v>
      </c>
      <c r="AT6" s="44">
        <f>'Project Pop Settlements'!AT6*Pop_Wilayat!AW$11</f>
        <v>11586.804563722137</v>
      </c>
      <c r="AU6" s="44">
        <f>'Project Pop Settlements'!AU6*Pop_Wilayat!AX$11</f>
        <v>11988.480455264506</v>
      </c>
      <c r="AV6" s="44">
        <f>'Project Pop Settlements'!AV6*Pop_Wilayat!AY$11</f>
        <v>12402.762790172204</v>
      </c>
      <c r="AW6" s="44">
        <f>'Project Pop Settlements'!AW6*Pop_Wilayat!AZ$11</f>
        <v>12830.025312413238</v>
      </c>
      <c r="AX6" s="44">
        <f>'Project Pop Settlements'!AX6*Pop_Wilayat!BA$11</f>
        <v>13270.652444354704</v>
      </c>
      <c r="AY6" s="44">
        <f>'Project Pop Settlements'!AY6*Pop_Wilayat!BB$11</f>
        <v>13589.148103019217</v>
      </c>
      <c r="AZ6" s="44">
        <f>'Project Pop Settlements'!AZ6*Pop_Wilayat!BC$11</f>
        <v>13915.287657491679</v>
      </c>
      <c r="BA6" s="44">
        <f>'Project Pop Settlements'!BA6*Pop_Wilayat!BD$11</f>
        <v>14249.25456127148</v>
      </c>
      <c r="BB6" s="44">
        <f>'Project Pop Settlements'!BB6*Pop_Wilayat!BE$11</f>
        <v>14591.236670741995</v>
      </c>
      <c r="BC6" s="44">
        <f>'Project Pop Settlements'!BC6*Pop_Wilayat!BF$11</f>
        <v>14941.426350839803</v>
      </c>
      <c r="BD6" s="44">
        <f>'Project Pop Settlements'!BD6*Pop_Wilayat!BG$11</f>
        <v>15300.020583259959</v>
      </c>
      <c r="BE6" s="44">
        <f>'Project Pop Settlements'!BE6*Pop_Wilayat!BH$11</f>
        <v>15667.221077258198</v>
      </c>
      <c r="BF6" s="44">
        <f>'Project Pop Settlements'!BF6*Pop_Wilayat!BI$11</f>
        <v>16043.234383112396</v>
      </c>
      <c r="BG6" s="44">
        <f>'Project Pop Settlements'!BG6*Pop_Wilayat!BJ$11</f>
        <v>16428.272008307093</v>
      </c>
      <c r="BH6" s="44">
        <f>'Project Pop Settlements'!BH6*Pop_Wilayat!BK$11</f>
        <v>16822.550536506464</v>
      </c>
      <c r="BI6" s="44">
        <f>'Project Pop Settlements'!BI6*Pop_Wilayat!BL$11</f>
        <v>17226.291749382621</v>
      </c>
      <c r="BJ6" s="44">
        <f>'Project Pop Settlements'!BJ6*Pop_Wilayat!BM$11</f>
        <v>17639.722751367804</v>
      </c>
      <c r="BK6" s="44">
        <f>'Project Pop Settlements'!BK6*Pop_Wilayat!BN$11</f>
        <v>18063.076097400633</v>
      </c>
      <c r="BL6" s="44">
        <f>'Project Pop Settlements'!BL6*Pop_Wilayat!BO$11</f>
        <v>18496.589923738247</v>
      </c>
      <c r="BM6" s="44">
        <f>'Project Pop Settlements'!BM6*Pop_Wilayat!BP$11</f>
        <v>18940.508081907967</v>
      </c>
      <c r="BN6" s="44">
        <f>'Project Pop Settlements'!BN6*Pop_Wilayat!BQ$11</f>
        <v>19395.080275873759</v>
      </c>
      <c r="BO6" s="44">
        <f>'Project Pop Settlements'!BO6*Pop_Wilayat!BR$11</f>
        <v>19860.56220249473</v>
      </c>
      <c r="BP6" s="44">
        <f>'Project Pop Settlements'!BP6*Pop_Wilayat!BS$11</f>
        <v>20337.215695354604</v>
      </c>
      <c r="BQ6" s="44">
        <f>'Project Pop Settlements'!BQ6*Pop_Wilayat!BT$11</f>
        <v>20825.308872043115</v>
      </c>
      <c r="BR6" s="44">
        <f>'Project Pop Settlements'!BR6*Pop_Wilayat!BU$11</f>
        <v>21325.116284972151</v>
      </c>
      <c r="BS6" s="44">
        <f>'Project Pop Settlements'!BS6*Pop_Wilayat!BV$11</f>
        <v>21836.919075811482</v>
      </c>
      <c r="BT6" s="44">
        <f>'Project Pop Settlements'!BT6*Pop_Wilayat!BW$11</f>
        <v>22361.005133630959</v>
      </c>
      <c r="BU6" s="44">
        <f>'Project Pop Settlements'!BU6*Pop_Wilayat!BX$11</f>
        <v>22897.669256838104</v>
      </c>
      <c r="BV6" s="44">
        <f>'Project Pop Settlements'!BV6*Pop_Wilayat!BY$11</f>
        <v>23447.213319002218</v>
      </c>
      <c r="BW6" s="44">
        <f>'Project Pop Settlements'!BW6*Pop_Wilayat!BZ$11</f>
        <v>24009.946438658273</v>
      </c>
      <c r="BX6" s="44">
        <f>'Project Pop Settlements'!BX6*Pop_Wilayat!CA$11</f>
        <v>24586.185153186078</v>
      </c>
      <c r="BY6" s="44">
        <f>'Project Pop Settlements'!BY6*Pop_Wilayat!CB$11</f>
        <v>25176.253596862545</v>
      </c>
      <c r="BZ6" s="44">
        <f>'Project Pop Settlements'!BZ6*Pop_Wilayat!CC$11</f>
        <v>25780.483683187245</v>
      </c>
      <c r="CA6" s="44">
        <f>'Project Pop Settlements'!CA6*Pop_Wilayat!CD$11</f>
        <v>26399.21529158374</v>
      </c>
      <c r="CB6" s="44">
        <f>'Project Pop Settlements'!CB6*Pop_Wilayat!CE$11</f>
        <v>27032.79645858175</v>
      </c>
    </row>
    <row r="7" spans="1:80" x14ac:dyDescent="0.25">
      <c r="A7" s="33">
        <v>6</v>
      </c>
      <c r="B7" s="36" t="s">
        <v>39</v>
      </c>
      <c r="C7" s="34">
        <f>'Project Pop Settlements'!C7*Pop_Wilayat!F$11</f>
        <v>302.41534683531876</v>
      </c>
      <c r="D7" s="34">
        <f>'Project Pop Settlements'!D7*Pop_Wilayat!G$11</f>
        <v>319.17829594388525</v>
      </c>
      <c r="E7" s="34">
        <f>'Project Pop Settlements'!E7*Pop_Wilayat!H$11</f>
        <v>344.13795425180666</v>
      </c>
      <c r="F7" s="34">
        <f>'Project Pop Settlements'!F7*Pop_Wilayat!I$11</f>
        <v>371.3615655291938</v>
      </c>
      <c r="G7" s="34">
        <f>'Project Pop Settlements'!G7*Pop_Wilayat!J$11</f>
        <v>399.68372612823418</v>
      </c>
      <c r="H7" s="34">
        <f>'Project Pop Settlements'!H7*Pop_Wilayat!K$11</f>
        <v>429.1522773752958</v>
      </c>
      <c r="I7" s="34">
        <f>'Project Pop Settlements'!I7*Pop_Wilayat!L$11</f>
        <v>459.79565764489831</v>
      </c>
      <c r="J7" s="34">
        <f>'Project Pop Settlements'!J7*Pop_Wilayat!M$11</f>
        <v>489.53264198184053</v>
      </c>
      <c r="K7" s="34">
        <f>'Project Pop Settlements'!K7*Pop_Wilayat!N$11</f>
        <v>522.43615530200668</v>
      </c>
      <c r="L7" s="34">
        <f>'Project Pop Settlements'!L7*Pop_Wilayat!O$11</f>
        <v>556.62180593098697</v>
      </c>
      <c r="M7" s="34">
        <f>'Project Pop Settlements'!M7*Pop_Wilayat!P$11</f>
        <v>584.76716361982631</v>
      </c>
      <c r="N7" s="34">
        <f>'Project Pop Settlements'!N7*Pop_Wilayat!Q$11</f>
        <v>629.13644268760265</v>
      </c>
      <c r="O7" s="34">
        <f>'Project Pop Settlements'!O7*Pop_Wilayat!R$11</f>
        <v>664.49782499836715</v>
      </c>
      <c r="P7" s="34">
        <f>'Project Pop Settlements'!P7*Pop_Wilayat!S$11</f>
        <v>681.66451416254813</v>
      </c>
      <c r="Q7" s="34">
        <f>'Project Pop Settlements'!Q7*Pop_Wilayat!T$11</f>
        <v>699.50818401515323</v>
      </c>
      <c r="R7" s="34">
        <f>'Project Pop Settlements'!R7*Pop_Wilayat!U$11</f>
        <v>717.97929938385835</v>
      </c>
      <c r="S7" s="34">
        <f>'Project Pop Settlements'!S7*Pop_Wilayat!V$11</f>
        <v>737.2429775097429</v>
      </c>
      <c r="T7" s="34">
        <f>'Project Pop Settlements'!T7*Pop_Wilayat!W$11</f>
        <v>753.27861357253278</v>
      </c>
      <c r="U7" s="34">
        <f>'Project Pop Settlements'!U7*Pop_Wilayat!X$11</f>
        <v>767.64852563308341</v>
      </c>
      <c r="V7" s="34">
        <f>'Project Pop Settlements'!V7*Pop_Wilayat!Y$11</f>
        <v>782.67448386145315</v>
      </c>
      <c r="W7" s="34">
        <f>'Project Pop Settlements'!W7*Pop_Wilayat!Z$11</f>
        <v>798.16821455847298</v>
      </c>
      <c r="X7" s="34">
        <f>'Project Pop Settlements'!X7*Pop_Wilayat!AA$11</f>
        <v>814.16190908405724</v>
      </c>
      <c r="Y7" s="34">
        <f>'Project Pop Settlements'!Y7*Pop_Wilayat!AB$11</f>
        <v>830.68775879858322</v>
      </c>
      <c r="Z7" s="34">
        <f>'Project Pop Settlements'!Z7*Pop_Wilayat!AC$11</f>
        <v>847.77795508742793</v>
      </c>
      <c r="AA7" s="34">
        <f>'Project Pop Settlements'!AA7*Pop_Wilayat!AD$11</f>
        <v>865.4646892935906</v>
      </c>
      <c r="AB7" s="34">
        <f>'Project Pop Settlements'!AB7*Pop_Wilayat!AE$11</f>
        <v>883.7801528299342</v>
      </c>
      <c r="AC7" s="34">
        <f>'Project Pop Settlements'!AC7*Pop_Wilayat!AF$11</f>
        <v>902.75653701525243</v>
      </c>
      <c r="AD7" s="34">
        <f>'Project Pop Settlements'!AD7*Pop_Wilayat!AG$11</f>
        <v>922.42603327856204</v>
      </c>
      <c r="AE7" s="44">
        <f>'Project Pop Settlements'!AE7*Pop_Wilayat!AH$11</f>
        <v>954.58583176536752</v>
      </c>
      <c r="AF7" s="44">
        <f>'Project Pop Settlements'!AF7*Pop_Wilayat!AI$11</f>
        <v>988.00620596933209</v>
      </c>
      <c r="AG7" s="44">
        <f>'Project Pop Settlements'!AG7*Pop_Wilayat!AJ$11</f>
        <v>1022.7445737502426</v>
      </c>
      <c r="AH7" s="44">
        <f>'Project Pop Settlements'!AH7*Pop_Wilayat!AK$11</f>
        <v>1058.8611846179203</v>
      </c>
      <c r="AI7" s="44">
        <f>'Project Pop Settlements'!AI7*Pop_Wilayat!AL$11</f>
        <v>1096.4192719316168</v>
      </c>
      <c r="AJ7" s="44">
        <f>'Project Pop Settlements'!AJ7*Pop_Wilayat!AM$11</f>
        <v>1135.4852137989824</v>
      </c>
      <c r="AK7" s="44">
        <f>'Project Pop Settlements'!AK7*Pop_Wilayat!AN$11</f>
        <v>1176.1287032030084</v>
      </c>
      <c r="AL7" s="44">
        <f>'Project Pop Settlements'!AL7*Pop_Wilayat!AO$11</f>
        <v>1218.1989621037872</v>
      </c>
      <c r="AM7" s="44">
        <f>'Project Pop Settlements'!AM7*Pop_Wilayat!AP$11</f>
        <v>1261.6111432987584</v>
      </c>
      <c r="AN7" s="44">
        <f>'Project Pop Settlements'!AN7*Pop_Wilayat!AQ$11</f>
        <v>1306.4054265889167</v>
      </c>
      <c r="AO7" s="44">
        <f>'Project Pop Settlements'!AO7*Pop_Wilayat!AR$11</f>
        <v>1352.6231474584624</v>
      </c>
      <c r="AP7" s="44">
        <f>'Project Pop Settlements'!AP7*Pop_Wilayat!AS$11</f>
        <v>1400.3068294040311</v>
      </c>
      <c r="AQ7" s="44">
        <f>'Project Pop Settlements'!AQ7*Pop_Wilayat!AT$11</f>
        <v>1449.500217150051</v>
      </c>
      <c r="AR7" s="44">
        <f>'Project Pop Settlements'!AR7*Pop_Wilayat!AU$11</f>
        <v>1500.2483107741432</v>
      </c>
      <c r="AS7" s="44">
        <f>'Project Pop Settlements'!AS7*Pop_Wilayat!AV$11</f>
        <v>1552.5974007671134</v>
      </c>
      <c r="AT7" s="44">
        <f>'Project Pop Settlements'!AT7*Pop_Wilayat!AW$11</f>
        <v>1606.5951040527402</v>
      </c>
      <c r="AU7" s="44">
        <f>'Project Pop Settlements'!AU7*Pop_Wilayat!AX$11</f>
        <v>1662.2904009932352</v>
      </c>
      <c r="AV7" s="44">
        <f>'Project Pop Settlements'!AV7*Pop_Wilayat!AY$11</f>
        <v>1719.7336734069397</v>
      </c>
      <c r="AW7" s="44">
        <f>'Project Pop Settlements'!AW7*Pop_Wilayat!AZ$11</f>
        <v>1778.9767436255297</v>
      </c>
      <c r="AX7" s="44">
        <f>'Project Pop Settlements'!AX7*Pop_Wilayat!BA$11</f>
        <v>1840.0729146187298</v>
      </c>
      <c r="AY7" s="44">
        <f>'Project Pop Settlements'!AY7*Pop_Wilayat!BB$11</f>
        <v>1884.2346645695793</v>
      </c>
      <c r="AZ7" s="44">
        <f>'Project Pop Settlements'!AZ7*Pop_Wilayat!BC$11</f>
        <v>1929.4562965192492</v>
      </c>
      <c r="BA7" s="44">
        <f>'Project Pop Settlements'!BA7*Pop_Wilayat!BD$11</f>
        <v>1975.7632476357112</v>
      </c>
      <c r="BB7" s="44">
        <f>'Project Pop Settlements'!BB7*Pop_Wilayat!BE$11</f>
        <v>2023.1815655789683</v>
      </c>
      <c r="BC7" s="44">
        <f>'Project Pop Settlements'!BC7*Pop_Wilayat!BF$11</f>
        <v>2071.7379231528635</v>
      </c>
      <c r="BD7" s="44">
        <f>'Project Pop Settlements'!BD7*Pop_Wilayat!BG$11</f>
        <v>2121.4596333085324</v>
      </c>
      <c r="BE7" s="44">
        <f>'Project Pop Settlements'!BE7*Pop_Wilayat!BH$11</f>
        <v>2172.3746645079373</v>
      </c>
      <c r="BF7" s="44">
        <f>'Project Pop Settlements'!BF7*Pop_Wilayat!BI$11</f>
        <v>2224.5116564561276</v>
      </c>
      <c r="BG7" s="44">
        <f>'Project Pop Settlements'!BG7*Pop_Wilayat!BJ$11</f>
        <v>2277.8999362110749</v>
      </c>
      <c r="BH7" s="44">
        <f>'Project Pop Settlements'!BH7*Pop_Wilayat!BK$11</f>
        <v>2332.5695346801408</v>
      </c>
      <c r="BI7" s="44">
        <f>'Project Pop Settlements'!BI7*Pop_Wilayat!BL$11</f>
        <v>2388.5512035124643</v>
      </c>
      <c r="BJ7" s="44">
        <f>'Project Pop Settlements'!BJ7*Pop_Wilayat!BM$11</f>
        <v>2445.8764323967634</v>
      </c>
      <c r="BK7" s="44">
        <f>'Project Pop Settlements'!BK7*Pop_Wilayat!BN$11</f>
        <v>2504.5774667742858</v>
      </c>
      <c r="BL7" s="44">
        <f>'Project Pop Settlements'!BL7*Pop_Wilayat!BO$11</f>
        <v>2564.6873259768686</v>
      </c>
      <c r="BM7" s="44">
        <f>'Project Pop Settlements'!BM7*Pop_Wilayat!BP$11</f>
        <v>2626.2398218003136</v>
      </c>
      <c r="BN7" s="44">
        <f>'Project Pop Settlements'!BN7*Pop_Wilayat!BQ$11</f>
        <v>2689.2695775235211</v>
      </c>
      <c r="BO7" s="44">
        <f>'Project Pop Settlements'!BO7*Pop_Wilayat!BR$11</f>
        <v>2753.8120473840859</v>
      </c>
      <c r="BP7" s="44">
        <f>'Project Pop Settlements'!BP7*Pop_Wilayat!BS$11</f>
        <v>2819.903536521304</v>
      </c>
      <c r="BQ7" s="44">
        <f>'Project Pop Settlements'!BQ7*Pop_Wilayat!BT$11</f>
        <v>2887.5812213978152</v>
      </c>
      <c r="BR7" s="44">
        <f>'Project Pop Settlements'!BR7*Pop_Wilayat!BU$11</f>
        <v>2956.8831707113627</v>
      </c>
      <c r="BS7" s="44">
        <f>'Project Pop Settlements'!BS7*Pop_Wilayat!BV$11</f>
        <v>3027.8483668084355</v>
      </c>
      <c r="BT7" s="44">
        <f>'Project Pop Settlements'!BT7*Pop_Wilayat!BW$11</f>
        <v>3100.5167276118386</v>
      </c>
      <c r="BU7" s="44">
        <f>'Project Pop Settlements'!BU7*Pop_Wilayat!BX$11</f>
        <v>3174.9291290745227</v>
      </c>
      <c r="BV7" s="44">
        <f>'Project Pop Settlements'!BV7*Pop_Wilayat!BY$11</f>
        <v>3251.1274281723113</v>
      </c>
      <c r="BW7" s="44">
        <f>'Project Pop Settlements'!BW7*Pop_Wilayat!BZ$11</f>
        <v>3329.1544864484467</v>
      </c>
      <c r="BX7" s="44">
        <f>'Project Pop Settlements'!BX7*Pop_Wilayat!CA$11</f>
        <v>3409.0541941232095</v>
      </c>
      <c r="BY7" s="44">
        <f>'Project Pop Settlements'!BY7*Pop_Wilayat!CB$11</f>
        <v>3490.8714947821668</v>
      </c>
      <c r="BZ7" s="44">
        <f>'Project Pop Settlements'!BZ7*Pop_Wilayat!CC$11</f>
        <v>3574.6524106569386</v>
      </c>
      <c r="CA7" s="44">
        <f>'Project Pop Settlements'!CA7*Pop_Wilayat!CD$11</f>
        <v>3660.4440685127051</v>
      </c>
      <c r="CB7" s="44">
        <f>'Project Pop Settlements'!CB7*Pop_Wilayat!CE$11</f>
        <v>3748.2947261570102</v>
      </c>
    </row>
    <row r="8" spans="1:80" x14ac:dyDescent="0.25">
      <c r="A8" s="33">
        <v>7</v>
      </c>
      <c r="B8" s="36" t="s">
        <v>50</v>
      </c>
      <c r="C8" s="34">
        <f>'Project Pop Settlements'!C8*Pop_Wilayat!F$11</f>
        <v>198.57969768458429</v>
      </c>
      <c r="D8" s="34">
        <f>'Project Pop Settlements'!D8*Pop_Wilayat!G$11</f>
        <v>209.58701395049428</v>
      </c>
      <c r="E8" s="34">
        <f>'Project Pop Settlements'!E8*Pop_Wilayat!H$11</f>
        <v>225.97666299762625</v>
      </c>
      <c r="F8" s="34">
        <f>'Project Pop Settlements'!F8*Pop_Wilayat!I$11</f>
        <v>243.85292673198643</v>
      </c>
      <c r="G8" s="34">
        <f>'Project Pop Settlements'!G8*Pop_Wilayat!J$11</f>
        <v>262.45054801141964</v>
      </c>
      <c r="H8" s="34">
        <f>'Project Pop Settlements'!H8*Pop_Wilayat!K$11</f>
        <v>281.80094163093003</v>
      </c>
      <c r="I8" s="34">
        <f>'Project Pop Settlements'!I8*Pop_Wilayat!L$11</f>
        <v>301.92278152315316</v>
      </c>
      <c r="J8" s="34">
        <f>'Project Pop Settlements'!J8*Pop_Wilayat!M$11</f>
        <v>321.44944054187317</v>
      </c>
      <c r="K8" s="34">
        <f>'Project Pop Settlements'!K8*Pop_Wilayat!N$11</f>
        <v>343.05538678850132</v>
      </c>
      <c r="L8" s="34">
        <f>'Project Pop Settlements'!L8*Pop_Wilayat!O$11</f>
        <v>365.50324281860691</v>
      </c>
      <c r="M8" s="34">
        <f>'Project Pop Settlements'!M8*Pop_Wilayat!P$11</f>
        <v>383.98476725036068</v>
      </c>
      <c r="N8" s="34">
        <f>'Project Pop Settlements'!N8*Pop_Wilayat!Q$11</f>
        <v>413.11965777746065</v>
      </c>
      <c r="O8" s="34">
        <f>'Project Pop Settlements'!O8*Pop_Wilayat!R$11</f>
        <v>436.33955280747205</v>
      </c>
      <c r="P8" s="34">
        <f>'Project Pop Settlements'!P8*Pop_Wilayat!S$11</f>
        <v>447.61198319217959</v>
      </c>
      <c r="Q8" s="34">
        <f>'Project Pop Settlements'!Q8*Pop_Wilayat!T$11</f>
        <v>459.32894994665912</v>
      </c>
      <c r="R8" s="34">
        <f>'Project Pop Settlements'!R8*Pop_Wilayat!U$11</f>
        <v>471.45792601946397</v>
      </c>
      <c r="S8" s="34">
        <f>'Project Pop Settlements'!S8*Pop_Wilayat!V$11</f>
        <v>484.10733491541663</v>
      </c>
      <c r="T8" s="34">
        <f>'Project Pop Settlements'!T8*Pop_Wilayat!W$11</f>
        <v>494.63706429209037</v>
      </c>
      <c r="U8" s="34">
        <f>'Project Pop Settlements'!U8*Pop_Wilayat!X$11</f>
        <v>504.07300338248365</v>
      </c>
      <c r="V8" s="34">
        <f>'Project Pop Settlements'!V8*Pop_Wilayat!Y$11</f>
        <v>513.93973228244147</v>
      </c>
      <c r="W8" s="34">
        <f>'Project Pop Settlements'!W8*Pop_Wilayat!Z$11</f>
        <v>524.11362190152897</v>
      </c>
      <c r="X8" s="34">
        <f>'Project Pop Settlements'!X8*Pop_Wilayat!AA$11</f>
        <v>534.61581055361353</v>
      </c>
      <c r="Y8" s="34">
        <f>'Project Pop Settlements'!Y8*Pop_Wilayat!AB$11</f>
        <v>545.46743655286707</v>
      </c>
      <c r="Z8" s="34">
        <f>'Project Pop Settlements'!Z8*Pop_Wilayat!AC$11</f>
        <v>556.68963822987757</v>
      </c>
      <c r="AA8" s="34">
        <f>'Project Pop Settlements'!AA8*Pop_Wilayat!AD$11</f>
        <v>568.30355388740531</v>
      </c>
      <c r="AB8" s="34">
        <f>'Project Pop Settlements'!AB8*Pop_Wilayat!AE$11</f>
        <v>580.33032187408651</v>
      </c>
      <c r="AC8" s="34">
        <f>'Project Pop Settlements'!AC8*Pop_Wilayat!AF$11</f>
        <v>592.79108047678756</v>
      </c>
      <c r="AD8" s="34">
        <f>'Project Pop Settlements'!AD8*Pop_Wilayat!AG$11</f>
        <v>605.70696805475188</v>
      </c>
      <c r="AE8" s="44">
        <f>'Project Pop Settlements'!AE8*Pop_Wilayat!AH$11</f>
        <v>626.82455725099294</v>
      </c>
      <c r="AF8" s="44">
        <f>'Project Pop Settlements'!AF8*Pop_Wilayat!AI$11</f>
        <v>648.76989790707728</v>
      </c>
      <c r="AG8" s="44">
        <f>'Project Pop Settlements'!AG8*Pop_Wilayat!AJ$11</f>
        <v>671.58069320625111</v>
      </c>
      <c r="AH8" s="44">
        <f>'Project Pop Settlements'!AH8*Pop_Wilayat!AK$11</f>
        <v>695.29650572221033</v>
      </c>
      <c r="AI8" s="44">
        <f>'Project Pop Settlements'!AI8*Pop_Wilayat!AL$11</f>
        <v>719.95885736015964</v>
      </c>
      <c r="AJ8" s="44">
        <f>'Project Pop Settlements'!AJ8*Pop_Wilayat!AM$11</f>
        <v>745.61133501040774</v>
      </c>
      <c r="AK8" s="44">
        <f>'Project Pop Settlements'!AK8*Pop_Wilayat!AN$11</f>
        <v>772.29970226146895</v>
      </c>
      <c r="AL8" s="44">
        <f>'Project Pop Settlements'!AL8*Pop_Wilayat!AO$11</f>
        <v>799.92495138144238</v>
      </c>
      <c r="AM8" s="44">
        <f>'Project Pop Settlements'!AM8*Pop_Wilayat!AP$11</f>
        <v>828.43136783067212</v>
      </c>
      <c r="AN8" s="44">
        <f>'Project Pop Settlements'!AN8*Pop_Wilayat!AQ$11</f>
        <v>857.84533549746902</v>
      </c>
      <c r="AO8" s="44">
        <f>'Project Pop Settlements'!AO8*Pop_Wilayat!AR$11</f>
        <v>888.19399714440169</v>
      </c>
      <c r="AP8" s="44">
        <f>'Project Pop Settlements'!AP8*Pop_Wilayat!AS$11</f>
        <v>919.5052756371407</v>
      </c>
      <c r="AQ8" s="44">
        <f>'Project Pop Settlements'!AQ8*Pop_Wilayat!AT$11</f>
        <v>951.80789575517588</v>
      </c>
      <c r="AR8" s="44">
        <f>'Project Pop Settlements'!AR8*Pop_Wilayat!AU$11</f>
        <v>985.1314066001097</v>
      </c>
      <c r="AS8" s="44">
        <f>'Project Pop Settlements'!AS8*Pop_Wilayat!AV$11</f>
        <v>1019.5062046176455</v>
      </c>
      <c r="AT8" s="44">
        <f>'Project Pop Settlements'!AT8*Pop_Wilayat!AW$11</f>
        <v>1054.9635572498214</v>
      </c>
      <c r="AU8" s="44">
        <f>'Project Pop Settlements'!AU8*Pop_Wilayat!AX$11</f>
        <v>1091.5356272344818</v>
      </c>
      <c r="AV8" s="44">
        <f>'Project Pop Settlements'!AV8*Pop_Wilayat!AY$11</f>
        <v>1129.2554975694302</v>
      </c>
      <c r="AW8" s="44">
        <f>'Project Pop Settlements'!AW8*Pop_Wilayat!AZ$11</f>
        <v>1168.1571971591691</v>
      </c>
      <c r="AX8" s="44">
        <f>'Project Pop Settlements'!AX8*Pop_Wilayat!BA$11</f>
        <v>1208.2757271626151</v>
      </c>
      <c r="AY8" s="44">
        <f>'Project Pop Settlements'!AY8*Pop_Wilayat!BB$11</f>
        <v>1237.274344614518</v>
      </c>
      <c r="AZ8" s="44">
        <f>'Project Pop Settlements'!AZ8*Pop_Wilayat!BC$11</f>
        <v>1266.9689288852665</v>
      </c>
      <c r="BA8" s="44">
        <f>'Project Pop Settlements'!BA8*Pop_Wilayat!BD$11</f>
        <v>1297.376183178513</v>
      </c>
      <c r="BB8" s="44">
        <f>'Project Pop Settlements'!BB8*Pop_Wilayat!BE$11</f>
        <v>1328.5132115747972</v>
      </c>
      <c r="BC8" s="44">
        <f>'Project Pop Settlements'!BC8*Pop_Wilayat!BF$11</f>
        <v>1360.3975286525924</v>
      </c>
      <c r="BD8" s="44">
        <f>'Project Pop Settlements'!BD8*Pop_Wilayat!BG$11</f>
        <v>1393.0470693402547</v>
      </c>
      <c r="BE8" s="44">
        <f>'Project Pop Settlements'!BE8*Pop_Wilayat!BH$11</f>
        <v>1426.4801990044209</v>
      </c>
      <c r="BF8" s="44">
        <f>'Project Pop Settlements'!BF8*Pop_Wilayat!BI$11</f>
        <v>1460.715723780527</v>
      </c>
      <c r="BG8" s="44">
        <f>'Project Pop Settlements'!BG8*Pop_Wilayat!BJ$11</f>
        <v>1495.7729011512597</v>
      </c>
      <c r="BH8" s="44">
        <f>'Project Pop Settlements'!BH8*Pop_Wilayat!BK$11</f>
        <v>1531.6714507788899</v>
      </c>
      <c r="BI8" s="44">
        <f>'Project Pop Settlements'!BI8*Pop_Wilayat!BL$11</f>
        <v>1568.4315655975836</v>
      </c>
      <c r="BJ8" s="44">
        <f>'Project Pop Settlements'!BJ8*Pop_Wilayat!BM$11</f>
        <v>1606.0739231719256</v>
      </c>
      <c r="BK8" s="44">
        <f>'Project Pop Settlements'!BK8*Pop_Wilayat!BN$11</f>
        <v>1644.6196973280519</v>
      </c>
      <c r="BL8" s="44">
        <f>'Project Pop Settlements'!BL8*Pop_Wilayat!BO$11</f>
        <v>1684.090570063925</v>
      </c>
      <c r="BM8" s="44">
        <f>'Project Pop Settlements'!BM8*Pop_Wilayat!BP$11</f>
        <v>1724.5087437454592</v>
      </c>
      <c r="BN8" s="44">
        <f>'Project Pop Settlements'!BN8*Pop_Wilayat!BQ$11</f>
        <v>1765.8969535953504</v>
      </c>
      <c r="BO8" s="44">
        <f>'Project Pop Settlements'!BO8*Pop_Wilayat!BR$11</f>
        <v>1808.2784804816388</v>
      </c>
      <c r="BP8" s="44">
        <f>'Project Pop Settlements'!BP8*Pop_Wilayat!BS$11</f>
        <v>1851.6771640131981</v>
      </c>
      <c r="BQ8" s="44">
        <f>'Project Pop Settlements'!BQ8*Pop_Wilayat!BT$11</f>
        <v>1896.1174159495149</v>
      </c>
      <c r="BR8" s="44">
        <f>'Project Pop Settlements'!BR8*Pop_Wilayat!BU$11</f>
        <v>1941.6242339323032</v>
      </c>
      <c r="BS8" s="44">
        <f>'Project Pop Settlements'!BS8*Pop_Wilayat!BV$11</f>
        <v>1988.2232155466786</v>
      </c>
      <c r="BT8" s="44">
        <f>'Project Pop Settlements'!BT8*Pop_Wilayat!BW$11</f>
        <v>2035.9405727197989</v>
      </c>
      <c r="BU8" s="44">
        <f>'Project Pop Settlements'!BU8*Pop_Wilayat!BX$11</f>
        <v>2084.803146465074</v>
      </c>
      <c r="BV8" s="44">
        <f>'Project Pop Settlements'!BV8*Pop_Wilayat!BY$11</f>
        <v>2134.8384219802356</v>
      </c>
      <c r="BW8" s="44">
        <f>'Project Pop Settlements'!BW8*Pop_Wilayat!BZ$11</f>
        <v>2186.0745441077611</v>
      </c>
      <c r="BX8" s="44">
        <f>'Project Pop Settlements'!BX8*Pop_Wilayat!CA$11</f>
        <v>2238.5403331663474</v>
      </c>
      <c r="BY8" s="44">
        <f>'Project Pop Settlements'!BY8*Pop_Wilayat!CB$11</f>
        <v>2292.2653011623397</v>
      </c>
      <c r="BZ8" s="44">
        <f>'Project Pop Settlements'!BZ8*Pop_Wilayat!CC$11</f>
        <v>2347.2796683902361</v>
      </c>
      <c r="CA8" s="44">
        <f>'Project Pop Settlements'!CA8*Pop_Wilayat!CD$11</f>
        <v>2403.6143804316016</v>
      </c>
      <c r="CB8" s="44">
        <f>'Project Pop Settlements'!CB8*Pop_Wilayat!CE$11</f>
        <v>2461.3011255619599</v>
      </c>
    </row>
    <row r="9" spans="1:80" x14ac:dyDescent="0.25">
      <c r="A9" s="33">
        <v>8</v>
      </c>
      <c r="B9" s="36" t="s">
        <v>47</v>
      </c>
      <c r="C9" s="34">
        <f>'Project Pop Settlements'!C9*Pop_Wilayat!F$11</f>
        <v>1286.2222346413555</v>
      </c>
      <c r="D9" s="34">
        <f>'Project Pop Settlements'!D9*Pop_Wilayat!G$11</f>
        <v>1357.5178156600691</v>
      </c>
      <c r="E9" s="34">
        <f>'Project Pop Settlements'!E9*Pop_Wilayat!H$11</f>
        <v>1463.6753497292032</v>
      </c>
      <c r="F9" s="34">
        <f>'Project Pop Settlements'!F9*Pop_Wilayat!I$11</f>
        <v>1579.4618483266975</v>
      </c>
      <c r="G9" s="34">
        <f>'Project Pop Settlements'!G9*Pop_Wilayat!J$11</f>
        <v>1699.9206579631227</v>
      </c>
      <c r="H9" s="34">
        <f>'Project Pop Settlements'!H9*Pop_Wilayat!K$11</f>
        <v>1825.2552556721441</v>
      </c>
      <c r="I9" s="34">
        <f>'Project Pop Settlements'!I9*Pop_Wilayat!L$11</f>
        <v>1955.5865945403268</v>
      </c>
      <c r="J9" s="34">
        <f>'Project Pop Settlements'!J9*Pop_Wilayat!M$11</f>
        <v>2082.0628823531447</v>
      </c>
      <c r="K9" s="34">
        <f>'Project Pop Settlements'!K9*Pop_Wilayat!N$11</f>
        <v>2222.0069390060034</v>
      </c>
      <c r="L9" s="34">
        <f>'Project Pop Settlements'!L9*Pop_Wilayat!O$11</f>
        <v>2367.4041366178685</v>
      </c>
      <c r="M9" s="34">
        <f>'Project Pop Settlements'!M9*Pop_Wilayat!P$11</f>
        <v>2487.1109743830584</v>
      </c>
      <c r="N9" s="34">
        <f>'Project Pop Settlements'!N9*Pop_Wilayat!Q$11</f>
        <v>2675.8208195320822</v>
      </c>
      <c r="O9" s="34">
        <f>'Project Pop Settlements'!O9*Pop_Wilayat!R$11</f>
        <v>2826.2185974614094</v>
      </c>
      <c r="P9" s="34">
        <f>'Project Pop Settlements'!P9*Pop_Wilayat!S$11</f>
        <v>2899.2313513748886</v>
      </c>
      <c r="Q9" s="34">
        <f>'Project Pop Settlements'!Q9*Pop_Wilayat!T$11</f>
        <v>2975.1234155581201</v>
      </c>
      <c r="R9" s="34">
        <f>'Project Pop Settlements'!R9*Pop_Wilayat!U$11</f>
        <v>3053.6841087718535</v>
      </c>
      <c r="S9" s="34">
        <f>'Project Pop Settlements'!S9*Pop_Wilayat!V$11</f>
        <v>3135.61570181359</v>
      </c>
      <c r="T9" s="34">
        <f>'Project Pop Settlements'!T9*Pop_Wilayat!W$11</f>
        <v>3203.8179007641902</v>
      </c>
      <c r="U9" s="34">
        <f>'Project Pop Settlements'!U9*Pop_Wilayat!X$11</f>
        <v>3264.9355014267853</v>
      </c>
      <c r="V9" s="34">
        <f>'Project Pop Settlements'!V9*Pop_Wilayat!Y$11</f>
        <v>3328.8433743980786</v>
      </c>
      <c r="W9" s="34">
        <f>'Project Pop Settlements'!W9*Pop_Wilayat!Z$11</f>
        <v>3394.7407606537586</v>
      </c>
      <c r="X9" s="34">
        <f>'Project Pop Settlements'!X9*Pop_Wilayat!AA$11</f>
        <v>3462.764575344851</v>
      </c>
      <c r="Y9" s="34">
        <f>'Project Pop Settlements'!Y9*Pop_Wilayat!AB$11</f>
        <v>3533.0517336243538</v>
      </c>
      <c r="Z9" s="34">
        <f>'Project Pop Settlements'!Z9*Pop_Wilayat!AC$11</f>
        <v>3605.7391507515927</v>
      </c>
      <c r="AA9" s="34">
        <f>'Project Pop Settlements'!AA9*Pop_Wilayat!AD$11</f>
        <v>3680.9637418056514</v>
      </c>
      <c r="AB9" s="34">
        <f>'Project Pop Settlements'!AB9*Pop_Wilayat!AE$11</f>
        <v>3758.8624221627579</v>
      </c>
      <c r="AC9" s="34">
        <f>'Project Pop Settlements'!AC9*Pop_Wilayat!AF$11</f>
        <v>3839.5721067990485</v>
      </c>
      <c r="AD9" s="34">
        <f>'Project Pop Settlements'!AD9*Pop_Wilayat!AG$11</f>
        <v>3923.2297111594535</v>
      </c>
      <c r="AE9" s="44">
        <f>'Project Pop Settlements'!AE9*Pop_Wilayat!AH$11</f>
        <v>4060.0106262425761</v>
      </c>
      <c r="AF9" s="44">
        <f>'Project Pop Settlements'!AF9*Pop_Wilayat!AI$11</f>
        <v>4202.1529772872864</v>
      </c>
      <c r="AG9" s="44">
        <f>'Project Pop Settlements'!AG9*Pop_Wilayat!AJ$11</f>
        <v>4349.9009718997659</v>
      </c>
      <c r="AH9" s="44">
        <f>'Project Pop Settlements'!AH9*Pop_Wilayat!AK$11</f>
        <v>4503.5108611597625</v>
      </c>
      <c r="AI9" s="44">
        <f>'Project Pop Settlements'!AI9*Pop_Wilayat!AL$11</f>
        <v>4663.251586949661</v>
      </c>
      <c r="AJ9" s="44">
        <f>'Project Pop Settlements'!AJ9*Pop_Wilayat!AM$11</f>
        <v>4829.40546628428</v>
      </c>
      <c r="AK9" s="44">
        <f>'Project Pop Settlements'!AK9*Pop_Wilayat!AN$11</f>
        <v>5002.2689148887439</v>
      </c>
      <c r="AL9" s="44">
        <f>'Project Pop Settlements'!AL9*Pop_Wilayat!AO$11</f>
        <v>5181.2006489477535</v>
      </c>
      <c r="AM9" s="44">
        <f>'Project Pop Settlements'!AM9*Pop_Wilayat!AP$11</f>
        <v>5365.8397993466197</v>
      </c>
      <c r="AN9" s="44">
        <f>'Project Pop Settlements'!AN9*Pop_Wilayat!AQ$11</f>
        <v>5556.3572573908368</v>
      </c>
      <c r="AO9" s="44">
        <f>'Project Pop Settlements'!AO9*Pop_Wilayat!AR$11</f>
        <v>5752.9288296967525</v>
      </c>
      <c r="AP9" s="44">
        <f>'Project Pop Settlements'!AP9*Pop_Wilayat!AS$11</f>
        <v>5955.7353756930952</v>
      </c>
      <c r="AQ9" s="44">
        <f>'Project Pop Settlements'!AQ9*Pop_Wilayat!AT$11</f>
        <v>6164.962948891357</v>
      </c>
      <c r="AR9" s="44">
        <f>'Project Pop Settlements'!AR9*Pop_Wilayat!AU$11</f>
        <v>6380.8029420267358</v>
      </c>
      <c r="AS9" s="44">
        <f>'Project Pop Settlements'!AS9*Pop_Wilayat!AV$11</f>
        <v>6603.4522361740528</v>
      </c>
      <c r="AT9" s="44">
        <f>'Project Pop Settlements'!AT9*Pop_Wilayat!AW$11</f>
        <v>6833.1133539458324</v>
      </c>
      <c r="AU9" s="44">
        <f>'Project Pop Settlements'!AU9*Pop_Wilayat!AX$11</f>
        <v>7069.9946168826218</v>
      </c>
      <c r="AV9" s="44">
        <f>'Project Pop Settlements'!AV9*Pop_Wilayat!AY$11</f>
        <v>7314.3103071485039</v>
      </c>
      <c r="AW9" s="44">
        <f>'Project Pop Settlements'!AW9*Pop_Wilayat!AZ$11</f>
        <v>7566.2808336478238</v>
      </c>
      <c r="AX9" s="44">
        <f>'Project Pop Settlements'!AX9*Pop_Wilayat!BA$11</f>
        <v>7826.1329026821941</v>
      </c>
      <c r="AY9" s="44">
        <f>'Project Pop Settlements'!AY9*Pop_Wilayat!BB$11</f>
        <v>8013.9600923465669</v>
      </c>
      <c r="AZ9" s="44">
        <f>'Project Pop Settlements'!AZ9*Pop_Wilayat!BC$11</f>
        <v>8206.2951345628844</v>
      </c>
      <c r="BA9" s="44">
        <f>'Project Pop Settlements'!BA9*Pop_Wilayat!BD$11</f>
        <v>8403.2462177923935</v>
      </c>
      <c r="BB9" s="44">
        <f>'Project Pop Settlements'!BB9*Pop_Wilayat!BE$11</f>
        <v>8604.9241270194107</v>
      </c>
      <c r="BC9" s="44">
        <f>'Project Pop Settlements'!BC9*Pop_Wilayat!BF$11</f>
        <v>8811.4423060678764</v>
      </c>
      <c r="BD9" s="44">
        <f>'Project Pop Settlements'!BD9*Pop_Wilayat!BG$11</f>
        <v>9022.9169214135054</v>
      </c>
      <c r="BE9" s="44">
        <f>'Project Pop Settlements'!BE9*Pop_Wilayat!BH$11</f>
        <v>9239.46692752743</v>
      </c>
      <c r="BF9" s="44">
        <f>'Project Pop Settlements'!BF9*Pop_Wilayat!BI$11</f>
        <v>9461.2141337880894</v>
      </c>
      <c r="BG9" s="44">
        <f>'Project Pop Settlements'!BG9*Pop_Wilayat!BJ$11</f>
        <v>9688.2832729990041</v>
      </c>
      <c r="BH9" s="44">
        <f>'Project Pop Settlements'!BH9*Pop_Wilayat!BK$11</f>
        <v>9920.8020715509811</v>
      </c>
      <c r="BI9" s="44">
        <f>'Project Pop Settlements'!BI9*Pop_Wilayat!BL$11</f>
        <v>10158.901321268204</v>
      </c>
      <c r="BJ9" s="44">
        <f>'Project Pop Settlements'!BJ9*Pop_Wilayat!BM$11</f>
        <v>10402.71495297864</v>
      </c>
      <c r="BK9" s="44">
        <f>'Project Pop Settlements'!BK9*Pop_Wilayat!BN$11</f>
        <v>10652.380111850127</v>
      </c>
      <c r="BL9" s="44">
        <f>'Project Pop Settlements'!BL9*Pop_Wilayat!BO$11</f>
        <v>10908.037234534529</v>
      </c>
      <c r="BM9" s="44">
        <f>'Project Pop Settlements'!BM9*Pop_Wilayat!BP$11</f>
        <v>11169.830128163358</v>
      </c>
      <c r="BN9" s="44">
        <f>'Project Pop Settlements'!BN9*Pop_Wilayat!BQ$11</f>
        <v>11437.906051239279</v>
      </c>
      <c r="BO9" s="44">
        <f>'Project Pop Settlements'!BO9*Pop_Wilayat!BR$11</f>
        <v>11712.415796469022</v>
      </c>
      <c r="BP9" s="44">
        <f>'Project Pop Settlements'!BP9*Pop_Wilayat!BS$11</f>
        <v>11993.513775584279</v>
      </c>
      <c r="BQ9" s="44">
        <f>'Project Pop Settlements'!BQ9*Pop_Wilayat!BT$11</f>
        <v>12281.358106198302</v>
      </c>
      <c r="BR9" s="44">
        <f>'Project Pop Settlements'!BR9*Pop_Wilayat!BU$11</f>
        <v>12576.110700747064</v>
      </c>
      <c r="BS9" s="44">
        <f>'Project Pop Settlements'!BS9*Pop_Wilayat!BV$11</f>
        <v>12877.937357564993</v>
      </c>
      <c r="BT9" s="44">
        <f>'Project Pop Settlements'!BT9*Pop_Wilayat!BW$11</f>
        <v>13187.007854146554</v>
      </c>
      <c r="BU9" s="44">
        <f>'Project Pop Settlements'!BU9*Pop_Wilayat!BX$11</f>
        <v>13503.496042646071</v>
      </c>
      <c r="BV9" s="44">
        <f>'Project Pop Settlements'!BV9*Pop_Wilayat!BY$11</f>
        <v>13827.579947669577</v>
      </c>
      <c r="BW9" s="44">
        <f>'Project Pop Settlements'!BW9*Pop_Wilayat!BZ$11</f>
        <v>14159.441866413648</v>
      </c>
      <c r="BX9" s="44">
        <f>'Project Pop Settlements'!BX9*Pop_Wilayat!CA$11</f>
        <v>14499.268471207575</v>
      </c>
      <c r="BY9" s="44">
        <f>'Project Pop Settlements'!BY9*Pop_Wilayat!CB$11</f>
        <v>14847.250914516557</v>
      </c>
      <c r="BZ9" s="44">
        <f>'Project Pop Settlements'!BZ9*Pop_Wilayat!CC$11</f>
        <v>15203.584936464955</v>
      </c>
      <c r="CA9" s="44">
        <f>'Project Pop Settlements'!CA9*Pop_Wilayat!CD$11</f>
        <v>15568.470974940114</v>
      </c>
      <c r="CB9" s="44">
        <f>'Project Pop Settlements'!CB9*Pop_Wilayat!CE$11</f>
        <v>15942.114278338677</v>
      </c>
    </row>
    <row r="10" spans="1:80" x14ac:dyDescent="0.25">
      <c r="A10" s="33">
        <v>9</v>
      </c>
      <c r="B10" s="36" t="s">
        <v>37</v>
      </c>
      <c r="C10" s="34">
        <f>'Project Pop Settlements'!C10*Pop_Wilayat!F$11</f>
        <v>58.377646066311527</v>
      </c>
      <c r="D10" s="34">
        <f>'Project Pop Settlements'!D10*Pop_Wilayat!G$11</f>
        <v>61.613531811952534</v>
      </c>
      <c r="E10" s="34">
        <f>'Project Pop Settlements'!E10*Pop_Wilayat!H$11</f>
        <v>66.431693700506997</v>
      </c>
      <c r="F10" s="34">
        <f>'Project Pop Settlements'!F10*Pop_Wilayat!I$11</f>
        <v>71.686884485065889</v>
      </c>
      <c r="G10" s="34">
        <f>'Project Pop Settlements'!G10*Pop_Wilayat!J$11</f>
        <v>77.154137005766728</v>
      </c>
      <c r="H10" s="34">
        <f>'Project Pop Settlements'!H10*Pop_Wilayat!K$11</f>
        <v>82.842686455357736</v>
      </c>
      <c r="I10" s="34">
        <f>'Project Pop Settlements'!I10*Pop_Wilayat!L$11</f>
        <v>88.758022520059484</v>
      </c>
      <c r="J10" s="34">
        <f>'Project Pop Settlements'!J10*Pop_Wilayat!M$11</f>
        <v>94.498389749659083</v>
      </c>
      <c r="K10" s="34">
        <f>'Project Pop Settlements'!K10*Pop_Wilayat!N$11</f>
        <v>100.85001732095701</v>
      </c>
      <c r="L10" s="34">
        <f>'Project Pop Settlements'!L10*Pop_Wilayat!O$11</f>
        <v>107.44914608161456</v>
      </c>
      <c r="M10" s="34">
        <f>'Project Pop Settlements'!M10*Pop_Wilayat!P$11</f>
        <v>112.88226892661204</v>
      </c>
      <c r="N10" s="34">
        <f>'Project Pop Settlements'!N10*Pop_Wilayat!Q$11</f>
        <v>121.44722469602458</v>
      </c>
      <c r="O10" s="34">
        <f>'Project Pop Settlements'!O10*Pop_Wilayat!R$11</f>
        <v>128.27331431930506</v>
      </c>
      <c r="P10" s="34">
        <f>'Project Pop Settlements'!P10*Pop_Wilayat!S$11</f>
        <v>131.58713722758051</v>
      </c>
      <c r="Q10" s="34">
        <f>'Project Pop Settlements'!Q10*Pop_Wilayat!T$11</f>
        <v>135.03164311684918</v>
      </c>
      <c r="R10" s="34">
        <f>'Project Pop Settlements'!R10*Pop_Wilayat!U$11</f>
        <v>138.59726981777015</v>
      </c>
      <c r="S10" s="34">
        <f>'Project Pop Settlements'!S10*Pop_Wilayat!V$11</f>
        <v>142.31589122814657</v>
      </c>
      <c r="T10" s="34">
        <f>'Project Pop Settlements'!T10*Pop_Wilayat!W$11</f>
        <v>145.41137793646993</v>
      </c>
      <c r="U10" s="34">
        <f>'Project Pop Settlements'!U10*Pop_Wilayat!X$11</f>
        <v>148.18531665701929</v>
      </c>
      <c r="V10" s="34">
        <f>'Project Pop Settlements'!V10*Pop_Wilayat!Y$11</f>
        <v>151.08589720110328</v>
      </c>
      <c r="W10" s="34">
        <f>'Project Pop Settlements'!W10*Pop_Wilayat!Z$11</f>
        <v>154.07677559514826</v>
      </c>
      <c r="X10" s="34">
        <f>'Project Pop Settlements'!X10*Pop_Wilayat!AA$11</f>
        <v>157.16416599407432</v>
      </c>
      <c r="Y10" s="34">
        <f>'Project Pop Settlements'!Y10*Pop_Wilayat!AB$11</f>
        <v>160.35428255289105</v>
      </c>
      <c r="Z10" s="34">
        <f>'Project Pop Settlements'!Z10*Pop_Wilayat!AC$11</f>
        <v>163.65333943143389</v>
      </c>
      <c r="AA10" s="34">
        <f>'Project Pop Settlements'!AA10*Pop_Wilayat!AD$11</f>
        <v>167.06755078135768</v>
      </c>
      <c r="AB10" s="34">
        <f>'Project Pop Settlements'!AB10*Pop_Wilayat!AE$11</f>
        <v>170.60313076780378</v>
      </c>
      <c r="AC10" s="34">
        <f>'Project Pop Settlements'!AC10*Pop_Wilayat!AF$11</f>
        <v>174.26629353775445</v>
      </c>
      <c r="AD10" s="34">
        <f>'Project Pop Settlements'!AD10*Pop_Wilayat!AG$11</f>
        <v>178.06325325946923</v>
      </c>
      <c r="AE10" s="44">
        <f>'Project Pop Settlements'!AE10*Pop_Wilayat!AH$11</f>
        <v>184.27131562559308</v>
      </c>
      <c r="AF10" s="44">
        <f>'Project Pop Settlements'!AF10*Pop_Wilayat!AI$11</f>
        <v>190.7227169750926</v>
      </c>
      <c r="AG10" s="44">
        <f>'Project Pop Settlements'!AG10*Pop_Wilayat!AJ$11</f>
        <v>197.42854113533164</v>
      </c>
      <c r="AH10" s="44">
        <f>'Project Pop Settlements'!AH10*Pop_Wilayat!AK$11</f>
        <v>204.40041854966182</v>
      </c>
      <c r="AI10" s="44">
        <f>'Project Pop Settlements'!AI10*Pop_Wilayat!AL$11</f>
        <v>211.65055565768546</v>
      </c>
      <c r="AJ10" s="44">
        <f>'Project Pop Settlements'!AJ10*Pop_Wilayat!AM$11</f>
        <v>219.19176595486684</v>
      </c>
      <c r="AK10" s="44">
        <f>'Project Pop Settlements'!AK10*Pop_Wilayat!AN$11</f>
        <v>227.03750283349208</v>
      </c>
      <c r="AL10" s="44">
        <f>'Project Pop Settlements'!AL10*Pop_Wilayat!AO$11</f>
        <v>235.15866040611078</v>
      </c>
      <c r="AM10" s="44">
        <f>'Project Pop Settlements'!AM10*Pop_Wilayat!AP$11</f>
        <v>243.53885994058311</v>
      </c>
      <c r="AN10" s="44">
        <f>'Project Pop Settlements'!AN10*Pop_Wilayat!AQ$11</f>
        <v>252.18585766431619</v>
      </c>
      <c r="AO10" s="44">
        <f>'Project Pop Settlements'!AO10*Pop_Wilayat!AR$11</f>
        <v>261.10763289546264</v>
      </c>
      <c r="AP10" s="44">
        <f>'Project Pop Settlements'!AP10*Pop_Wilayat!AS$11</f>
        <v>270.31239428368957</v>
      </c>
      <c r="AQ10" s="44">
        <f>'Project Pop Settlements'!AQ10*Pop_Wilayat!AT$11</f>
        <v>279.80858622200356</v>
      </c>
      <c r="AR10" s="44">
        <f>'Project Pop Settlements'!AR10*Pop_Wilayat!AU$11</f>
        <v>289.60489543424916</v>
      </c>
      <c r="AS10" s="44">
        <f>'Project Pop Settlements'!AS10*Pop_Wilayat!AV$11</f>
        <v>299.7102577430187</v>
      </c>
      <c r="AT10" s="44">
        <f>'Project Pop Settlements'!AT10*Pop_Wilayat!AW$11</f>
        <v>310.13386502283907</v>
      </c>
      <c r="AU10" s="44">
        <f>'Project Pop Settlements'!AU10*Pop_Wilayat!AX$11</f>
        <v>320.88517234363081</v>
      </c>
      <c r="AV10" s="44">
        <f>'Project Pop Settlements'!AV10*Pop_Wilayat!AY$11</f>
        <v>331.97390530956744</v>
      </c>
      <c r="AW10" s="44">
        <f>'Project Pop Settlements'!AW10*Pop_Wilayat!AZ$11</f>
        <v>343.41006759859908</v>
      </c>
      <c r="AX10" s="44">
        <f>'Project Pop Settlements'!AX10*Pop_Wilayat!BA$11</f>
        <v>355.20394870804586</v>
      </c>
      <c r="AY10" s="44">
        <f>'Project Pop Settlements'!AY10*Pop_Wilayat!BB$11</f>
        <v>363.72884347703894</v>
      </c>
      <c r="AZ10" s="44">
        <f>'Project Pop Settlements'!AZ10*Pop_Wilayat!BC$11</f>
        <v>372.45833572048787</v>
      </c>
      <c r="BA10" s="44">
        <f>'Project Pop Settlements'!BA10*Pop_Wilayat!BD$11</f>
        <v>381.39733577777957</v>
      </c>
      <c r="BB10" s="44">
        <f>'Project Pop Settlements'!BB10*Pop_Wilayat!BE$11</f>
        <v>390.55087183644633</v>
      </c>
      <c r="BC10" s="44">
        <f>'Project Pop Settlements'!BC10*Pop_Wilayat!BF$11</f>
        <v>399.92409276052103</v>
      </c>
      <c r="BD10" s="44">
        <f>'Project Pop Settlements'!BD10*Pop_Wilayat!BG$11</f>
        <v>409.52227098677355</v>
      </c>
      <c r="BE10" s="44">
        <f>'Project Pop Settlements'!BE10*Pop_Wilayat!BH$11</f>
        <v>419.35080549045614</v>
      </c>
      <c r="BF10" s="44">
        <f>'Project Pop Settlements'!BF10*Pop_Wilayat!BI$11</f>
        <v>429.41522482222712</v>
      </c>
      <c r="BG10" s="44">
        <f>'Project Pop Settlements'!BG10*Pop_Wilayat!BJ$11</f>
        <v>439.72119021796055</v>
      </c>
      <c r="BH10" s="44">
        <f>'Project Pop Settlements'!BH10*Pop_Wilayat!BK$11</f>
        <v>450.27449878319163</v>
      </c>
      <c r="BI10" s="44">
        <f>'Project Pop Settlements'!BI10*Pop_Wilayat!BL$11</f>
        <v>461.08108675398825</v>
      </c>
      <c r="BJ10" s="44">
        <f>'Project Pop Settlements'!BJ10*Pop_Wilayat!BM$11</f>
        <v>472.14703283608395</v>
      </c>
      <c r="BK10" s="44">
        <f>'Project Pop Settlements'!BK10*Pop_Wilayat!BN$11</f>
        <v>483.47856162414996</v>
      </c>
      <c r="BL10" s="44">
        <f>'Project Pop Settlements'!BL10*Pop_Wilayat!BO$11</f>
        <v>495.08204710312958</v>
      </c>
      <c r="BM10" s="44">
        <f>'Project Pop Settlements'!BM10*Pop_Wilayat!BP$11</f>
        <v>506.9640162336047</v>
      </c>
      <c r="BN10" s="44">
        <f>'Project Pop Settlements'!BN10*Pop_Wilayat!BQ$11</f>
        <v>519.13115262321116</v>
      </c>
      <c r="BO10" s="44">
        <f>'Project Pop Settlements'!BO10*Pop_Wilayat!BR$11</f>
        <v>531.59030028616826</v>
      </c>
      <c r="BP10" s="44">
        <f>'Project Pop Settlements'!BP10*Pop_Wilayat!BS$11</f>
        <v>544.34846749303631</v>
      </c>
      <c r="BQ10" s="44">
        <f>'Project Pop Settlements'!BQ10*Pop_Wilayat!BT$11</f>
        <v>557.41283071286921</v>
      </c>
      <c r="BR10" s="44">
        <f>'Project Pop Settlements'!BR10*Pop_Wilayat!BU$11</f>
        <v>570.79073864997804</v>
      </c>
      <c r="BS10" s="44">
        <f>'Project Pop Settlements'!BS10*Pop_Wilayat!BV$11</f>
        <v>584.48971637757757</v>
      </c>
      <c r="BT10" s="44">
        <f>'Project Pop Settlements'!BT10*Pop_Wilayat!BW$11</f>
        <v>598.51746957063949</v>
      </c>
      <c r="BU10" s="44">
        <f>'Project Pop Settlements'!BU10*Pop_Wilayat!BX$11</f>
        <v>612.8818888403348</v>
      </c>
      <c r="BV10" s="44">
        <f>'Project Pop Settlements'!BV10*Pop_Wilayat!BY$11</f>
        <v>627.59105417250282</v>
      </c>
      <c r="BW10" s="44">
        <f>'Project Pop Settlements'!BW10*Pop_Wilayat!BZ$11</f>
        <v>642.65323947264289</v>
      </c>
      <c r="BX10" s="44">
        <f>'Project Pop Settlements'!BX10*Pop_Wilayat!CA$11</f>
        <v>658.07691721998629</v>
      </c>
      <c r="BY10" s="44">
        <f>'Project Pop Settlements'!BY10*Pop_Wilayat!CB$11</f>
        <v>673.87076323326596</v>
      </c>
      <c r="BZ10" s="44">
        <f>'Project Pop Settlements'!BZ10*Pop_Wilayat!CC$11</f>
        <v>690.04366155086439</v>
      </c>
      <c r="CA10" s="44">
        <f>'Project Pop Settlements'!CA10*Pop_Wilayat!CD$11</f>
        <v>706.60470942808513</v>
      </c>
      <c r="CB10" s="44">
        <f>'Project Pop Settlements'!CB10*Pop_Wilayat!CE$11</f>
        <v>723.56322245435922</v>
      </c>
    </row>
    <row r="11" spans="1:80" x14ac:dyDescent="0.25">
      <c r="A11" s="33">
        <v>10</v>
      </c>
      <c r="B11" s="36" t="s">
        <v>56</v>
      </c>
      <c r="C11" s="34">
        <f>'Project Pop Settlements'!C11*Pop_Wilayat!F$11</f>
        <v>91.394511464471336</v>
      </c>
      <c r="D11" s="34">
        <f>'Project Pop Settlements'!D11*Pop_Wilayat!G$11</f>
        <v>96.460529312155217</v>
      </c>
      <c r="E11" s="34">
        <f>'Project Pop Settlements'!E11*Pop_Wilayat!H$11</f>
        <v>104.0037171868593</v>
      </c>
      <c r="F11" s="34">
        <f>'Project Pop Settlements'!F11*Pop_Wilayat!I$11</f>
        <v>112.23110603809498</v>
      </c>
      <c r="G11" s="34">
        <f>'Project Pop Settlements'!G11*Pop_Wilayat!J$11</f>
        <v>120.79049318115941</v>
      </c>
      <c r="H11" s="34">
        <f>'Project Pop Settlements'!H11*Pop_Wilayat!K$11</f>
        <v>129.69633699158467</v>
      </c>
      <c r="I11" s="34">
        <f>'Project Pop Settlements'!I11*Pop_Wilayat!L$11</f>
        <v>138.95723197812592</v>
      </c>
      <c r="J11" s="34">
        <f>'Project Pop Settlements'!J11*Pop_Wilayat!M$11</f>
        <v>147.94420034577777</v>
      </c>
      <c r="K11" s="34">
        <f>'Project Pop Settlements'!K11*Pop_Wilayat!N$11</f>
        <v>157.88814187133434</v>
      </c>
      <c r="L11" s="34">
        <f>'Project Pop Settlements'!L11*Pop_Wilayat!O$11</f>
        <v>168.2195647671179</v>
      </c>
      <c r="M11" s="34">
        <f>'Project Pop Settlements'!M11*Pop_Wilayat!P$11</f>
        <v>176.72551938510577</v>
      </c>
      <c r="N11" s="34">
        <f>'Project Pop Settlements'!N11*Pop_Wilayat!Q$11</f>
        <v>190.13458948312046</v>
      </c>
      <c r="O11" s="34">
        <f>'Project Pop Settlements'!O11*Pop_Wilayat!R$11</f>
        <v>200.82133635235465</v>
      </c>
      <c r="P11" s="34">
        <f>'Project Pop Settlements'!P11*Pop_Wilayat!S$11</f>
        <v>206.00937057760558</v>
      </c>
      <c r="Q11" s="34">
        <f>'Project Pop Settlements'!Q11*Pop_Wilayat!T$11</f>
        <v>211.40199865014915</v>
      </c>
      <c r="R11" s="34">
        <f>'Project Pop Settlements'!R11*Pop_Wilayat!U$11</f>
        <v>216.9842502884762</v>
      </c>
      <c r="S11" s="34">
        <f>'Project Pop Settlements'!S11*Pop_Wilayat!V$11</f>
        <v>222.80602643095082</v>
      </c>
      <c r="T11" s="34">
        <f>'Project Pop Settlements'!T11*Pop_Wilayat!W$11</f>
        <v>227.65223922840784</v>
      </c>
      <c r="U11" s="34">
        <f>'Project Pop Settlements'!U11*Pop_Wilayat!X$11</f>
        <v>231.99504493025154</v>
      </c>
      <c r="V11" s="34">
        <f>'Project Pop Settlements'!V11*Pop_Wilayat!Y$11</f>
        <v>236.53611774926827</v>
      </c>
      <c r="W11" s="34">
        <f>'Project Pop Settlements'!W11*Pop_Wilayat!Z$11</f>
        <v>241.21855851371575</v>
      </c>
      <c r="X11" s="34">
        <f>'Project Pop Settlements'!X11*Pop_Wilayat!AA$11</f>
        <v>246.05209594154263</v>
      </c>
      <c r="Y11" s="34">
        <f>'Project Pop Settlements'!Y11*Pop_Wilayat!AB$11</f>
        <v>251.04645875083767</v>
      </c>
      <c r="Z11" s="34">
        <f>'Project Pop Settlements'!Z11*Pop_Wilayat!AC$11</f>
        <v>256.21137566724491</v>
      </c>
      <c r="AA11" s="34">
        <f>'Project Pop Settlements'!AA11*Pop_Wilayat!AD$11</f>
        <v>261.55657540360102</v>
      </c>
      <c r="AB11" s="34">
        <f>'Project Pop Settlements'!AB11*Pop_Wilayat!AE$11</f>
        <v>267.09178669385676</v>
      </c>
      <c r="AC11" s="34">
        <f>'Project Pop Settlements'!AC11*Pop_Wilayat!AF$11</f>
        <v>272.82673824353361</v>
      </c>
      <c r="AD11" s="34">
        <f>'Project Pop Settlements'!AD11*Pop_Wilayat!AG$11</f>
        <v>278.77115879146413</v>
      </c>
      <c r="AE11" s="44">
        <f>'Project Pop Settlements'!AE11*Pop_Wilayat!AH$11</f>
        <v>288.49033839744493</v>
      </c>
      <c r="AF11" s="44">
        <f>'Project Pop Settlements'!AF11*Pop_Wilayat!AI$11</f>
        <v>298.59048313313679</v>
      </c>
      <c r="AG11" s="44">
        <f>'Project Pop Settlements'!AG11*Pop_Wilayat!AJ$11</f>
        <v>309.08894554793721</v>
      </c>
      <c r="AH11" s="44">
        <f>'Project Pop Settlements'!AH11*Pop_Wilayat!AK$11</f>
        <v>320.00393395889677</v>
      </c>
      <c r="AI11" s="44">
        <f>'Project Pop Settlements'!AI11*Pop_Wilayat!AL$11</f>
        <v>331.35455844768791</v>
      </c>
      <c r="AJ11" s="44">
        <f>'Project Pop Settlements'!AJ11*Pop_Wilayat!AM$11</f>
        <v>343.16087948671776</v>
      </c>
      <c r="AK11" s="44">
        <f>'Project Pop Settlements'!AK11*Pop_Wilayat!AN$11</f>
        <v>355.44395935407363</v>
      </c>
      <c r="AL11" s="44">
        <f>'Project Pop Settlements'!AL11*Pop_Wilayat!AO$11</f>
        <v>368.15823063579631</v>
      </c>
      <c r="AM11" s="44">
        <f>'Project Pop Settlements'!AM11*Pop_Wilayat!AP$11</f>
        <v>381.27805121845381</v>
      </c>
      <c r="AN11" s="44">
        <f>'Project Pop Settlements'!AN11*Pop_Wilayat!AQ$11</f>
        <v>394.81556404823266</v>
      </c>
      <c r="AO11" s="44">
        <f>'Project Pop Settlements'!AO11*Pop_Wilayat!AR$11</f>
        <v>408.78326133633902</v>
      </c>
      <c r="AP11" s="44">
        <f>'Project Pop Settlements'!AP11*Pop_Wilayat!AS$11</f>
        <v>423.19399432938275</v>
      </c>
      <c r="AQ11" s="44">
        <f>'Project Pop Settlements'!AQ11*Pop_Wilayat!AT$11</f>
        <v>438.0609833475628</v>
      </c>
      <c r="AR11" s="44">
        <f>'Project Pop Settlements'!AR11*Pop_Wilayat!AU$11</f>
        <v>453.39782809788181</v>
      </c>
      <c r="AS11" s="44">
        <f>'Project Pop Settlements'!AS11*Pop_Wilayat!AV$11</f>
        <v>469.21851826980793</v>
      </c>
      <c r="AT11" s="44">
        <f>'Project Pop Settlements'!AT11*Pop_Wilayat!AW$11</f>
        <v>485.53744442100208</v>
      </c>
      <c r="AU11" s="44">
        <f>'Project Pop Settlements'!AU11*Pop_Wilayat!AX$11</f>
        <v>502.36940916093022</v>
      </c>
      <c r="AV11" s="44">
        <f>'Project Pop Settlements'!AV11*Pop_Wilayat!AY$11</f>
        <v>519.72963864038832</v>
      </c>
      <c r="AW11" s="44">
        <f>'Project Pop Settlements'!AW11*Pop_Wilayat!AZ$11</f>
        <v>537.63379435518368</v>
      </c>
      <c r="AX11" s="44">
        <f>'Project Pop Settlements'!AX11*Pop_Wilayat!BA$11</f>
        <v>556.09798527243242</v>
      </c>
      <c r="AY11" s="44">
        <f>'Project Pop Settlements'!AY11*Pop_Wilayat!BB$11</f>
        <v>569.44433691897086</v>
      </c>
      <c r="AZ11" s="44">
        <f>'Project Pop Settlements'!AZ11*Pop_Wilayat!BC$11</f>
        <v>583.1110010050262</v>
      </c>
      <c r="BA11" s="44">
        <f>'Project Pop Settlements'!BA11*Pop_Wilayat!BD$11</f>
        <v>597.10566502914685</v>
      </c>
      <c r="BB11" s="44">
        <f>'Project Pop Settlements'!BB11*Pop_Wilayat!BE$11</f>
        <v>611.43620098984638</v>
      </c>
      <c r="BC11" s="44">
        <f>'Project Pop Settlements'!BC11*Pop_Wilayat!BF$11</f>
        <v>626.11066981360273</v>
      </c>
      <c r="BD11" s="44">
        <f>'Project Pop Settlements'!BD11*Pop_Wilayat!BG$11</f>
        <v>641.13732588912922</v>
      </c>
      <c r="BE11" s="44">
        <f>'Project Pop Settlements'!BE11*Pop_Wilayat!BH$11</f>
        <v>656.5246217104683</v>
      </c>
      <c r="BF11" s="44">
        <f>'Project Pop Settlements'!BF11*Pop_Wilayat!BI$11</f>
        <v>672.28121263151957</v>
      </c>
      <c r="BG11" s="44">
        <f>'Project Pop Settlements'!BG11*Pop_Wilayat!BJ$11</f>
        <v>688.4159617346761</v>
      </c>
      <c r="BH11" s="44">
        <f>'Project Pop Settlements'!BH11*Pop_Wilayat!BK$11</f>
        <v>704.93794481630835</v>
      </c>
      <c r="BI11" s="44">
        <f>'Project Pop Settlements'!BI11*Pop_Wilayat!BL$11</f>
        <v>721.85645549189974</v>
      </c>
      <c r="BJ11" s="44">
        <f>'Project Pop Settlements'!BJ11*Pop_Wilayat!BM$11</f>
        <v>739.18101042370529</v>
      </c>
      <c r="BK11" s="44">
        <f>'Project Pop Settlements'!BK11*Pop_Wilayat!BN$11</f>
        <v>756.92135467387425</v>
      </c>
      <c r="BL11" s="44">
        <f>'Project Pop Settlements'!BL11*Pop_Wilayat!BO$11</f>
        <v>775.08746718604732</v>
      </c>
      <c r="BM11" s="44">
        <f>'Project Pop Settlements'!BM11*Pop_Wilayat!BP$11</f>
        <v>793.68956639851251</v>
      </c>
      <c r="BN11" s="44">
        <f>'Project Pop Settlements'!BN11*Pop_Wilayat!BQ$11</f>
        <v>812.73811599207681</v>
      </c>
      <c r="BO11" s="44">
        <f>'Project Pop Settlements'!BO11*Pop_Wilayat!BR$11</f>
        <v>832.24383077588664</v>
      </c>
      <c r="BP11" s="44">
        <f>'Project Pop Settlements'!BP11*Pop_Wilayat!BS$11</f>
        <v>852.21768271450787</v>
      </c>
      <c r="BQ11" s="44">
        <f>'Project Pop Settlements'!BQ11*Pop_Wilayat!BT$11</f>
        <v>872.67090709965612</v>
      </c>
      <c r="BR11" s="44">
        <f>'Project Pop Settlements'!BR11*Pop_Wilayat!BU$11</f>
        <v>893.61500887004786</v>
      </c>
      <c r="BS11" s="44">
        <f>'Project Pop Settlements'!BS11*Pop_Wilayat!BV$11</f>
        <v>915.061769082929</v>
      </c>
      <c r="BT11" s="44">
        <f>'Project Pop Settlements'!BT11*Pop_Wilayat!BW$11</f>
        <v>937.02325154091932</v>
      </c>
      <c r="BU11" s="44">
        <f>'Project Pop Settlements'!BU11*Pop_Wilayat!BX$11</f>
        <v>959.51180957790143</v>
      </c>
      <c r="BV11" s="44">
        <f>'Project Pop Settlements'!BV11*Pop_Wilayat!BY$11</f>
        <v>982.54009300777113</v>
      </c>
      <c r="BW11" s="44">
        <f>'Project Pop Settlements'!BW11*Pop_Wilayat!BZ$11</f>
        <v>1006.1210552399576</v>
      </c>
      <c r="BX11" s="44">
        <f>'Project Pop Settlements'!BX11*Pop_Wilayat!CA$11</f>
        <v>1030.2679605657165</v>
      </c>
      <c r="BY11" s="44">
        <f>'Project Pop Settlements'!BY11*Pop_Wilayat!CB$11</f>
        <v>1054.9943916192938</v>
      </c>
      <c r="BZ11" s="44">
        <f>'Project Pop Settlements'!BZ11*Pop_Wilayat!CC$11</f>
        <v>1080.3142570181569</v>
      </c>
      <c r="CA11" s="44">
        <f>'Project Pop Settlements'!CA11*Pop_Wilayat!CD$11</f>
        <v>1106.2417991865927</v>
      </c>
      <c r="CB11" s="44">
        <f>'Project Pop Settlements'!CB11*Pop_Wilayat!CE$11</f>
        <v>1132.7916023670709</v>
      </c>
    </row>
    <row r="12" spans="1:80" x14ac:dyDescent="0.25">
      <c r="A12" s="33">
        <v>11</v>
      </c>
      <c r="B12" s="36" t="s">
        <v>41</v>
      </c>
      <c r="C12" s="34">
        <f>'Project Pop Settlements'!C12*Pop_Wilayat!F$11</f>
        <v>262.69940729840187</v>
      </c>
      <c r="D12" s="34">
        <f>'Project Pop Settlements'!D12*Pop_Wilayat!G$11</f>
        <v>277.26089315378641</v>
      </c>
      <c r="E12" s="34">
        <f>'Project Pop Settlements'!E12*Pop_Wilayat!H$11</f>
        <v>298.9426216522815</v>
      </c>
      <c r="F12" s="34">
        <f>'Project Pop Settlements'!F12*Pop_Wilayat!I$11</f>
        <v>322.5909801827965</v>
      </c>
      <c r="G12" s="34">
        <f>'Project Pop Settlements'!G12*Pop_Wilayat!J$11</f>
        <v>347.19361652595029</v>
      </c>
      <c r="H12" s="34">
        <f>'Project Pop Settlements'!H12*Pop_Wilayat!K$11</f>
        <v>372.79208904910985</v>
      </c>
      <c r="I12" s="34">
        <f>'Project Pop Settlements'!I12*Pop_Wilayat!L$11</f>
        <v>399.41110134026769</v>
      </c>
      <c r="J12" s="34">
        <f>'Project Pop Settlements'!J12*Pop_Wilayat!M$11</f>
        <v>425.24275387346597</v>
      </c>
      <c r="K12" s="34">
        <f>'Project Pop Settlements'!K12*Pop_Wilayat!N$11</f>
        <v>453.82507794430654</v>
      </c>
      <c r="L12" s="34">
        <f>'Project Pop Settlements'!L12*Pop_Wilayat!O$11</f>
        <v>483.52115736726557</v>
      </c>
      <c r="M12" s="34">
        <f>'Project Pop Settlements'!M12*Pop_Wilayat!P$11</f>
        <v>507.97021016975418</v>
      </c>
      <c r="N12" s="34">
        <f>'Project Pop Settlements'!N12*Pop_Wilayat!Q$11</f>
        <v>546.5125111321106</v>
      </c>
      <c r="O12" s="34">
        <f>'Project Pop Settlements'!O12*Pop_Wilayat!R$11</f>
        <v>577.22991443687272</v>
      </c>
      <c r="P12" s="34">
        <f>'Project Pop Settlements'!P12*Pop_Wilayat!S$11</f>
        <v>592.14211752411234</v>
      </c>
      <c r="Q12" s="34">
        <f>'Project Pop Settlements'!Q12*Pop_Wilayat!T$11</f>
        <v>607.64239402582132</v>
      </c>
      <c r="R12" s="34">
        <f>'Project Pop Settlements'!R12*Pop_Wilayat!U$11</f>
        <v>623.68771417996572</v>
      </c>
      <c r="S12" s="34">
        <f>'Project Pop Settlements'!S12*Pop_Wilayat!V$11</f>
        <v>640.42151052665963</v>
      </c>
      <c r="T12" s="34">
        <f>'Project Pop Settlements'!T12*Pop_Wilayat!W$11</f>
        <v>654.35120071411473</v>
      </c>
      <c r="U12" s="34">
        <f>'Project Pop Settlements'!U12*Pop_Wilayat!X$11</f>
        <v>666.83392495658677</v>
      </c>
      <c r="V12" s="34">
        <f>'Project Pop Settlements'!V12*Pop_Wilayat!Y$11</f>
        <v>679.88653740496488</v>
      </c>
      <c r="W12" s="34">
        <f>'Project Pop Settlements'!W12*Pop_Wilayat!Z$11</f>
        <v>693.34549017816732</v>
      </c>
      <c r="X12" s="34">
        <f>'Project Pop Settlements'!X12*Pop_Wilayat!AA$11</f>
        <v>707.23874697333463</v>
      </c>
      <c r="Y12" s="34">
        <f>'Project Pop Settlements'!Y12*Pop_Wilayat!AB$11</f>
        <v>721.59427148800978</v>
      </c>
      <c r="Z12" s="34">
        <f>'Project Pop Settlements'!Z12*Pop_Wilayat!AC$11</f>
        <v>736.44002744145246</v>
      </c>
      <c r="AA12" s="34">
        <f>'Project Pop Settlements'!AA12*Pop_Wilayat!AD$11</f>
        <v>751.80397851610974</v>
      </c>
      <c r="AB12" s="34">
        <f>'Project Pop Settlements'!AB12*Pop_Wilayat!AE$11</f>
        <v>767.71408845511701</v>
      </c>
      <c r="AC12" s="34">
        <f>'Project Pop Settlements'!AC12*Pop_Wilayat!AF$11</f>
        <v>784.19832091989497</v>
      </c>
      <c r="AD12" s="34">
        <f>'Project Pop Settlements'!AD12*Pop_Wilayat!AG$11</f>
        <v>801.28463966761171</v>
      </c>
      <c r="AE12" s="44">
        <f>'Project Pop Settlements'!AE12*Pop_Wilayat!AH$11</f>
        <v>829.220920315169</v>
      </c>
      <c r="AF12" s="44">
        <f>'Project Pop Settlements'!AF12*Pop_Wilayat!AI$11</f>
        <v>858.25222638791672</v>
      </c>
      <c r="AG12" s="44">
        <f>'Project Pop Settlements'!AG12*Pop_Wilayat!AJ$11</f>
        <v>888.4284351089924</v>
      </c>
      <c r="AH12" s="44">
        <f>'Project Pop Settlements'!AH12*Pop_Wilayat!AK$11</f>
        <v>919.80188347347826</v>
      </c>
      <c r="AI12" s="44">
        <f>'Project Pop Settlements'!AI12*Pop_Wilayat!AL$11</f>
        <v>952.42750045958473</v>
      </c>
      <c r="AJ12" s="44">
        <f>'Project Pop Settlements'!AJ12*Pop_Wilayat!AM$11</f>
        <v>986.36294679690093</v>
      </c>
      <c r="AK12" s="44">
        <f>'Project Pop Settlements'!AK12*Pop_Wilayat!AN$11</f>
        <v>1021.6687627507144</v>
      </c>
      <c r="AL12" s="44">
        <f>'Project Pop Settlements'!AL12*Pop_Wilayat!AO$11</f>
        <v>1058.2139718274987</v>
      </c>
      <c r="AM12" s="44">
        <f>'Project Pop Settlements'!AM12*Pop_Wilayat!AP$11</f>
        <v>1095.9248697326243</v>
      </c>
      <c r="AN12" s="44">
        <f>'Project Pop Settlements'!AN12*Pop_Wilayat!AQ$11</f>
        <v>1134.8363594894231</v>
      </c>
      <c r="AO12" s="44">
        <f>'Project Pop Settlements'!AO12*Pop_Wilayat!AR$11</f>
        <v>1174.9843480295822</v>
      </c>
      <c r="AP12" s="44">
        <f>'Project Pop Settlements'!AP12*Pop_Wilayat!AS$11</f>
        <v>1216.4057742766031</v>
      </c>
      <c r="AQ12" s="44">
        <f>'Project Pop Settlements'!AQ12*Pop_Wilayat!AT$11</f>
        <v>1259.1386379990161</v>
      </c>
      <c r="AR12" s="44">
        <f>'Project Pop Settlements'!AR12*Pop_Wilayat!AU$11</f>
        <v>1303.2220294541214</v>
      </c>
      <c r="AS12" s="44">
        <f>'Project Pop Settlements'!AS12*Pop_Wilayat!AV$11</f>
        <v>1348.6961598435844</v>
      </c>
      <c r="AT12" s="44">
        <f>'Project Pop Settlements'!AT12*Pop_Wilayat!AW$11</f>
        <v>1395.602392602776</v>
      </c>
      <c r="AU12" s="44">
        <f>'Project Pop Settlements'!AU12*Pop_Wilayat!AX$11</f>
        <v>1443.983275546339</v>
      </c>
      <c r="AV12" s="44">
        <f>'Project Pop Settlements'!AV12*Pop_Wilayat!AY$11</f>
        <v>1493.8825738930539</v>
      </c>
      <c r="AW12" s="44">
        <f>'Project Pop Settlements'!AW12*Pop_Wilayat!AZ$11</f>
        <v>1545.3453041936962</v>
      </c>
      <c r="AX12" s="44">
        <f>'Project Pop Settlements'!AX12*Pop_Wilayat!BA$11</f>
        <v>1598.4177691862071</v>
      </c>
      <c r="AY12" s="44">
        <f>'Project Pop Settlements'!AY12*Pop_Wilayat!BB$11</f>
        <v>1636.7797956466761</v>
      </c>
      <c r="AZ12" s="44">
        <f>'Project Pop Settlements'!AZ12*Pop_Wilayat!BC$11</f>
        <v>1676.0625107421963</v>
      </c>
      <c r="BA12" s="44">
        <f>'Project Pop Settlements'!BA12*Pop_Wilayat!BD$11</f>
        <v>1716.288011000009</v>
      </c>
      <c r="BB12" s="44">
        <f>'Project Pop Settlements'!BB12*Pop_Wilayat!BE$11</f>
        <v>1757.4789232640092</v>
      </c>
      <c r="BC12" s="44">
        <f>'Project Pop Settlements'!BC12*Pop_Wilayat!BF$11</f>
        <v>1799.6584174223453</v>
      </c>
      <c r="BD12" s="44">
        <f>'Project Pop Settlements'!BD12*Pop_Wilayat!BG$11</f>
        <v>1842.8502194404816</v>
      </c>
      <c r="BE12" s="44">
        <f>'Project Pop Settlements'!BE12*Pop_Wilayat!BH$11</f>
        <v>1887.0786247070532</v>
      </c>
      <c r="BF12" s="44">
        <f>'Project Pop Settlements'!BF12*Pop_Wilayat!BI$11</f>
        <v>1932.3685117000225</v>
      </c>
      <c r="BG12" s="44">
        <f>'Project Pop Settlements'!BG12*Pop_Wilayat!BJ$11</f>
        <v>1978.745355980823</v>
      </c>
      <c r="BH12" s="44">
        <f>'Project Pop Settlements'!BH12*Pop_Wilayat!BK$11</f>
        <v>2026.2352445243628</v>
      </c>
      <c r="BI12" s="44">
        <f>'Project Pop Settlements'!BI12*Pop_Wilayat!BL$11</f>
        <v>2074.8648903929475</v>
      </c>
      <c r="BJ12" s="44">
        <f>'Project Pop Settlements'!BJ12*Pop_Wilayat!BM$11</f>
        <v>2124.6616477623784</v>
      </c>
      <c r="BK12" s="44">
        <f>'Project Pop Settlements'!BK12*Pop_Wilayat!BN$11</f>
        <v>2175.6535273086756</v>
      </c>
      <c r="BL12" s="44">
        <f>'Project Pop Settlements'!BL12*Pop_Wilayat!BO$11</f>
        <v>2227.8692119640837</v>
      </c>
      <c r="BM12" s="44">
        <f>'Project Pop Settlements'!BM12*Pop_Wilayat!BP$11</f>
        <v>2281.3380730512217</v>
      </c>
      <c r="BN12" s="44">
        <f>'Project Pop Settlements'!BN12*Pop_Wilayat!BQ$11</f>
        <v>2336.0901868044512</v>
      </c>
      <c r="BO12" s="44">
        <f>'Project Pop Settlements'!BO12*Pop_Wilayat!BR$11</f>
        <v>2392.1563512877578</v>
      </c>
      <c r="BP12" s="44">
        <f>'Project Pop Settlements'!BP12*Pop_Wilayat!BS$11</f>
        <v>2449.5681037186641</v>
      </c>
      <c r="BQ12" s="44">
        <f>'Project Pop Settlements'!BQ12*Pop_Wilayat!BT$11</f>
        <v>2508.357738207912</v>
      </c>
      <c r="BR12" s="44">
        <f>'Project Pop Settlements'!BR12*Pop_Wilayat!BU$11</f>
        <v>2568.5583239249017</v>
      </c>
      <c r="BS12" s="44">
        <f>'Project Pop Settlements'!BS12*Pop_Wilayat!BV$11</f>
        <v>2630.2037236990996</v>
      </c>
      <c r="BT12" s="44">
        <f>'Project Pop Settlements'!BT12*Pop_Wilayat!BW$11</f>
        <v>2693.328613067878</v>
      </c>
      <c r="BU12" s="44">
        <f>'Project Pop Settlements'!BU12*Pop_Wilayat!BX$11</f>
        <v>2757.968499781507</v>
      </c>
      <c r="BV12" s="44">
        <f>'Project Pop Settlements'!BV12*Pop_Wilayat!BY$11</f>
        <v>2824.1597437762634</v>
      </c>
      <c r="BW12" s="44">
        <f>'Project Pop Settlements'!BW12*Pop_Wilayat!BZ$11</f>
        <v>2891.9395776268939</v>
      </c>
      <c r="BX12" s="44">
        <f>'Project Pop Settlements'!BX12*Pop_Wilayat!CA$11</f>
        <v>2961.3461274899396</v>
      </c>
      <c r="BY12" s="44">
        <f>'Project Pop Settlements'!BY12*Pop_Wilayat!CB$11</f>
        <v>3032.4184345496983</v>
      </c>
      <c r="BZ12" s="44">
        <f>'Project Pop Settlements'!BZ12*Pop_Wilayat!CC$11</f>
        <v>3105.1964769788915</v>
      </c>
      <c r="CA12" s="44">
        <f>'Project Pop Settlements'!CA12*Pop_Wilayat!CD$11</f>
        <v>3179.7211924263847</v>
      </c>
      <c r="CB12" s="44">
        <f>'Project Pop Settlements'!CB12*Pop_Wilayat!CE$11</f>
        <v>3256.0345010446181</v>
      </c>
    </row>
    <row r="13" spans="1:80" x14ac:dyDescent="0.25">
      <c r="A13" s="33">
        <v>12</v>
      </c>
      <c r="B13" s="36" t="s">
        <v>38</v>
      </c>
      <c r="C13" s="34">
        <f>'Project Pop Settlements'!C13*Pop_Wilayat!F$11</f>
        <v>1604.9067615279416</v>
      </c>
      <c r="D13" s="34">
        <f>'Project Pop Settlements'!D13*Pop_Wilayat!G$11</f>
        <v>1693.8670958794166</v>
      </c>
      <c r="E13" s="34">
        <f>'Project Pop Settlements'!E13*Pop_Wilayat!H$11</f>
        <v>1826.3270546844299</v>
      </c>
      <c r="F13" s="34">
        <f>'Project Pop Settlements'!F13*Pop_Wilayat!I$11</f>
        <v>1970.8017259255</v>
      </c>
      <c r="G13" s="34">
        <f>'Project Pop Settlements'!G13*Pop_Wilayat!J$11</f>
        <v>2121.1063566995217</v>
      </c>
      <c r="H13" s="34">
        <f>'Project Pop Settlements'!H13*Pop_Wilayat!K$11</f>
        <v>2277.4948391087696</v>
      </c>
      <c r="I13" s="34">
        <f>'Project Pop Settlements'!I13*Pop_Wilayat!L$11</f>
        <v>2440.1180945268816</v>
      </c>
      <c r="J13" s="34">
        <f>'Project Pop Settlements'!J13*Pop_Wilayat!M$11</f>
        <v>2597.9311411504641</v>
      </c>
      <c r="K13" s="34">
        <f>'Project Pop Settlements'!K13*Pop_Wilayat!N$11</f>
        <v>2772.5488368400806</v>
      </c>
      <c r="L13" s="34">
        <f>'Project Pop Settlements'!L13*Pop_Wilayat!O$11</f>
        <v>2953.9707865388136</v>
      </c>
      <c r="M13" s="34">
        <f>'Project Pop Settlements'!M13*Pop_Wilayat!P$11</f>
        <v>3103.3371309824329</v>
      </c>
      <c r="N13" s="34">
        <f>'Project Pop Settlements'!N13*Pop_Wilayat!Q$11</f>
        <v>3338.8032100857904</v>
      </c>
      <c r="O13" s="34">
        <f>'Project Pop Settlements'!O13*Pop_Wilayat!R$11</f>
        <v>3526.4647231717145</v>
      </c>
      <c r="P13" s="34">
        <f>'Project Pop Settlements'!P13*Pop_Wilayat!S$11</f>
        <v>3617.5676906664348</v>
      </c>
      <c r="Q13" s="34">
        <f>'Project Pop Settlements'!Q13*Pop_Wilayat!T$11</f>
        <v>3712.263368966494</v>
      </c>
      <c r="R13" s="34">
        <f>'Project Pop Settlements'!R13*Pop_Wilayat!U$11</f>
        <v>3810.2888767934514</v>
      </c>
      <c r="S13" s="34">
        <f>'Project Pop Settlements'!S13*Pop_Wilayat!V$11</f>
        <v>3912.5204850754399</v>
      </c>
      <c r="T13" s="34">
        <f>'Project Pop Settlements'!T13*Pop_Wilayat!W$11</f>
        <v>3997.6209967124605</v>
      </c>
      <c r="U13" s="34">
        <f>'Project Pop Settlements'!U13*Pop_Wilayat!X$11</f>
        <v>4073.8815743249397</v>
      </c>
      <c r="V13" s="34">
        <f>'Project Pop Settlements'!V13*Pop_Wilayat!Y$11</f>
        <v>4153.623764036889</v>
      </c>
      <c r="W13" s="34">
        <f>'Project Pop Settlements'!W13*Pop_Wilayat!Z$11</f>
        <v>4235.8484044764537</v>
      </c>
      <c r="X13" s="34">
        <f>'Project Pop Settlements'!X13*Pop_Wilayat!AA$11</f>
        <v>4320.7263339682413</v>
      </c>
      <c r="Y13" s="34">
        <f>'Project Pop Settlements'!Y13*Pop_Wilayat!AB$11</f>
        <v>4408.4283908393172</v>
      </c>
      <c r="Z13" s="34">
        <f>'Project Pop Settlements'!Z13*Pop_Wilayat!AC$11</f>
        <v>4499.12541354942</v>
      </c>
      <c r="AA13" s="34">
        <f>'Project Pop Settlements'!AA13*Pop_Wilayat!AD$11</f>
        <v>4592.9882403333913</v>
      </c>
      <c r="AB13" s="34">
        <f>'Project Pop Settlements'!AB13*Pop_Wilayat!AE$11</f>
        <v>4690.1877097968345</v>
      </c>
      <c r="AC13" s="34">
        <f>'Project Pop Settlements'!AC13*Pop_Wilayat!AF$11</f>
        <v>4790.894660046134</v>
      </c>
      <c r="AD13" s="34">
        <f>'Project Pop Settlements'!AD13*Pop_Wilayat!AG$11</f>
        <v>4895.2799297726224</v>
      </c>
      <c r="AE13" s="44">
        <f>'Project Pop Settlements'!AE13*Pop_Wilayat!AH$11</f>
        <v>5065.9507590839285</v>
      </c>
      <c r="AF13" s="44">
        <f>'Project Pop Settlements'!AF13*Pop_Wilayat!AI$11</f>
        <v>5243.3114158562348</v>
      </c>
      <c r="AG13" s="44">
        <f>'Project Pop Settlements'!AG13*Pop_Wilayat!AJ$11</f>
        <v>5427.6666144910032</v>
      </c>
      <c r="AH13" s="44">
        <f>'Project Pop Settlements'!AH13*Pop_Wilayat!AK$11</f>
        <v>5619.3360968488996</v>
      </c>
      <c r="AI13" s="44">
        <f>'Project Pop Settlements'!AI13*Pop_Wilayat!AL$11</f>
        <v>5818.6554399662054</v>
      </c>
      <c r="AJ13" s="44">
        <f>'Project Pop Settlements'!AJ13*Pop_Wilayat!AM$11</f>
        <v>6025.9769099395362</v>
      </c>
      <c r="AK13" s="44">
        <f>'Project Pop Settlements'!AK13*Pop_Wilayat!AN$11</f>
        <v>6241.6703647830527</v>
      </c>
      <c r="AL13" s="44">
        <f>'Project Pop Settlements'!AL13*Pop_Wilayat!AO$11</f>
        <v>6464.935631164718</v>
      </c>
      <c r="AM13" s="44">
        <f>'Project Pop Settlements'!AM13*Pop_Wilayat!AP$11</f>
        <v>6695.3224282025885</v>
      </c>
      <c r="AN13" s="44">
        <f>'Project Pop Settlements'!AN13*Pop_Wilayat!AQ$11</f>
        <v>6933.0439885747246</v>
      </c>
      <c r="AO13" s="44">
        <f>'Project Pop Settlements'!AO13*Pop_Wilayat!AR$11</f>
        <v>7178.3196781260804</v>
      </c>
      <c r="AP13" s="44">
        <f>'Project Pop Settlements'!AP13*Pop_Wilayat!AS$11</f>
        <v>7431.3751674384812</v>
      </c>
      <c r="AQ13" s="44">
        <f>'Project Pop Settlements'!AQ13*Pop_Wilayat!AT$11</f>
        <v>7692.4426081032761</v>
      </c>
      <c r="AR13" s="44">
        <f>'Project Pop Settlements'!AR13*Pop_Wilayat!AU$11</f>
        <v>7961.7608138235373</v>
      </c>
      <c r="AS13" s="44">
        <f>'Project Pop Settlements'!AS13*Pop_Wilayat!AV$11</f>
        <v>8239.575446476103</v>
      </c>
      <c r="AT13" s="44">
        <f>'Project Pop Settlements'!AT13*Pop_Wilayat!AW$11</f>
        <v>8526.1392072672315</v>
      </c>
      <c r="AU13" s="44">
        <f>'Project Pop Settlements'!AU13*Pop_Wilayat!AX$11</f>
        <v>8821.7120331191618</v>
      </c>
      <c r="AV13" s="44">
        <f>'Project Pop Settlements'!AV13*Pop_Wilayat!AY$11</f>
        <v>9126.5612984285999</v>
      </c>
      <c r="AW13" s="44">
        <f>'Project Pop Settlements'!AW13*Pop_Wilayat!AZ$11</f>
        <v>9440.9620223418151</v>
      </c>
      <c r="AX13" s="44">
        <f>'Project Pop Settlements'!AX13*Pop_Wilayat!BA$11</f>
        <v>9765.1970816949688</v>
      </c>
      <c r="AY13" s="44">
        <f>'Project Pop Settlements'!AY13*Pop_Wilayat!BB$11</f>
        <v>9999.5618116556489</v>
      </c>
      <c r="AZ13" s="44">
        <f>'Project Pop Settlements'!AZ13*Pop_Wilayat!BC$11</f>
        <v>10239.551295135385</v>
      </c>
      <c r="BA13" s="44">
        <f>'Project Pop Settlements'!BA13*Pop_Wilayat!BD$11</f>
        <v>10485.300526218634</v>
      </c>
      <c r="BB13" s="44">
        <f>'Project Pop Settlements'!BB13*Pop_Wilayat!BE$11</f>
        <v>10736.947738847881</v>
      </c>
      <c r="BC13" s="44">
        <f>'Project Pop Settlements'!BC13*Pop_Wilayat!BF$11</f>
        <v>10994.63448458023</v>
      </c>
      <c r="BD13" s="44">
        <f>'Project Pop Settlements'!BD13*Pop_Wilayat!BG$11</f>
        <v>11258.505712210157</v>
      </c>
      <c r="BE13" s="44">
        <f>'Project Pop Settlements'!BE13*Pop_Wilayat!BH$11</f>
        <v>11528.709849303201</v>
      </c>
      <c r="BF13" s="44">
        <f>'Project Pop Settlements'!BF13*Pop_Wilayat!BI$11</f>
        <v>11805.398885686478</v>
      </c>
      <c r="BG13" s="44">
        <f>'Project Pop Settlements'!BG13*Pop_Wilayat!BJ$11</f>
        <v>12088.728458942955</v>
      </c>
      <c r="BH13" s="44">
        <f>'Project Pop Settlements'!BH13*Pop_Wilayat!BK$11</f>
        <v>12378.857941957587</v>
      </c>
      <c r="BI13" s="44">
        <f>'Project Pop Settlements'!BI13*Pop_Wilayat!BL$11</f>
        <v>12675.95053256457</v>
      </c>
      <c r="BJ13" s="44">
        <f>'Project Pop Settlements'!BJ13*Pop_Wilayat!BM$11</f>
        <v>12980.17334534612</v>
      </c>
      <c r="BK13" s="44">
        <f>'Project Pop Settlements'!BK13*Pop_Wilayat!BN$11</f>
        <v>13291.697505634427</v>
      </c>
      <c r="BL13" s="44">
        <f>'Project Pop Settlements'!BL13*Pop_Wilayat!BO$11</f>
        <v>13610.698245769654</v>
      </c>
      <c r="BM13" s="44">
        <f>'Project Pop Settlements'!BM13*Pop_Wilayat!BP$11</f>
        <v>13937.355003668126</v>
      </c>
      <c r="BN13" s="44">
        <f>'Project Pop Settlements'!BN13*Pop_Wilayat!BQ$11</f>
        <v>14271.851523756162</v>
      </c>
      <c r="BO13" s="44">
        <f>'Project Pop Settlements'!BO13*Pop_Wilayat!BR$11</f>
        <v>14614.37596032631</v>
      </c>
      <c r="BP13" s="44">
        <f>'Project Pop Settlements'!BP13*Pop_Wilayat!BS$11</f>
        <v>14965.120983374141</v>
      </c>
      <c r="BQ13" s="44">
        <f>'Project Pop Settlements'!BQ13*Pop_Wilayat!BT$11</f>
        <v>15324.283886975121</v>
      </c>
      <c r="BR13" s="44">
        <f>'Project Pop Settlements'!BR13*Pop_Wilayat!BU$11</f>
        <v>15692.066700262525</v>
      </c>
      <c r="BS13" s="44">
        <f>'Project Pop Settlements'!BS13*Pop_Wilayat!BV$11</f>
        <v>16068.676301068826</v>
      </c>
      <c r="BT13" s="44">
        <f>'Project Pop Settlements'!BT13*Pop_Wilayat!BW$11</f>
        <v>16454.324532294479</v>
      </c>
      <c r="BU13" s="44">
        <f>'Project Pop Settlements'!BU13*Pop_Wilayat!BX$11</f>
        <v>16849.228321069546</v>
      </c>
      <c r="BV13" s="44">
        <f>'Project Pop Settlements'!BV13*Pop_Wilayat!BY$11</f>
        <v>17253.609800775215</v>
      </c>
      <c r="BW13" s="44">
        <f>'Project Pop Settlements'!BW13*Pop_Wilayat!BZ$11</f>
        <v>17667.696435993821</v>
      </c>
      <c r="BX13" s="44">
        <f>'Project Pop Settlements'!BX13*Pop_Wilayat!CA$11</f>
        <v>18091.721150457674</v>
      </c>
      <c r="BY13" s="44">
        <f>'Project Pop Settlements'!BY13*Pop_Wilayat!CB$11</f>
        <v>18525.922458068657</v>
      </c>
      <c r="BZ13" s="44">
        <f>'Project Pop Settlements'!BZ13*Pop_Wilayat!CC$11</f>
        <v>18970.544597062304</v>
      </c>
      <c r="CA13" s="44">
        <f>'Project Pop Settlements'!CA13*Pop_Wilayat!CD$11</f>
        <v>19425.837667391799</v>
      </c>
      <c r="CB13" s="44">
        <f>'Project Pop Settlements'!CB13*Pop_Wilayat!CE$11</f>
        <v>19892.057771409203</v>
      </c>
    </row>
    <row r="14" spans="1:80" x14ac:dyDescent="0.25">
      <c r="A14" s="33">
        <v>13</v>
      </c>
      <c r="B14" s="36" t="s">
        <v>45</v>
      </c>
      <c r="C14" s="34">
        <f>'Project Pop Settlements'!C14*Pop_Wilayat!F$11</f>
        <v>22.489748894398705</v>
      </c>
      <c r="D14" s="34">
        <f>'Project Pop Settlements'!D14*Pop_Wilayat!G$11</f>
        <v>23.736360616080074</v>
      </c>
      <c r="E14" s="34">
        <f>'Project Pop Settlements'!E14*Pop_Wilayat!H$11</f>
        <v>25.592537737080558</v>
      </c>
      <c r="F14" s="34">
        <f>'Project Pop Settlements'!F14*Pop_Wilayat!I$11</f>
        <v>27.617078449164726</v>
      </c>
      <c r="G14" s="34">
        <f>'Project Pop Settlements'!G14*Pop_Wilayat!J$11</f>
        <v>29.723315075992097</v>
      </c>
      <c r="H14" s="34">
        <f>'Project Pop Settlements'!H14*Pop_Wilayat!K$11</f>
        <v>31.914805437719785</v>
      </c>
      <c r="I14" s="34">
        <f>'Project Pop Settlements'!I14*Pop_Wilayat!L$11</f>
        <v>34.193664413465541</v>
      </c>
      <c r="J14" s="34">
        <f>'Project Pop Settlements'!J14*Pop_Wilayat!M$11</f>
        <v>36.405117362573584</v>
      </c>
      <c r="K14" s="34">
        <f>'Project Pop Settlements'!K14*Pop_Wilayat!N$11</f>
        <v>38.852055853155562</v>
      </c>
      <c r="L14" s="34">
        <f>'Project Pop Settlements'!L14*Pop_Wilayat!O$11</f>
        <v>41.394343162589216</v>
      </c>
      <c r="M14" s="34">
        <f>'Project Pop Settlements'!M14*Pop_Wilayat!P$11</f>
        <v>43.487431471727582</v>
      </c>
      <c r="N14" s="34">
        <f>'Project Pop Settlements'!N14*Pop_Wilayat!Q$11</f>
        <v>46.78704557961602</v>
      </c>
      <c r="O14" s="34">
        <f>'Project Pop Settlements'!O14*Pop_Wilayat!R$11</f>
        <v>49.416768631207674</v>
      </c>
      <c r="P14" s="34">
        <f>'Project Pop Settlements'!P14*Pop_Wilayat!S$11</f>
        <v>50.693405325379373</v>
      </c>
      <c r="Q14" s="34">
        <f>'Project Pop Settlements'!Q14*Pop_Wilayat!T$11</f>
        <v>52.020387102392718</v>
      </c>
      <c r="R14" s="34">
        <f>'Project Pop Settlements'!R14*Pop_Wilayat!U$11</f>
        <v>53.394030175698326</v>
      </c>
      <c r="S14" s="34">
        <f>'Project Pop Settlements'!S14*Pop_Wilayat!V$11</f>
        <v>54.82661383379417</v>
      </c>
      <c r="T14" s="34">
        <f>'Project Pop Settlements'!T14*Pop_Wilayat!W$11</f>
        <v>56.019137401754804</v>
      </c>
      <c r="U14" s="34">
        <f>'Project Pop Settlements'!U14*Pop_Wilayat!X$11</f>
        <v>57.087785925245129</v>
      </c>
      <c r="V14" s="34">
        <f>'Project Pop Settlements'!V14*Pop_Wilayat!Y$11</f>
        <v>58.205222692228318</v>
      </c>
      <c r="W14" s="34">
        <f>'Project Pop Settlements'!W14*Pop_Wilayat!Z$11</f>
        <v>59.357446335835803</v>
      </c>
      <c r="X14" s="34">
        <f>'Project Pop Settlements'!X14*Pop_Wilayat!AA$11</f>
        <v>60.546850833782734</v>
      </c>
      <c r="Y14" s="34">
        <f>'Project Pop Settlements'!Y14*Pop_Wilayat!AB$11</f>
        <v>61.775830163818682</v>
      </c>
      <c r="Z14" s="34">
        <f>'Project Pop Settlements'!Z14*Pop_Wilayat!AC$11</f>
        <v>63.046778305552394</v>
      </c>
      <c r="AA14" s="34">
        <f>'Project Pop Settlements'!AA14*Pop_Wilayat!AD$11</f>
        <v>64.362089235441076</v>
      </c>
      <c r="AB14" s="34">
        <f>'Project Pop Settlements'!AB14*Pop_Wilayat!AE$11</f>
        <v>65.724156935137515</v>
      </c>
      <c r="AC14" s="34">
        <f>'Project Pop Settlements'!AC14*Pop_Wilayat!AF$11</f>
        <v>67.135375379298836</v>
      </c>
      <c r="AD14" s="34">
        <f>'Project Pop Settlements'!AD14*Pop_Wilayat!AG$11</f>
        <v>68.598138550779126</v>
      </c>
      <c r="AE14" s="44">
        <f>'Project Pop Settlements'!AE14*Pop_Wilayat!AH$11</f>
        <v>70.989769134449787</v>
      </c>
      <c r="AF14" s="44">
        <f>'Project Pop Settlements'!AF14*Pop_Wilayat!AI$11</f>
        <v>73.475145064175024</v>
      </c>
      <c r="AG14" s="44">
        <f>'Project Pop Settlements'!AG14*Pop_Wilayat!AJ$11</f>
        <v>76.058536339021202</v>
      </c>
      <c r="AH14" s="44">
        <f>'Project Pop Settlements'!AH14*Pop_Wilayat!AK$11</f>
        <v>78.744423539623824</v>
      </c>
      <c r="AI14" s="44">
        <f>'Project Pop Settlements'!AI14*Pop_Wilayat!AL$11</f>
        <v>81.537509146813264</v>
      </c>
      <c r="AJ14" s="44">
        <f>'Project Pop Settlements'!AJ14*Pop_Wilayat!AM$11</f>
        <v>84.442729507202813</v>
      </c>
      <c r="AK14" s="44">
        <f>'Project Pop Settlements'!AK14*Pop_Wilayat!AN$11</f>
        <v>87.465267485033849</v>
      </c>
      <c r="AL14" s="44">
        <f>'Project Pop Settlements'!AL14*Pop_Wilayat!AO$11</f>
        <v>90.593910156452523</v>
      </c>
      <c r="AM14" s="44">
        <f>'Project Pop Settlements'!AM14*Pop_Wilayat!AP$11</f>
        <v>93.822347682027925</v>
      </c>
      <c r="AN14" s="44">
        <f>'Project Pop Settlements'!AN14*Pop_Wilayat!AQ$11</f>
        <v>97.153568116580843</v>
      </c>
      <c r="AO14" s="44">
        <f>'Project Pop Settlements'!AO14*Pop_Wilayat!AR$11</f>
        <v>100.59064545972743</v>
      </c>
      <c r="AP14" s="44">
        <f>'Project Pop Settlements'!AP14*Pop_Wilayat!AS$11</f>
        <v>104.13674206010991</v>
      </c>
      <c r="AQ14" s="44">
        <f>'Project Pop Settlements'!AQ14*Pop_Wilayat!AT$11</f>
        <v>107.79511108552595</v>
      </c>
      <c r="AR14" s="44">
        <f>'Project Pop Settlements'!AR14*Pop_Wilayat!AU$11</f>
        <v>111.56909906073534</v>
      </c>
      <c r="AS14" s="44">
        <f>'Project Pop Settlements'!AS14*Pop_Wilayat!AV$11</f>
        <v>115.46214847476951</v>
      </c>
      <c r="AT14" s="44">
        <f>'Project Pop Settlements'!AT14*Pop_Wilayat!AW$11</f>
        <v>119.47780045961834</v>
      </c>
      <c r="AU14" s="44">
        <f>'Project Pop Settlements'!AU14*Pop_Wilayat!AX$11</f>
        <v>123.61969754221845</v>
      </c>
      <c r="AV14" s="44">
        <f>'Project Pop Settlements'!AV14*Pop_Wilayat!AY$11</f>
        <v>127.89158647171861</v>
      </c>
      <c r="AW14" s="44">
        <f>'Project Pop Settlements'!AW14*Pop_Wilayat!AZ$11</f>
        <v>132.29732112405048</v>
      </c>
      <c r="AX14" s="44">
        <f>'Project Pop Settlements'!AX14*Pop_Wilayat!BA$11</f>
        <v>136.84086548588655</v>
      </c>
      <c r="AY14" s="44">
        <f>'Project Pop Settlements'!AY14*Pop_Wilayat!BB$11</f>
        <v>140.12504625754784</v>
      </c>
      <c r="AZ14" s="44">
        <f>'Project Pop Settlements'!AZ14*Pop_Wilayat!BC$11</f>
        <v>143.488047367729</v>
      </c>
      <c r="BA14" s="44">
        <f>'Project Pop Settlements'!BA14*Pop_Wilayat!BD$11</f>
        <v>146.93176050455449</v>
      </c>
      <c r="BB14" s="44">
        <f>'Project Pop Settlements'!BB14*Pop_Wilayat!BE$11</f>
        <v>150.45812275666381</v>
      </c>
      <c r="BC14" s="44">
        <f>'Project Pop Settlements'!BC14*Pop_Wilayat!BF$11</f>
        <v>154.06911770282375</v>
      </c>
      <c r="BD14" s="44">
        <f>'Project Pop Settlements'!BD14*Pop_Wilayat!BG$11</f>
        <v>157.76677652769152</v>
      </c>
      <c r="BE14" s="44">
        <f>'Project Pop Settlements'!BE14*Pop_Wilayat!BH$11</f>
        <v>161.55317916435612</v>
      </c>
      <c r="BF14" s="44">
        <f>'Project Pop Settlements'!BF14*Pop_Wilayat!BI$11</f>
        <v>165.43045546430068</v>
      </c>
      <c r="BG14" s="44">
        <f>'Project Pop Settlements'!BG14*Pop_Wilayat!BJ$11</f>
        <v>169.4007863954439</v>
      </c>
      <c r="BH14" s="44">
        <f>'Project Pop Settlements'!BH14*Pop_Wilayat!BK$11</f>
        <v>173.46640526893455</v>
      </c>
      <c r="BI14" s="44">
        <f>'Project Pop Settlements'!BI14*Pop_Wilayat!BL$11</f>
        <v>177.62959899538899</v>
      </c>
      <c r="BJ14" s="44">
        <f>'Project Pop Settlements'!BJ14*Pop_Wilayat!BM$11</f>
        <v>181.89270937127833</v>
      </c>
      <c r="BK14" s="44">
        <f>'Project Pop Settlements'!BK14*Pop_Wilayat!BN$11</f>
        <v>186.25813439618901</v>
      </c>
      <c r="BL14" s="44">
        <f>'Project Pop Settlements'!BL14*Pop_Wilayat!BO$11</f>
        <v>190.72832962169755</v>
      </c>
      <c r="BM14" s="44">
        <f>'Project Pop Settlements'!BM14*Pop_Wilayat!BP$11</f>
        <v>195.30580953261833</v>
      </c>
      <c r="BN14" s="44">
        <f>'Project Pop Settlements'!BN14*Pop_Wilayat!BQ$11</f>
        <v>199.99314896140118</v>
      </c>
      <c r="BO14" s="44">
        <f>'Project Pop Settlements'!BO14*Pop_Wilayat!BR$11</f>
        <v>204.79298453647482</v>
      </c>
      <c r="BP14" s="44">
        <f>'Project Pop Settlements'!BP14*Pop_Wilayat!BS$11</f>
        <v>209.70801616535022</v>
      </c>
      <c r="BQ14" s="44">
        <f>'Project Pop Settlements'!BQ14*Pop_Wilayat!BT$11</f>
        <v>214.74100855331864</v>
      </c>
      <c r="BR14" s="44">
        <f>'Project Pop Settlements'!BR14*Pop_Wilayat!BU$11</f>
        <v>219.8947927585983</v>
      </c>
      <c r="BS14" s="44">
        <f>'Project Pop Settlements'!BS14*Pop_Wilayat!BV$11</f>
        <v>225.17226778480466</v>
      </c>
      <c r="BT14" s="44">
        <f>'Project Pop Settlements'!BT14*Pop_Wilayat!BW$11</f>
        <v>230.57640221163999</v>
      </c>
      <c r="BU14" s="44">
        <f>'Project Pop Settlements'!BU14*Pop_Wilayat!BX$11</f>
        <v>236.11023586471936</v>
      </c>
      <c r="BV14" s="44">
        <f>'Project Pop Settlements'!BV14*Pop_Wilayat!BY$11</f>
        <v>241.77688152547262</v>
      </c>
      <c r="BW14" s="44">
        <f>'Project Pop Settlements'!BW14*Pop_Wilayat!BZ$11</f>
        <v>247.57952668208395</v>
      </c>
      <c r="BX14" s="44">
        <f>'Project Pop Settlements'!BX14*Pop_Wilayat!CA$11</f>
        <v>253.52143532245398</v>
      </c>
      <c r="BY14" s="44">
        <f>'Project Pop Settlements'!BY14*Pop_Wilayat!CB$11</f>
        <v>259.60594977019286</v>
      </c>
      <c r="BZ14" s="44">
        <f>'Project Pop Settlements'!BZ14*Pop_Wilayat!CC$11</f>
        <v>265.83649256467749</v>
      </c>
      <c r="CA14" s="44">
        <f>'Project Pop Settlements'!CA14*Pop_Wilayat!CD$11</f>
        <v>272.21656838622977</v>
      </c>
      <c r="CB14" s="44">
        <f>'Project Pop Settlements'!CB14*Pop_Wilayat!CE$11</f>
        <v>278.74976602749928</v>
      </c>
    </row>
    <row r="15" spans="1:80" x14ac:dyDescent="0.25">
      <c r="A15" s="33">
        <v>14</v>
      </c>
      <c r="B15" s="36" t="s">
        <v>46</v>
      </c>
      <c r="C15" s="34">
        <f>'Project Pop Settlements'!C15*Pop_Wilayat!F$11</f>
        <v>1603.4712456410653</v>
      </c>
      <c r="D15" s="34">
        <f>'Project Pop Settlements'!D15*Pop_Wilayat!G$11</f>
        <v>1692.3520090315817</v>
      </c>
      <c r="E15" s="34">
        <f>'Project Pop Settlements'!E15*Pop_Wilayat!H$11</f>
        <v>1824.6934884458929</v>
      </c>
      <c r="F15" s="34">
        <f>'Project Pop Settlements'!F15*Pop_Wilayat!I$11</f>
        <v>1969.038933684064</v>
      </c>
      <c r="G15" s="34">
        <f>'Project Pop Settlements'!G15*Pop_Wilayat!J$11</f>
        <v>2119.2091238223306</v>
      </c>
      <c r="H15" s="34">
        <f>'Project Pop Settlements'!H15*Pop_Wilayat!K$11</f>
        <v>2275.457723868064</v>
      </c>
      <c r="I15" s="34">
        <f>'Project Pop Settlements'!I15*Pop_Wilayat!L$11</f>
        <v>2437.9355202026172</v>
      </c>
      <c r="J15" s="34">
        <f>'Project Pop Settlements'!J15*Pop_Wilayat!M$11</f>
        <v>2595.6074102549806</v>
      </c>
      <c r="K15" s="34">
        <f>'Project Pop Settlements'!K15*Pop_Wilayat!N$11</f>
        <v>2770.0689183813679</v>
      </c>
      <c r="L15" s="34">
        <f>'Project Pop Settlements'!L15*Pop_Wilayat!O$11</f>
        <v>2951.3285944220524</v>
      </c>
      <c r="M15" s="34">
        <f>'Project Pop Settlements'!M15*Pop_Wilayat!P$11</f>
        <v>3100.5613374842378</v>
      </c>
      <c r="N15" s="34">
        <f>'Project Pop Settlements'!N15*Pop_Wilayat!Q$11</f>
        <v>3335.8168029211338</v>
      </c>
      <c r="O15" s="34">
        <f>'Project Pop Settlements'!O15*Pop_Wilayat!R$11</f>
        <v>3523.3104613441901</v>
      </c>
      <c r="P15" s="34">
        <f>'Project Pop Settlements'!P15*Pop_Wilayat!S$11</f>
        <v>3614.3319413903469</v>
      </c>
      <c r="Q15" s="34">
        <f>'Project Pop Settlements'!Q15*Pop_Wilayat!T$11</f>
        <v>3708.9429187259152</v>
      </c>
      <c r="R15" s="34">
        <f>'Project Pop Settlements'!R15*Pop_Wilayat!U$11</f>
        <v>3806.8807472077688</v>
      </c>
      <c r="S15" s="34">
        <f>'Project Pop Settlements'!S15*Pop_Wilayat!V$11</f>
        <v>3909.0209139796652</v>
      </c>
      <c r="T15" s="34">
        <f>'Project Pop Settlements'!T15*Pop_Wilayat!W$11</f>
        <v>3994.0453070910717</v>
      </c>
      <c r="U15" s="34">
        <f>'Project Pop Settlements'!U15*Pop_Wilayat!X$11</f>
        <v>4070.2376730956694</v>
      </c>
      <c r="V15" s="34">
        <f>'Project Pop Settlements'!V15*Pop_Wilayat!Y$11</f>
        <v>4149.9085370565335</v>
      </c>
      <c r="W15" s="34">
        <f>'Project Pop Settlements'!W15*Pop_Wilayat!Z$11</f>
        <v>4232.0596313060805</v>
      </c>
      <c r="X15" s="34">
        <f>'Project Pop Settlements'!X15*Pop_Wilayat!AA$11</f>
        <v>4316.8616413618283</v>
      </c>
      <c r="Y15" s="34">
        <f>'Project Pop Settlements'!Y15*Pop_Wilayat!AB$11</f>
        <v>4404.4852527437533</v>
      </c>
      <c r="Z15" s="34">
        <f>'Project Pop Settlements'!Z15*Pop_Wilayat!AC$11</f>
        <v>4495.1011511043853</v>
      </c>
      <c r="AA15" s="34">
        <f>'Project Pop Settlements'!AA15*Pop_Wilayat!AD$11</f>
        <v>4588.8800218715542</v>
      </c>
      <c r="AB15" s="34">
        <f>'Project Pop Settlements'!AB15*Pop_Wilayat!AE$11</f>
        <v>4685.9925508435281</v>
      </c>
      <c r="AC15" s="34">
        <f>'Project Pop Settlements'!AC15*Pop_Wilayat!AF$11</f>
        <v>4786.6094233197964</v>
      </c>
      <c r="AD15" s="34">
        <f>'Project Pop Settlements'!AD15*Pop_Wilayat!AG$11</f>
        <v>4890.9013251842744</v>
      </c>
      <c r="AE15" s="44">
        <f>'Project Pop Settlements'!AE15*Pop_Wilayat!AH$11</f>
        <v>5061.4194972242831</v>
      </c>
      <c r="AF15" s="44">
        <f>'Project Pop Settlements'!AF15*Pop_Wilayat!AI$11</f>
        <v>5238.6215129797984</v>
      </c>
      <c r="AG15" s="44">
        <f>'Project Pop Settlements'!AG15*Pop_Wilayat!AJ$11</f>
        <v>5422.8118142991507</v>
      </c>
      <c r="AH15" s="44">
        <f>'Project Pop Settlements'!AH15*Pop_Wilayat!AK$11</f>
        <v>5614.3098570484981</v>
      </c>
      <c r="AI15" s="44">
        <f>'Project Pop Settlements'!AI15*Pop_Wilayat!AL$11</f>
        <v>5813.4509181057711</v>
      </c>
      <c r="AJ15" s="44">
        <f>'Project Pop Settlements'!AJ15*Pop_Wilayat!AM$11</f>
        <v>6020.5869484816294</v>
      </c>
      <c r="AK15" s="44">
        <f>'Project Pop Settlements'!AK15*Pop_Wilayat!AN$11</f>
        <v>6236.0874753691141</v>
      </c>
      <c r="AL15" s="44">
        <f>'Project Pop Settlements'!AL15*Pop_Wilayat!AO$11</f>
        <v>6459.153041154731</v>
      </c>
      <c r="AM15" s="44">
        <f>'Project Pop Settlements'!AM15*Pop_Wilayat!AP$11</f>
        <v>6689.3337677122454</v>
      </c>
      <c r="AN15" s="44">
        <f>'Project Pop Settlements'!AN15*Pop_Wilayat!AQ$11</f>
        <v>6926.842696992815</v>
      </c>
      <c r="AO15" s="44">
        <f>'Project Pop Settlements'!AO15*Pop_Wilayat!AR$11</f>
        <v>7171.8989986286497</v>
      </c>
      <c r="AP15" s="44">
        <f>'Project Pop Settlements'!AP15*Pop_Wilayat!AS$11</f>
        <v>7424.7281413495375</v>
      </c>
      <c r="AQ15" s="44">
        <f>'Project Pop Settlements'!AQ15*Pop_Wilayat!AT$11</f>
        <v>7685.5620690978167</v>
      </c>
      <c r="AR15" s="44">
        <f>'Project Pop Settlements'!AR15*Pop_Wilayat!AU$11</f>
        <v>7954.6393819685954</v>
      </c>
      <c r="AS15" s="44">
        <f>'Project Pop Settlements'!AS15*Pop_Wilayat!AV$11</f>
        <v>8232.2055221053724</v>
      </c>
      <c r="AT15" s="44">
        <f>'Project Pop Settlements'!AT15*Pop_Wilayat!AW$11</f>
        <v>8518.5129646846999</v>
      </c>
      <c r="AU15" s="44">
        <f>'Project Pop Settlements'!AU15*Pop_Wilayat!AX$11</f>
        <v>8813.8214141271037</v>
      </c>
      <c r="AV15" s="44">
        <f>'Project Pop Settlements'!AV15*Pop_Wilayat!AY$11</f>
        <v>9118.3980056750825</v>
      </c>
      <c r="AW15" s="44">
        <f>'Project Pop Settlements'!AW15*Pop_Wilayat!AZ$11</f>
        <v>9432.5175124828293</v>
      </c>
      <c r="AX15" s="44">
        <f>'Project Pop Settlements'!AX15*Pop_Wilayat!BA$11</f>
        <v>9756.4625583660763</v>
      </c>
      <c r="AY15" s="44">
        <f>'Project Pop Settlements'!AY15*Pop_Wilayat!BB$11</f>
        <v>9990.6176597668618</v>
      </c>
      <c r="AZ15" s="44">
        <f>'Project Pop Settlements'!AZ15*Pop_Wilayat!BC$11</f>
        <v>10230.392483601267</v>
      </c>
      <c r="BA15" s="44">
        <f>'Project Pop Settlements'!BA15*Pop_Wilayat!BD$11</f>
        <v>10475.921903207698</v>
      </c>
      <c r="BB15" s="44">
        <f>'Project Pop Settlements'!BB15*Pop_Wilayat!BE$11</f>
        <v>10727.344028884683</v>
      </c>
      <c r="BC15" s="44">
        <f>'Project Pop Settlements'!BC15*Pop_Wilayat!BF$11</f>
        <v>10984.800285577916</v>
      </c>
      <c r="BD15" s="44">
        <f>'Project Pop Settlements'!BD15*Pop_Wilayat!BG$11</f>
        <v>11248.435492431787</v>
      </c>
      <c r="BE15" s="44">
        <f>'Project Pop Settlements'!BE15*Pop_Wilayat!BH$11</f>
        <v>11518.39794425015</v>
      </c>
      <c r="BF15" s="44">
        <f>'Project Pop Settlements'!BF15*Pop_Wilayat!BI$11</f>
        <v>11794.839494912154</v>
      </c>
      <c r="BG15" s="44">
        <f>'Project Pop Settlements'!BG15*Pop_Wilayat!BJ$11</f>
        <v>12077.915642790045</v>
      </c>
      <c r="BH15" s="44">
        <f>'Project Pop Settlements'!BH15*Pop_Wilayat!BK$11</f>
        <v>12367.785618217009</v>
      </c>
      <c r="BI15" s="44">
        <f>'Project Pop Settlements'!BI15*Pop_Wilayat!BL$11</f>
        <v>12664.612473054218</v>
      </c>
      <c r="BJ15" s="44">
        <f>'Project Pop Settlements'!BJ15*Pop_Wilayat!BM$11</f>
        <v>12968.563172407519</v>
      </c>
      <c r="BK15" s="44">
        <f>'Project Pop Settlements'!BK15*Pop_Wilayat!BN$11</f>
        <v>13279.808688545299</v>
      </c>
      <c r="BL15" s="44">
        <f>'Project Pop Settlements'!BL15*Pop_Wilayat!BO$11</f>
        <v>13598.524097070387</v>
      </c>
      <c r="BM15" s="44">
        <f>'Project Pop Settlements'!BM15*Pop_Wilayat!BP$11</f>
        <v>13924.888675400076</v>
      </c>
      <c r="BN15" s="44">
        <f>'Project Pop Settlements'!BN15*Pop_Wilayat!BQ$11</f>
        <v>14259.086003609678</v>
      </c>
      <c r="BO15" s="44">
        <f>'Project Pop Settlements'!BO15*Pop_Wilayat!BR$11</f>
        <v>14601.30406769631</v>
      </c>
      <c r="BP15" s="44">
        <f>'Project Pop Settlements'!BP15*Pop_Wilayat!BS$11</f>
        <v>14951.735365321021</v>
      </c>
      <c r="BQ15" s="44">
        <f>'Project Pop Settlements'!BQ15*Pop_Wilayat!BT$11</f>
        <v>15310.577014088725</v>
      </c>
      <c r="BR15" s="44">
        <f>'Project Pop Settlements'!BR15*Pop_Wilayat!BU$11</f>
        <v>15678.030862426855</v>
      </c>
      <c r="BS15" s="44">
        <f>'Project Pop Settlements'!BS15*Pop_Wilayat!BV$11</f>
        <v>16054.303603125099</v>
      </c>
      <c r="BT15" s="44">
        <f>'Project Pop Settlements'!BT15*Pop_Wilayat!BW$11</f>
        <v>16439.606889600102</v>
      </c>
      <c r="BU15" s="44">
        <f>'Project Pop Settlements'!BU15*Pop_Wilayat!BX$11</f>
        <v>16834.157454950506</v>
      </c>
      <c r="BV15" s="44">
        <f>'Project Pop Settlements'!BV15*Pop_Wilayat!BY$11</f>
        <v>17238.177233869319</v>
      </c>
      <c r="BW15" s="44">
        <f>'Project Pop Settlements'!BW15*Pop_Wilayat!BZ$11</f>
        <v>17651.893487482183</v>
      </c>
      <c r="BX15" s="44">
        <f>'Project Pop Settlements'!BX15*Pop_Wilayat!CA$11</f>
        <v>18075.538931181756</v>
      </c>
      <c r="BY15" s="44">
        <f>'Project Pop Settlements'!BY15*Pop_Wilayat!CB$11</f>
        <v>18509.35186553012</v>
      </c>
      <c r="BZ15" s="44">
        <f>'Project Pop Settlements'!BZ15*Pop_Wilayat!CC$11</f>
        <v>18953.576310302844</v>
      </c>
      <c r="CA15" s="44">
        <f>'Project Pop Settlements'!CA15*Pop_Wilayat!CD$11</f>
        <v>19408.462141750111</v>
      </c>
      <c r="CB15" s="44">
        <f>'Project Pop Settlements'!CB15*Pop_Wilayat!CE$11</f>
        <v>19874.265233152113</v>
      </c>
    </row>
    <row r="16" spans="1:80" x14ac:dyDescent="0.25">
      <c r="A16" s="33">
        <v>15</v>
      </c>
      <c r="B16" s="36" t="s">
        <v>54</v>
      </c>
      <c r="C16" s="34">
        <f>'Project Pop Settlements'!C16*Pop_Wilayat!F$11</f>
        <v>1224.4950515056655</v>
      </c>
      <c r="D16" s="34">
        <f>'Project Pop Settlements'!D16*Pop_Wilayat!G$11</f>
        <v>1292.3690812031684</v>
      </c>
      <c r="E16" s="34">
        <f>'Project Pop Settlements'!E16*Pop_Wilayat!H$11</f>
        <v>1393.4320014721095</v>
      </c>
      <c r="F16" s="34">
        <f>'Project Pop Settlements'!F16*Pop_Wilayat!I$11</f>
        <v>1503.6617819449477</v>
      </c>
      <c r="G16" s="34">
        <f>'Project Pop Settlements'!G16*Pop_Wilayat!J$11</f>
        <v>1618.3396442439102</v>
      </c>
      <c r="H16" s="34">
        <f>'Project Pop Settlements'!H16*Pop_Wilayat!K$11</f>
        <v>1737.6593003218068</v>
      </c>
      <c r="I16" s="34">
        <f>'Project Pop Settlements'!I16*Pop_Wilayat!L$11</f>
        <v>1861.7358985969854</v>
      </c>
      <c r="J16" s="34">
        <f>'Project Pop Settlements'!J16*Pop_Wilayat!M$11</f>
        <v>1982.1424538473575</v>
      </c>
      <c r="K16" s="34">
        <f>'Project Pop Settlements'!K16*Pop_Wilayat!N$11</f>
        <v>2115.3704452813849</v>
      </c>
      <c r="L16" s="34">
        <f>'Project Pop Settlements'!L16*Pop_Wilayat!O$11</f>
        <v>2253.7898755971451</v>
      </c>
      <c r="M16" s="34">
        <f>'Project Pop Settlements'!M16*Pop_Wilayat!P$11</f>
        <v>2367.7518539606576</v>
      </c>
      <c r="N16" s="34">
        <f>'Project Pop Settlements'!N16*Pop_Wilayat!Q$11</f>
        <v>2547.4053114518597</v>
      </c>
      <c r="O16" s="34">
        <f>'Project Pop Settlements'!O16*Pop_Wilayat!R$11</f>
        <v>2690.5853388778819</v>
      </c>
      <c r="P16" s="34">
        <f>'Project Pop Settlements'!P16*Pop_Wilayat!S$11</f>
        <v>2760.0941325031026</v>
      </c>
      <c r="Q16" s="34">
        <f>'Project Pop Settlements'!Q16*Pop_Wilayat!T$11</f>
        <v>2832.3440552132547</v>
      </c>
      <c r="R16" s="34">
        <f>'Project Pop Settlements'!R16*Pop_Wilayat!U$11</f>
        <v>2907.1345365874899</v>
      </c>
      <c r="S16" s="34">
        <f>'Project Pop Settlements'!S16*Pop_Wilayat!V$11</f>
        <v>2985.1341446953038</v>
      </c>
      <c r="T16" s="34">
        <f>'Project Pop Settlements'!T16*Pop_Wilayat!W$11</f>
        <v>3050.0632470444798</v>
      </c>
      <c r="U16" s="34">
        <f>'Project Pop Settlements'!U16*Pop_Wilayat!X$11</f>
        <v>3108.2477485681338</v>
      </c>
      <c r="V16" s="34">
        <f>'Project Pop Settlements'!V16*Pop_Wilayat!Y$11</f>
        <v>3169.0886142428139</v>
      </c>
      <c r="W16" s="34">
        <f>'Project Pop Settlements'!W16*Pop_Wilayat!Z$11</f>
        <v>3231.8235143277411</v>
      </c>
      <c r="X16" s="34">
        <f>'Project Pop Settlements'!X16*Pop_Wilayat!AA$11</f>
        <v>3296.5827932691495</v>
      </c>
      <c r="Y16" s="34">
        <f>'Project Pop Settlements'!Y16*Pop_Wilayat!AB$11</f>
        <v>3363.4967955151496</v>
      </c>
      <c r="Z16" s="34">
        <f>'Project Pop Settlements'!Z16*Pop_Wilayat!AC$11</f>
        <v>3432.6958656150764</v>
      </c>
      <c r="AA16" s="34">
        <f>'Project Pop Settlements'!AA16*Pop_Wilayat!AD$11</f>
        <v>3504.3103479466754</v>
      </c>
      <c r="AB16" s="34">
        <f>'Project Pop Settlements'!AB16*Pop_Wilayat!AE$11</f>
        <v>3578.4705871705723</v>
      </c>
      <c r="AC16" s="34">
        <f>'Project Pop Settlements'!AC16*Pop_Wilayat!AF$11</f>
        <v>3655.3069275665048</v>
      </c>
      <c r="AD16" s="34">
        <f>'Project Pop Settlements'!AD16*Pop_Wilayat!AG$11</f>
        <v>3734.9497138605061</v>
      </c>
      <c r="AE16" s="44">
        <f>'Project Pop Settlements'!AE16*Pop_Wilayat!AH$11</f>
        <v>3865.1663662778087</v>
      </c>
      <c r="AF16" s="44">
        <f>'Project Pop Settlements'!AF16*Pop_Wilayat!AI$11</f>
        <v>4000.4871536005076</v>
      </c>
      <c r="AG16" s="44">
        <f>'Project Pop Settlements'!AG16*Pop_Wilayat!AJ$11</f>
        <v>4141.1445636501112</v>
      </c>
      <c r="AH16" s="44">
        <f>'Project Pop Settlements'!AH16*Pop_Wilayat!AK$11</f>
        <v>4287.3825497424959</v>
      </c>
      <c r="AI16" s="44">
        <f>'Project Pop Settlements'!AI16*Pop_Wilayat!AL$11</f>
        <v>4439.4571469509601</v>
      </c>
      <c r="AJ16" s="44">
        <f>'Project Pop Settlements'!AJ16*Pop_Wilayat!AM$11</f>
        <v>4597.637123594297</v>
      </c>
      <c r="AK16" s="44">
        <f>'Project Pop Settlements'!AK16*Pop_Wilayat!AN$11</f>
        <v>4762.2046700893952</v>
      </c>
      <c r="AL16" s="44">
        <f>'Project Pop Settlements'!AL16*Pop_Wilayat!AO$11</f>
        <v>4932.5492785183405</v>
      </c>
      <c r="AM16" s="44">
        <f>'Project Pop Settlements'!AM16*Pop_Wilayat!AP$11</f>
        <v>5108.327398261903</v>
      </c>
      <c r="AN16" s="44">
        <f>'Project Pop Settlements'!AN16*Pop_Wilayat!AQ$11</f>
        <v>5289.7017193687307</v>
      </c>
      <c r="AO16" s="44">
        <f>'Project Pop Settlements'!AO16*Pop_Wilayat!AR$11</f>
        <v>5476.8396113072868</v>
      </c>
      <c r="AP16" s="44">
        <f>'Project Pop Settlements'!AP16*Pop_Wilayat!AS$11</f>
        <v>5669.9132538685371</v>
      </c>
      <c r="AQ16" s="44">
        <f>'Project Pop Settlements'!AQ16*Pop_Wilayat!AT$11</f>
        <v>5869.0997716566135</v>
      </c>
      <c r="AR16" s="44">
        <f>'Project Pop Settlements'!AR16*Pop_Wilayat!AU$11</f>
        <v>6074.5813722642915</v>
      </c>
      <c r="AS16" s="44">
        <f>'Project Pop Settlements'!AS16*Pop_Wilayat!AV$11</f>
        <v>6286.545488232663</v>
      </c>
      <c r="AT16" s="44">
        <f>'Project Pop Settlements'!AT16*Pop_Wilayat!AW$11</f>
        <v>6505.1849228970914</v>
      </c>
      <c r="AU16" s="44">
        <f>'Project Pop Settlements'!AU16*Pop_Wilayat!AX$11</f>
        <v>6730.6980002241908</v>
      </c>
      <c r="AV16" s="44">
        <f>'Project Pop Settlements'!AV16*Pop_Wilayat!AY$11</f>
        <v>6963.2887187474025</v>
      </c>
      <c r="AW16" s="44">
        <f>'Project Pop Settlements'!AW16*Pop_Wilayat!AZ$11</f>
        <v>7203.1669097115982</v>
      </c>
      <c r="AX16" s="44">
        <f>'Project Pop Settlements'!AX16*Pop_Wilayat!BA$11</f>
        <v>7450.5483995400782</v>
      </c>
      <c r="AY16" s="44">
        <f>'Project Pop Settlements'!AY16*Pop_Wilayat!BB$11</f>
        <v>7629.3615611290406</v>
      </c>
      <c r="AZ16" s="44">
        <f>'Project Pop Settlements'!AZ16*Pop_Wilayat!BC$11</f>
        <v>7812.4662385961374</v>
      </c>
      <c r="BA16" s="44">
        <f>'Project Pop Settlements'!BA16*Pop_Wilayat!BD$11</f>
        <v>7999.9654283224445</v>
      </c>
      <c r="BB16" s="44">
        <f>'Project Pop Settlements'!BB16*Pop_Wilayat!BE$11</f>
        <v>8191.9645986021833</v>
      </c>
      <c r="BC16" s="44">
        <f>'Project Pop Settlements'!BC16*Pop_Wilayat!BF$11</f>
        <v>8388.5717489686358</v>
      </c>
      <c r="BD16" s="44">
        <f>'Project Pop Settlements'!BD16*Pop_Wilayat!BG$11</f>
        <v>8589.8974709438826</v>
      </c>
      <c r="BE16" s="44">
        <f>'Project Pop Settlements'!BE16*Pop_Wilayat!BH$11</f>
        <v>8796.0550102465368</v>
      </c>
      <c r="BF16" s="44">
        <f>'Project Pop Settlements'!BF16*Pop_Wilayat!BI$11</f>
        <v>9007.1603304924538</v>
      </c>
      <c r="BG16" s="44">
        <f>'Project Pop Settlements'!BG16*Pop_Wilayat!BJ$11</f>
        <v>9223.3321784242726</v>
      </c>
      <c r="BH16" s="44">
        <f>'Project Pop Settlements'!BH16*Pop_Wilayat!BK$11</f>
        <v>9444.6921507064544</v>
      </c>
      <c r="BI16" s="44">
        <f>'Project Pop Settlements'!BI16*Pop_Wilayat!BL$11</f>
        <v>9671.3647623234101</v>
      </c>
      <c r="BJ16" s="44">
        <f>'Project Pop Settlements'!BJ16*Pop_Wilayat!BM$11</f>
        <v>9903.4775166191721</v>
      </c>
      <c r="BK16" s="44">
        <f>'Project Pop Settlements'!BK16*Pop_Wilayat!BN$11</f>
        <v>10141.160977018033</v>
      </c>
      <c r="BL16" s="44">
        <f>'Project Pop Settlements'!BL16*Pop_Wilayat!BO$11</f>
        <v>10384.548840466467</v>
      </c>
      <c r="BM16" s="44">
        <f>'Project Pop Settlements'!BM16*Pop_Wilayat!BP$11</f>
        <v>10633.778012637662</v>
      </c>
      <c r="BN16" s="44">
        <f>'Project Pop Settlements'!BN16*Pop_Wilayat!BQ$11</f>
        <v>10888.988684940967</v>
      </c>
      <c r="BO16" s="44">
        <f>'Project Pop Settlements'!BO16*Pop_Wilayat!BR$11</f>
        <v>11150.324413379551</v>
      </c>
      <c r="BP16" s="44">
        <f>'Project Pop Settlements'!BP16*Pop_Wilayat!BS$11</f>
        <v>11417.93219930066</v>
      </c>
      <c r="BQ16" s="44">
        <f>'Project Pop Settlements'!BQ16*Pop_Wilayat!BT$11</f>
        <v>11691.962572083876</v>
      </c>
      <c r="BR16" s="44">
        <f>'Project Pop Settlements'!BR16*Pop_Wilayat!BU$11</f>
        <v>11972.569673813889</v>
      </c>
      <c r="BS16" s="44">
        <f>'Project Pop Settlements'!BS16*Pop_Wilayat!BV$11</f>
        <v>12259.911345985422</v>
      </c>
      <c r="BT16" s="44">
        <f>'Project Pop Settlements'!BT16*Pop_Wilayat!BW$11</f>
        <v>12554.149218289074</v>
      </c>
      <c r="BU16" s="44">
        <f>'Project Pop Settlements'!BU16*Pop_Wilayat!BX$11</f>
        <v>12855.448799528012</v>
      </c>
      <c r="BV16" s="44">
        <f>'Project Pop Settlements'!BV16*Pop_Wilayat!BY$11</f>
        <v>13163.979570716685</v>
      </c>
      <c r="BW16" s="44">
        <f>'Project Pop Settlements'!BW16*Pop_Wilayat!BZ$11</f>
        <v>13479.915080413886</v>
      </c>
      <c r="BX16" s="44">
        <f>'Project Pop Settlements'!BX16*Pop_Wilayat!CA$11</f>
        <v>13803.43304234382</v>
      </c>
      <c r="BY16" s="44">
        <f>'Project Pop Settlements'!BY16*Pop_Wilayat!CB$11</f>
        <v>14134.715435360073</v>
      </c>
      <c r="BZ16" s="44">
        <f>'Project Pop Settlements'!BZ16*Pop_Wilayat!CC$11</f>
        <v>14473.948605808715</v>
      </c>
      <c r="CA16" s="44">
        <f>'Project Pop Settlements'!CA16*Pop_Wilayat!CD$11</f>
        <v>14821.323372348124</v>
      </c>
      <c r="CB16" s="44">
        <f>'Project Pop Settlements'!CB16*Pop_Wilayat!CE$11</f>
        <v>15177.03513328448</v>
      </c>
    </row>
    <row r="17" spans="1:80" x14ac:dyDescent="0.25">
      <c r="A17" s="33">
        <v>16</v>
      </c>
      <c r="B17" s="36" t="s">
        <v>49</v>
      </c>
      <c r="C17" s="34">
        <f>'Project Pop Settlements'!C17*Pop_Wilayat!F$11</f>
        <v>494.77447567677149</v>
      </c>
      <c r="D17" s="34">
        <f>'Project Pop Settlements'!D17*Pop_Wilayat!G$11</f>
        <v>522.19993355376175</v>
      </c>
      <c r="E17" s="34">
        <f>'Project Pop Settlements'!E17*Pop_Wilayat!H$11</f>
        <v>563.03583021577242</v>
      </c>
      <c r="F17" s="34">
        <f>'Project Pop Settlements'!F17*Pop_Wilayat!I$11</f>
        <v>607.57572588162407</v>
      </c>
      <c r="G17" s="34">
        <f>'Project Pop Settlements'!G17*Pop_Wilayat!J$11</f>
        <v>653.9129316718263</v>
      </c>
      <c r="H17" s="34">
        <f>'Project Pop Settlements'!H17*Pop_Wilayat!K$11</f>
        <v>702.1257196298352</v>
      </c>
      <c r="I17" s="34">
        <f>'Project Pop Settlements'!I17*Pop_Wilayat!L$11</f>
        <v>752.26061709624184</v>
      </c>
      <c r="J17" s="34">
        <f>'Project Pop Settlements'!J17*Pop_Wilayat!M$11</f>
        <v>800.91258197661887</v>
      </c>
      <c r="K17" s="34">
        <f>'Project Pop Settlements'!K17*Pop_Wilayat!N$11</f>
        <v>854.74522876942251</v>
      </c>
      <c r="L17" s="34">
        <f>'Project Pop Settlements'!L17*Pop_Wilayat!O$11</f>
        <v>910.67554957696291</v>
      </c>
      <c r="M17" s="34">
        <f>'Project Pop Settlements'!M17*Pop_Wilayat!P$11</f>
        <v>956.72349237800711</v>
      </c>
      <c r="N17" s="34">
        <f>'Project Pop Settlements'!N17*Pop_Wilayat!Q$11</f>
        <v>1029.3150027515526</v>
      </c>
      <c r="O17" s="34">
        <f>'Project Pop Settlements'!O17*Pop_Wilayat!R$11</f>
        <v>1087.1689098865691</v>
      </c>
      <c r="P17" s="34">
        <f>'Project Pop Settlements'!P17*Pop_Wilayat!S$11</f>
        <v>1115.2549171583464</v>
      </c>
      <c r="Q17" s="34">
        <f>'Project Pop Settlements'!Q17*Pop_Wilayat!T$11</f>
        <v>1144.4485162526398</v>
      </c>
      <c r="R17" s="34">
        <f>'Project Pop Settlements'!R17*Pop_Wilayat!U$11</f>
        <v>1174.6686638653634</v>
      </c>
      <c r="S17" s="34">
        <f>'Project Pop Settlements'!S17*Pop_Wilayat!V$11</f>
        <v>1206.1855043434718</v>
      </c>
      <c r="T17" s="34">
        <f>'Project Pop Settlements'!T17*Pop_Wilayat!W$11</f>
        <v>1232.4210228386059</v>
      </c>
      <c r="U17" s="34">
        <f>'Project Pop Settlements'!U17*Pop_Wilayat!X$11</f>
        <v>1255.931290355393</v>
      </c>
      <c r="V17" s="34">
        <f>'Project Pop Settlements'!V17*Pop_Wilayat!Y$11</f>
        <v>1280.5148992290231</v>
      </c>
      <c r="W17" s="34">
        <f>'Project Pop Settlements'!W17*Pop_Wilayat!Z$11</f>
        <v>1305.863819388388</v>
      </c>
      <c r="X17" s="34">
        <f>'Project Pop Settlements'!X17*Pop_Wilayat!AA$11</f>
        <v>1332.0307183432203</v>
      </c>
      <c r="Y17" s="34">
        <f>'Project Pop Settlements'!Y17*Pop_Wilayat!AB$11</f>
        <v>1359.068263604011</v>
      </c>
      <c r="Z17" s="34">
        <f>'Project Pop Settlements'!Z17*Pop_Wilayat!AC$11</f>
        <v>1387.0291227221528</v>
      </c>
      <c r="AA17" s="34">
        <f>'Project Pop Settlements'!AA17*Pop_Wilayat!AD$11</f>
        <v>1415.965963179704</v>
      </c>
      <c r="AB17" s="34">
        <f>'Project Pop Settlements'!AB17*Pop_Wilayat!AE$11</f>
        <v>1445.9314525730254</v>
      </c>
      <c r="AC17" s="34">
        <f>'Project Pop Settlements'!AC17*Pop_Wilayat!AF$11</f>
        <v>1476.9782583445747</v>
      </c>
      <c r="AD17" s="34">
        <f>'Project Pop Settlements'!AD17*Pop_Wilayat!AG$11</f>
        <v>1509.1590481171411</v>
      </c>
      <c r="AE17" s="44">
        <f>'Project Pop Settlements'!AE17*Pop_Wilayat!AH$11</f>
        <v>1561.7749209578956</v>
      </c>
      <c r="AF17" s="44">
        <f>'Project Pop Settlements'!AF17*Pop_Wilayat!AI$11</f>
        <v>1616.4531914118506</v>
      </c>
      <c r="AG17" s="44">
        <f>'Project Pop Settlements'!AG17*Pop_Wilayat!AJ$11</f>
        <v>1673.2877994584667</v>
      </c>
      <c r="AH17" s="44">
        <f>'Project Pop Settlements'!AH17*Pop_Wilayat!AK$11</f>
        <v>1732.3773178717242</v>
      </c>
      <c r="AI17" s="44">
        <f>'Project Pop Settlements'!AI17*Pop_Wilayat!AL$11</f>
        <v>1793.8252012298917</v>
      </c>
      <c r="AJ17" s="44">
        <f>'Project Pop Settlements'!AJ17*Pop_Wilayat!AM$11</f>
        <v>1857.7400491584617</v>
      </c>
      <c r="AK17" s="44">
        <f>'Project Pop Settlements'!AK17*Pop_Wilayat!AN$11</f>
        <v>1924.2358846707443</v>
      </c>
      <c r="AL17" s="44">
        <f>'Project Pop Settlements'!AL17*Pop_Wilayat!AO$11</f>
        <v>1993.0660234419556</v>
      </c>
      <c r="AM17" s="44">
        <f>'Project Pop Settlements'!AM17*Pop_Wilayat!AP$11</f>
        <v>2064.0916490046143</v>
      </c>
      <c r="AN17" s="44">
        <f>'Project Pop Settlements'!AN17*Pop_Wilayat!AQ$11</f>
        <v>2137.3784985647785</v>
      </c>
      <c r="AO17" s="44">
        <f>'Project Pop Settlements'!AO17*Pop_Wilayat!AR$11</f>
        <v>2212.9942001140034</v>
      </c>
      <c r="AP17" s="44">
        <f>'Project Pop Settlements'!AP17*Pop_Wilayat!AS$11</f>
        <v>2291.0083253224184</v>
      </c>
      <c r="AQ17" s="44">
        <f>'Project Pop Settlements'!AQ17*Pop_Wilayat!AT$11</f>
        <v>2371.492443881571</v>
      </c>
      <c r="AR17" s="44">
        <f>'Project Pop Settlements'!AR17*Pop_Wilayat!AU$11</f>
        <v>2454.5201793361775</v>
      </c>
      <c r="AS17" s="44">
        <f>'Project Pop Settlements'!AS17*Pop_Wilayat!AV$11</f>
        <v>2540.1672664449293</v>
      </c>
      <c r="AT17" s="44">
        <f>'Project Pop Settlements'!AT17*Pop_Wilayat!AW$11</f>
        <v>2628.5116101116037</v>
      </c>
      <c r="AU17" s="44">
        <f>'Project Pop Settlements'!AU17*Pop_Wilayat!AX$11</f>
        <v>2719.6333459288057</v>
      </c>
      <c r="AV17" s="44">
        <f>'Project Pop Settlements'!AV17*Pop_Wilayat!AY$11</f>
        <v>2813.6149023778098</v>
      </c>
      <c r="AW17" s="44">
        <f>'Project Pop Settlements'!AW17*Pop_Wilayat!AZ$11</f>
        <v>2910.5410647291105</v>
      </c>
      <c r="AX17" s="44">
        <f>'Project Pop Settlements'!AX17*Pop_Wilayat!BA$11</f>
        <v>3010.4990406895045</v>
      </c>
      <c r="AY17" s="44">
        <f>'Project Pop Settlements'!AY17*Pop_Wilayat!BB$11</f>
        <v>3082.751017666053</v>
      </c>
      <c r="AZ17" s="44">
        <f>'Project Pop Settlements'!AZ17*Pop_Wilayat!BC$11</f>
        <v>3156.7370420900384</v>
      </c>
      <c r="BA17" s="44">
        <f>'Project Pop Settlements'!BA17*Pop_Wilayat!BD$11</f>
        <v>3232.4987311001992</v>
      </c>
      <c r="BB17" s="44">
        <f>'Project Pop Settlements'!BB17*Pop_Wilayat!BE$11</f>
        <v>3310.0787006466039</v>
      </c>
      <c r="BC17" s="44">
        <f>'Project Pop Settlements'!BC17*Pop_Wilayat!BF$11</f>
        <v>3389.5205894621226</v>
      </c>
      <c r="BD17" s="44">
        <f>'Project Pop Settlements'!BD17*Pop_Wilayat!BG$11</f>
        <v>3470.8690836092137</v>
      </c>
      <c r="BE17" s="44">
        <f>'Project Pop Settlements'!BE17*Pop_Wilayat!BH$11</f>
        <v>3554.1699416158349</v>
      </c>
      <c r="BF17" s="44">
        <f>'Project Pop Settlements'!BF17*Pop_Wilayat!BI$11</f>
        <v>3639.470020214615</v>
      </c>
      <c r="BG17" s="44">
        <f>'Project Pop Settlements'!BG17*Pop_Wilayat!BJ$11</f>
        <v>3726.8173006997658</v>
      </c>
      <c r="BH17" s="44">
        <f>'Project Pop Settlements'!BH17*Pop_Wilayat!BK$11</f>
        <v>3816.2609159165604</v>
      </c>
      <c r="BI17" s="44">
        <f>'Project Pop Settlements'!BI17*Pop_Wilayat!BL$11</f>
        <v>3907.851177898558</v>
      </c>
      <c r="BJ17" s="44">
        <f>'Project Pop Settlements'!BJ17*Pop_Wilayat!BM$11</f>
        <v>4001.6396061681235</v>
      </c>
      <c r="BK17" s="44">
        <f>'Project Pop Settlements'!BK17*Pop_Wilayat!BN$11</f>
        <v>4097.6789567161586</v>
      </c>
      <c r="BL17" s="44">
        <f>'Project Pop Settlements'!BL17*Pop_Wilayat!BO$11</f>
        <v>4196.0232516773467</v>
      </c>
      <c r="BM17" s="44">
        <f>'Project Pop Settlements'!BM17*Pop_Wilayat!BP$11</f>
        <v>4296.7278097176031</v>
      </c>
      <c r="BN17" s="44">
        <f>'Project Pop Settlements'!BN17*Pop_Wilayat!BQ$11</f>
        <v>4399.8492771508254</v>
      </c>
      <c r="BO17" s="44">
        <f>'Project Pop Settlements'!BO17*Pop_Wilayat!BR$11</f>
        <v>4505.4456598024453</v>
      </c>
      <c r="BP17" s="44">
        <f>'Project Pop Settlements'!BP17*Pop_Wilayat!BS$11</f>
        <v>4613.5763556377042</v>
      </c>
      <c r="BQ17" s="44">
        <f>'Project Pop Settlements'!BQ17*Pop_Wilayat!BT$11</f>
        <v>4724.3021881730092</v>
      </c>
      <c r="BR17" s="44">
        <f>'Project Pop Settlements'!BR17*Pop_Wilayat!BU$11</f>
        <v>4837.6854406891616</v>
      </c>
      <c r="BS17" s="44">
        <f>'Project Pop Settlements'!BS17*Pop_Wilayat!BV$11</f>
        <v>4953.789891265702</v>
      </c>
      <c r="BT17" s="44">
        <f>'Project Pop Settlements'!BT17*Pop_Wilayat!BW$11</f>
        <v>5072.6808486560785</v>
      </c>
      <c r="BU17" s="44">
        <f>'Project Pop Settlements'!BU17*Pop_Wilayat!BX$11</f>
        <v>5194.4251890238247</v>
      </c>
      <c r="BV17" s="44">
        <f>'Project Pop Settlements'!BV17*Pop_Wilayat!BY$11</f>
        <v>5319.0913935603967</v>
      </c>
      <c r="BW17" s="44">
        <f>'Project Pop Settlements'!BW17*Pop_Wilayat!BZ$11</f>
        <v>5446.7495870058465</v>
      </c>
      <c r="BX17" s="44">
        <f>'Project Pop Settlements'!BX17*Pop_Wilayat!CA$11</f>
        <v>5577.4715770939865</v>
      </c>
      <c r="BY17" s="44">
        <f>'Project Pop Settlements'!BY17*Pop_Wilayat!CB$11</f>
        <v>5711.3308949442426</v>
      </c>
      <c r="BZ17" s="44">
        <f>'Project Pop Settlements'!BZ17*Pop_Wilayat!CC$11</f>
        <v>5848.4028364229043</v>
      </c>
      <c r="CA17" s="44">
        <f>'Project Pop Settlements'!CA17*Pop_Wilayat!CD$11</f>
        <v>5988.7645044970541</v>
      </c>
      <c r="CB17" s="44">
        <f>'Project Pop Settlements'!CB17*Pop_Wilayat!CE$11</f>
        <v>6132.4948526049839</v>
      </c>
    </row>
    <row r="18" spans="1:80" x14ac:dyDescent="0.25">
      <c r="A18" s="33">
        <v>17</v>
      </c>
      <c r="B18" s="36" t="s">
        <v>18</v>
      </c>
      <c r="C18" s="34">
        <f>'Project Pop Settlements'!C18*Pop_Wilayat!F$11</f>
        <v>32138.329675391375</v>
      </c>
      <c r="D18" s="34">
        <f>'Project Pop Settlements'!D18*Pop_Wilayat!G$11</f>
        <v>33919.764349327714</v>
      </c>
      <c r="E18" s="34">
        <f>'Project Pop Settlements'!E18*Pop_Wilayat!H$11</f>
        <v>36572.280948367639</v>
      </c>
      <c r="F18" s="34">
        <f>'Project Pop Settlements'!F18*Pop_Wilayat!I$11</f>
        <v>39465.392701270212</v>
      </c>
      <c r="G18" s="34">
        <f>'Project Pop Settlements'!G18*Pop_Wilayat!J$11</f>
        <v>42475.249654551786</v>
      </c>
      <c r="H18" s="34">
        <f>'Project Pop Settlements'!H18*Pop_Wilayat!K$11</f>
        <v>45606.936008915138</v>
      </c>
      <c r="I18" s="34">
        <f>'Project Pop Settlements'!I18*Pop_Wilayat!L$11</f>
        <v>48863.473971617015</v>
      </c>
      <c r="J18" s="34">
        <f>'Project Pop Settlements'!J18*Pop_Wilayat!M$11</f>
        <v>52023.687288082809</v>
      </c>
      <c r="K18" s="34">
        <f>'Project Pop Settlements'!K18*Pop_Wilayat!N$11</f>
        <v>55520.414453645542</v>
      </c>
      <c r="L18" s="34">
        <f>'Project Pop Settlements'!L18*Pop_Wilayat!O$11</f>
        <v>59153.397110045582</v>
      </c>
      <c r="M18" s="34">
        <f>'Project Pop Settlements'!M18*Pop_Wilayat!P$11</f>
        <v>62144.464837598127</v>
      </c>
      <c r="N18" s="34">
        <f>'Project Pop Settlements'!N18*Pop_Wilayat!Q$11</f>
        <v>66859.683602326186</v>
      </c>
      <c r="O18" s="34">
        <f>'Project Pop Settlements'!O18*Pop_Wilayat!R$11</f>
        <v>70617.613794604957</v>
      </c>
      <c r="P18" s="34">
        <f>'Project Pop Settlements'!P18*Pop_Wilayat!S$11</f>
        <v>72441.954793059165</v>
      </c>
      <c r="Q18" s="34">
        <f>'Project Pop Settlements'!Q18*Pop_Wilayat!T$11</f>
        <v>74338.239986066052</v>
      </c>
      <c r="R18" s="34">
        <f>'Project Pop Settlements'!R18*Pop_Wilayat!U$11</f>
        <v>76301.205164268147</v>
      </c>
      <c r="S18" s="34">
        <f>'Project Pop Settlements'!S18*Pop_Wilayat!V$11</f>
        <v>78348.397692190469</v>
      </c>
      <c r="T18" s="34">
        <f>'Project Pop Settlements'!T18*Pop_Wilayat!W$11</f>
        <v>80052.539243648091</v>
      </c>
      <c r="U18" s="34">
        <f>'Project Pop Settlements'!U18*Pop_Wilayat!X$11</f>
        <v>81579.660720918386</v>
      </c>
      <c r="V18" s="34">
        <f>'Project Pop Settlements'!V18*Pop_Wilayat!Y$11</f>
        <v>83176.501636187721</v>
      </c>
      <c r="W18" s="34">
        <f>'Project Pop Settlements'!W18*Pop_Wilayat!Z$11</f>
        <v>84823.053738299495</v>
      </c>
      <c r="X18" s="34">
        <f>'Project Pop Settlements'!X18*Pop_Wilayat!AA$11</f>
        <v>86522.738072344335</v>
      </c>
      <c r="Y18" s="34">
        <f>'Project Pop Settlements'!Y18*Pop_Wilayat!AB$11</f>
        <v>88278.975683462093</v>
      </c>
      <c r="Z18" s="34">
        <f>'Project Pop Settlements'!Z18*Pop_Wilayat!AC$11</f>
        <v>90095.187619449396</v>
      </c>
      <c r="AA18" s="34">
        <f>'Project Pop Settlements'!AA18*Pop_Wilayat!AD$11</f>
        <v>91974.794923599256</v>
      </c>
      <c r="AB18" s="34">
        <f>'Project Pop Settlements'!AB18*Pop_Wilayat!AE$11</f>
        <v>93921.218646629291</v>
      </c>
      <c r="AC18" s="34">
        <f>'Project Pop Settlements'!AC18*Pop_Wilayat!AF$11</f>
        <v>95937.879829260157</v>
      </c>
      <c r="AD18" s="34">
        <f>'Project Pop Settlements'!AD18*Pop_Wilayat!AG$11</f>
        <v>98028.199523926174</v>
      </c>
      <c r="AE18" s="44">
        <f>'Project Pop Settlements'!AE18*Pop_Wilayat!AH$11</f>
        <v>101445.89051374864</v>
      </c>
      <c r="AF18" s="44">
        <f>'Project Pop Settlements'!AF18*Pop_Wilayat!AI$11</f>
        <v>104997.54559766491</v>
      </c>
      <c r="AG18" s="44">
        <f>'Project Pop Settlements'!AG18*Pop_Wilayat!AJ$11</f>
        <v>108689.26669519192</v>
      </c>
      <c r="AH18" s="44">
        <f>'Project Pop Settlements'!AH18*Pop_Wilayat!AK$11</f>
        <v>112527.45665138924</v>
      </c>
      <c r="AI18" s="44">
        <f>'Project Pop Settlements'!AI18*Pop_Wilayat!AL$11</f>
        <v>116518.83541141628</v>
      </c>
      <c r="AJ18" s="44">
        <f>'Project Pop Settlements'!AJ18*Pop_Wilayat!AM$11</f>
        <v>120670.45711961211</v>
      </c>
      <c r="AK18" s="44">
        <f>'Project Pop Settlements'!AK18*Pop_Wilayat!AN$11</f>
        <v>124989.72819925133</v>
      </c>
      <c r="AL18" s="44">
        <f>'Project Pop Settlements'!AL18*Pop_Wilayat!AO$11</f>
        <v>129460.62514357398</v>
      </c>
      <c r="AM18" s="44">
        <f>'Project Pop Settlements'!AM18*Pop_Wilayat!AP$11</f>
        <v>134074.13105778134</v>
      </c>
      <c r="AN18" s="44">
        <f>'Project Pop Settlements'!AN18*Pop_Wilayat!AQ$11</f>
        <v>138834.51593578796</v>
      </c>
      <c r="AO18" s="44">
        <f>'Project Pop Settlements'!AO18*Pop_Wilayat!AR$11</f>
        <v>143746.17258844961</v>
      </c>
      <c r="AP18" s="44">
        <f>'Project Pop Settlements'!AP18*Pop_Wilayat!AS$11</f>
        <v>148813.62007926</v>
      </c>
      <c r="AQ18" s="44">
        <f>'Project Pop Settlements'!AQ18*Pop_Wilayat!AT$11</f>
        <v>154041.50725421833</v>
      </c>
      <c r="AR18" s="44">
        <f>'Project Pop Settlements'!AR18*Pop_Wilayat!AU$11</f>
        <v>159434.61636840904</v>
      </c>
      <c r="AS18" s="44">
        <f>'Project Pop Settlements'!AS18*Pop_Wilayat!AV$11</f>
        <v>164997.86681190247</v>
      </c>
      <c r="AT18" s="44">
        <f>'Project Pop Settlements'!AT18*Pop_Wilayat!AW$11</f>
        <v>170736.31893765536</v>
      </c>
      <c r="AU18" s="44">
        <f>'Project Pop Settlements'!AU18*Pop_Wilayat!AX$11</f>
        <v>176655.17799416077</v>
      </c>
      <c r="AV18" s="44">
        <f>'Project Pop Settlements'!AV18*Pop_Wilayat!AY$11</f>
        <v>182759.79816567031</v>
      </c>
      <c r="AW18" s="44">
        <f>'Project Pop Settlements'!AW18*Pop_Wilayat!AZ$11</f>
        <v>189055.68672288768</v>
      </c>
      <c r="AX18" s="44">
        <f>'Project Pop Settlements'!AX18*Pop_Wilayat!BA$11</f>
        <v>195548.50828710807</v>
      </c>
      <c r="AY18" s="44">
        <f>'Project Pop Settlements'!AY18*Pop_Wilayat!BB$11</f>
        <v>200241.67248599869</v>
      </c>
      <c r="AZ18" s="44">
        <f>'Project Pop Settlements'!AZ18*Pop_Wilayat!BC$11</f>
        <v>205047.47262566266</v>
      </c>
      <c r="BA18" s="44">
        <f>'Project Pop Settlements'!BA18*Pop_Wilayat!BD$11</f>
        <v>209968.61196867857</v>
      </c>
      <c r="BB18" s="44">
        <f>'Project Pop Settlements'!BB18*Pop_Wilayat!BE$11</f>
        <v>215007.85865592686</v>
      </c>
      <c r="BC18" s="44">
        <f>'Project Pop Settlements'!BC18*Pop_Wilayat!BF$11</f>
        <v>220168.04726366911</v>
      </c>
      <c r="BD18" s="44">
        <f>'Project Pop Settlements'!BD18*Pop_Wilayat!BG$11</f>
        <v>225452.08039799717</v>
      </c>
      <c r="BE18" s="44">
        <f>'Project Pop Settlements'!BE18*Pop_Wilayat!BH$11</f>
        <v>230862.93032754911</v>
      </c>
      <c r="BF18" s="44">
        <f>'Project Pop Settlements'!BF18*Pop_Wilayat!BI$11</f>
        <v>236403.6406554103</v>
      </c>
      <c r="BG18" s="44">
        <f>'Project Pop Settlements'!BG18*Pop_Wilayat!BJ$11</f>
        <v>242077.32803114015</v>
      </c>
      <c r="BH18" s="44">
        <f>'Project Pop Settlements'!BH18*Pop_Wilayat!BK$11</f>
        <v>247887.18390388752</v>
      </c>
      <c r="BI18" s="44">
        <f>'Project Pop Settlements'!BI18*Pop_Wilayat!BL$11</f>
        <v>253836.47631758082</v>
      </c>
      <c r="BJ18" s="44">
        <f>'Project Pop Settlements'!BJ18*Pop_Wilayat!BM$11</f>
        <v>259928.55174920277</v>
      </c>
      <c r="BK18" s="44">
        <f>'Project Pop Settlements'!BK18*Pop_Wilayat!BN$11</f>
        <v>266166.83699118363</v>
      </c>
      <c r="BL18" s="44">
        <f>'Project Pop Settlements'!BL18*Pop_Wilayat!BO$11</f>
        <v>272554.84107897204</v>
      </c>
      <c r="BM18" s="44">
        <f>'Project Pop Settlements'!BM18*Pop_Wilayat!BP$11</f>
        <v>279096.15726486739</v>
      </c>
      <c r="BN18" s="44">
        <f>'Project Pop Settlements'!BN18*Pop_Wilayat!BQ$11</f>
        <v>285794.46503922419</v>
      </c>
      <c r="BO18" s="44">
        <f>'Project Pop Settlements'!BO18*Pop_Wilayat!BR$11</f>
        <v>292653.53220016556</v>
      </c>
      <c r="BP18" s="44">
        <f>'Project Pop Settlements'!BP18*Pop_Wilayat!BS$11</f>
        <v>299677.21697296953</v>
      </c>
      <c r="BQ18" s="44">
        <f>'Project Pop Settlements'!BQ18*Pop_Wilayat!BT$11</f>
        <v>306869.47018032079</v>
      </c>
      <c r="BR18" s="44">
        <f>'Project Pop Settlements'!BR18*Pop_Wilayat!BU$11</f>
        <v>314234.33746464847</v>
      </c>
      <c r="BS18" s="44">
        <f>'Project Pop Settlements'!BS18*Pop_Wilayat!BV$11</f>
        <v>321775.96156380005</v>
      </c>
      <c r="BT18" s="44">
        <f>'Project Pop Settlements'!BT18*Pop_Wilayat!BW$11</f>
        <v>329498.58464133128</v>
      </c>
      <c r="BU18" s="44">
        <f>'Project Pop Settlements'!BU18*Pop_Wilayat!BX$11</f>
        <v>337406.55067272321</v>
      </c>
      <c r="BV18" s="44">
        <f>'Project Pop Settlements'!BV18*Pop_Wilayat!BY$11</f>
        <v>345504.30788886856</v>
      </c>
      <c r="BW18" s="44">
        <f>'Project Pop Settlements'!BW18*Pop_Wilayat!BZ$11</f>
        <v>353796.41127820138</v>
      </c>
      <c r="BX18" s="44">
        <f>'Project Pop Settlements'!BX18*Pop_Wilayat!CA$11</f>
        <v>362287.52514887822</v>
      </c>
      <c r="BY18" s="44">
        <f>'Project Pop Settlements'!BY18*Pop_Wilayat!CB$11</f>
        <v>370982.42575245129</v>
      </c>
      <c r="BZ18" s="44">
        <f>'Project Pop Settlements'!BZ18*Pop_Wilayat!CC$11</f>
        <v>379886.00397051015</v>
      </c>
      <c r="CA18" s="44">
        <f>'Project Pop Settlements'!CA18*Pop_Wilayat!CD$11</f>
        <v>389003.2680658024</v>
      </c>
      <c r="CB18" s="44">
        <f>'Project Pop Settlements'!CB18*Pop_Wilayat!CE$11</f>
        <v>398339.3464993817</v>
      </c>
    </row>
    <row r="19" spans="1:80" x14ac:dyDescent="0.25">
      <c r="A19" s="33">
        <v>18</v>
      </c>
      <c r="B19" s="36" t="s">
        <v>58</v>
      </c>
      <c r="C19" s="34">
        <f>'Project Pop Settlements'!C19*Pop_Wilayat!F$11</f>
        <v>16.269180051267149</v>
      </c>
      <c r="D19" s="34">
        <f>'Project Pop Settlements'!D19*Pop_Wilayat!G$11</f>
        <v>17.170984275462182</v>
      </c>
      <c r="E19" s="34">
        <f>'Project Pop Settlements'!E19*Pop_Wilayat!H$11</f>
        <v>18.51375070341998</v>
      </c>
      <c r="F19" s="34">
        <f>'Project Pop Settlements'!F19*Pop_Wilayat!I$11</f>
        <v>19.978312069608528</v>
      </c>
      <c r="G19" s="34">
        <f>'Project Pop Settlements'!G19*Pop_Wilayat!J$11</f>
        <v>21.501972608164504</v>
      </c>
      <c r="H19" s="34">
        <f>'Project Pop Settlements'!H19*Pop_Wilayat!K$11</f>
        <v>23.087306061329208</v>
      </c>
      <c r="I19" s="34">
        <f>'Project Pop Settlements'!I19*Pop_Wilayat!L$11</f>
        <v>24.735842341655921</v>
      </c>
      <c r="J19" s="34">
        <f>'Project Pop Settlements'!J19*Pop_Wilayat!M$11</f>
        <v>26.335616815478765</v>
      </c>
      <c r="K19" s="34">
        <f>'Project Pop Settlements'!K19*Pop_Wilayat!N$11</f>
        <v>28.105742532069986</v>
      </c>
      <c r="L19" s="34">
        <f>'Project Pop Settlements'!L19*Pop_Wilayat!O$11</f>
        <v>29.944843989958162</v>
      </c>
      <c r="M19" s="34">
        <f>'Project Pop Settlements'!M19*Pop_Wilayat!P$11</f>
        <v>31.45899297954762</v>
      </c>
      <c r="N19" s="34">
        <f>'Project Pop Settlements'!N19*Pop_Wilayat!Q$11</f>
        <v>33.845947866105206</v>
      </c>
      <c r="O19" s="34">
        <f>'Project Pop Settlements'!O19*Pop_Wilayat!R$11</f>
        <v>35.748300711937475</v>
      </c>
      <c r="P19" s="34">
        <f>'Project Pop Settlements'!P19*Pop_Wilayat!S$11</f>
        <v>36.671825128997845</v>
      </c>
      <c r="Q19" s="34">
        <f>'Project Pop Settlements'!Q19*Pop_Wilayat!T$11</f>
        <v>37.631769393220267</v>
      </c>
      <c r="R19" s="34">
        <f>'Project Pop Settlements'!R19*Pop_Wilayat!U$11</f>
        <v>38.625468637739225</v>
      </c>
      <c r="S19" s="34">
        <f>'Project Pop Settlements'!S19*Pop_Wilayat!V$11</f>
        <v>39.661805752106424</v>
      </c>
      <c r="T19" s="34">
        <f>'Project Pop Settlements'!T19*Pop_Wilayat!W$11</f>
        <v>40.524482375737527</v>
      </c>
      <c r="U19" s="34">
        <f>'Project Pop Settlements'!U19*Pop_Wilayat!X$11</f>
        <v>41.297547265070946</v>
      </c>
      <c r="V19" s="34">
        <f>'Project Pop Settlements'!V19*Pop_Wilayat!Y$11</f>
        <v>42.105905777356661</v>
      </c>
      <c r="W19" s="34">
        <f>'Project Pop Settlements'!W19*Pop_Wilayat!Z$11</f>
        <v>42.939429264221651</v>
      </c>
      <c r="X19" s="34">
        <f>'Project Pop Settlements'!X19*Pop_Wilayat!AA$11</f>
        <v>43.7998495393322</v>
      </c>
      <c r="Y19" s="34">
        <f>'Project Pop Settlements'!Y19*Pop_Wilayat!AB$11</f>
        <v>44.68889841637948</v>
      </c>
      <c r="Z19" s="34">
        <f>'Project Pop Settlements'!Z19*Pop_Wilayat!AC$11</f>
        <v>45.608307710399608</v>
      </c>
      <c r="AA19" s="34">
        <f>'Project Pop Settlements'!AA19*Pop_Wilayat!AD$11</f>
        <v>46.559809234148872</v>
      </c>
      <c r="AB19" s="34">
        <f>'Project Pop Settlements'!AB19*Pop_Wilayat!AE$11</f>
        <v>47.545134804142037</v>
      </c>
      <c r="AC19" s="34">
        <f>'Project Pop Settlements'!AC19*Pop_Wilayat!AF$11</f>
        <v>48.566016231833203</v>
      </c>
      <c r="AD19" s="34">
        <f>'Project Pop Settlements'!AD19*Pop_Wilayat!AG$11</f>
        <v>49.624185334606182</v>
      </c>
      <c r="AE19" s="44">
        <f>'Project Pop Settlements'!AE19*Pop_Wilayat!AH$11</f>
        <v>51.354301075984957</v>
      </c>
      <c r="AF19" s="44">
        <f>'Project Pop Settlements'!AF19*Pop_Wilayat!AI$11</f>
        <v>53.152232599615971</v>
      </c>
      <c r="AG19" s="44">
        <f>'Project Pop Settlements'!AG19*Pop_Wilayat!AJ$11</f>
        <v>55.021068840994054</v>
      </c>
      <c r="AH19" s="44">
        <f>'Project Pop Settlements'!AH19*Pop_Wilayat!AK$11</f>
        <v>56.96405107121722</v>
      </c>
      <c r="AI19" s="44">
        <f>'Project Pop Settlements'!AI19*Pop_Wilayat!AL$11</f>
        <v>58.984581084928728</v>
      </c>
      <c r="AJ19" s="44">
        <f>'Project Pop Settlements'!AJ19*Pop_Wilayat!AM$11</f>
        <v>61.08622985627435</v>
      </c>
      <c r="AK19" s="44">
        <f>'Project Pop Settlements'!AK19*Pop_Wilayat!AN$11</f>
        <v>63.272746691301052</v>
      </c>
      <c r="AL19" s="44">
        <f>'Project Pop Settlements'!AL19*Pop_Wilayat!AO$11</f>
        <v>65.536020113178395</v>
      </c>
      <c r="AM19" s="44">
        <f>'Project Pop Settlements'!AM19*Pop_Wilayat!AP$11</f>
        <v>67.87148555721167</v>
      </c>
      <c r="AN19" s="44">
        <f>'Project Pop Settlements'!AN19*Pop_Wilayat!AQ$11</f>
        <v>70.281304594973335</v>
      </c>
      <c r="AO19" s="44">
        <f>'Project Pop Settlements'!AO19*Pop_Wilayat!AR$11</f>
        <v>72.767700970866613</v>
      </c>
      <c r="AP19" s="44">
        <f>'Project Pop Settlements'!AP19*Pop_Wilayat!AS$11</f>
        <v>75.332962341356065</v>
      </c>
      <c r="AQ19" s="44">
        <f>'Project Pop Settlements'!AQ19*Pop_Wilayat!AT$11</f>
        <v>77.97944206186979</v>
      </c>
      <c r="AR19" s="44">
        <f>'Project Pop Settlements'!AR19*Pop_Wilayat!AU$11</f>
        <v>80.709561022659557</v>
      </c>
      <c r="AS19" s="44">
        <f>'Project Pop Settlements'!AS19*Pop_Wilayat!AV$11</f>
        <v>83.525809534939597</v>
      </c>
      <c r="AT19" s="44">
        <f>'Project Pop Settlements'!AT19*Pop_Wilayat!AW$11</f>
        <v>86.430749268660023</v>
      </c>
      <c r="AU19" s="44">
        <f>'Project Pop Settlements'!AU19*Pop_Wilayat!AX$11</f>
        <v>89.427015243306897</v>
      </c>
      <c r="AV19" s="44">
        <f>'Project Pop Settlements'!AV19*Pop_Wilayat!AY$11</f>
        <v>92.517317873158092</v>
      </c>
      <c r="AW19" s="44">
        <f>'Project Pop Settlements'!AW19*Pop_Wilayat!AZ$11</f>
        <v>95.704445068461979</v>
      </c>
      <c r="AX19" s="44">
        <f>'Project Pop Settlements'!AX19*Pop_Wilayat!BA$11</f>
        <v>98.99126439404553</v>
      </c>
      <c r="AY19" s="44">
        <f>'Project Pop Settlements'!AY19*Pop_Wilayat!BB$11</f>
        <v>101.36705473950262</v>
      </c>
      <c r="AZ19" s="44">
        <f>'Project Pop Settlements'!AZ19*Pop_Wilayat!BC$11</f>
        <v>103.79986405325069</v>
      </c>
      <c r="BA19" s="44">
        <f>'Project Pop Settlements'!BA19*Pop_Wilayat!BD$11</f>
        <v>106.2910607905287</v>
      </c>
      <c r="BB19" s="44">
        <f>'Project Pop Settlements'!BB19*Pop_Wilayat!BE$11</f>
        <v>108.84204624950139</v>
      </c>
      <c r="BC19" s="44">
        <f>'Project Pop Settlements'!BC19*Pop_Wilayat!BF$11</f>
        <v>111.45425535948942</v>
      </c>
      <c r="BD19" s="44">
        <f>'Project Pop Settlements'!BD19*Pop_Wilayat!BG$11</f>
        <v>114.12915748811717</v>
      </c>
      <c r="BE19" s="44">
        <f>'Project Pop Settlements'!BE19*Pop_Wilayat!BH$11</f>
        <v>116.86825726783199</v>
      </c>
      <c r="BF19" s="44">
        <f>'Project Pop Settlements'!BF19*Pop_Wilayat!BI$11</f>
        <v>119.67309544225996</v>
      </c>
      <c r="BG19" s="44">
        <f>'Project Pop Settlements'!BG19*Pop_Wilayat!BJ$11</f>
        <v>122.54524973287421</v>
      </c>
      <c r="BH19" s="44">
        <f>'Project Pop Settlements'!BH19*Pop_Wilayat!BK$11</f>
        <v>125.4863357264632</v>
      </c>
      <c r="BI19" s="44">
        <f>'Project Pop Settlements'!BI19*Pop_Wilayat!BL$11</f>
        <v>128.49800778389832</v>
      </c>
      <c r="BJ19" s="44">
        <f>'Project Pop Settlements'!BJ19*Pop_Wilayat!BM$11</f>
        <v>131.58195997071186</v>
      </c>
      <c r="BK19" s="44">
        <f>'Project Pop Settlements'!BK19*Pop_Wilayat!BN$11</f>
        <v>134.73992701000896</v>
      </c>
      <c r="BL19" s="44">
        <f>'Project Pop Settlements'!BL19*Pop_Wilayat!BO$11</f>
        <v>137.97368525824916</v>
      </c>
      <c r="BM19" s="44">
        <f>'Project Pop Settlements'!BM19*Pop_Wilayat!BP$11</f>
        <v>141.28505370444714</v>
      </c>
      <c r="BN19" s="44">
        <f>'Project Pop Settlements'!BN19*Pop_Wilayat!BQ$11</f>
        <v>144.67589499335386</v>
      </c>
      <c r="BO19" s="44">
        <f>'Project Pop Settlements'!BO19*Pop_Wilayat!BR$11</f>
        <v>148.14811647319436</v>
      </c>
      <c r="BP19" s="44">
        <f>'Project Pop Settlements'!BP19*Pop_Wilayat!BS$11</f>
        <v>151.70367126855103</v>
      </c>
      <c r="BQ19" s="44">
        <f>'Project Pop Settlements'!BQ19*Pop_Wilayat!BT$11</f>
        <v>155.34455937899625</v>
      </c>
      <c r="BR19" s="44">
        <f>'Project Pop Settlements'!BR19*Pop_Wilayat!BU$11</f>
        <v>159.07282880409215</v>
      </c>
      <c r="BS19" s="44">
        <f>'Project Pop Settlements'!BS19*Pop_Wilayat!BV$11</f>
        <v>162.89057669539037</v>
      </c>
      <c r="BT19" s="44">
        <f>'Project Pop Settlements'!BT19*Pop_Wilayat!BW$11</f>
        <v>166.79995053607973</v>
      </c>
      <c r="BU19" s="44">
        <f>'Project Pop Settlements'!BU19*Pop_Wilayat!BX$11</f>
        <v>170.80314934894565</v>
      </c>
      <c r="BV19" s="44">
        <f>'Project Pop Settlements'!BV19*Pop_Wilayat!BY$11</f>
        <v>174.90242493332036</v>
      </c>
      <c r="BW19" s="44">
        <f>'Project Pop Settlements'!BW19*Pop_Wilayat!BZ$11</f>
        <v>179.10008313172006</v>
      </c>
      <c r="BX19" s="44">
        <f>'Project Pop Settlements'!BX19*Pop_Wilayat!CA$11</f>
        <v>183.39848512688133</v>
      </c>
      <c r="BY19" s="44">
        <f>'Project Pop Settlements'!BY19*Pop_Wilayat!CB$11</f>
        <v>187.80004876992649</v>
      </c>
      <c r="BZ19" s="44">
        <f>'Project Pop Settlements'!BZ19*Pop_Wilayat!CC$11</f>
        <v>192.30724994040474</v>
      </c>
      <c r="CA19" s="44">
        <f>'Project Pop Settlements'!CA19*Pop_Wilayat!CD$11</f>
        <v>196.92262393897445</v>
      </c>
      <c r="CB19" s="44">
        <f>'Project Pop Settlements'!CB19*Pop_Wilayat!CE$11</f>
        <v>201.64876691350983</v>
      </c>
    </row>
    <row r="20" spans="1:80" x14ac:dyDescent="0.25">
      <c r="A20" s="33">
        <v>19</v>
      </c>
      <c r="B20" s="36" t="s">
        <v>44</v>
      </c>
      <c r="C20" s="34">
        <f>'Project Pop Settlements'!C20*Pop_Wilayat!F$11</f>
        <v>125.84689274950765</v>
      </c>
      <c r="D20" s="34">
        <f>'Project Pop Settlements'!D20*Pop_Wilayat!G$11</f>
        <v>132.82261366019279</v>
      </c>
      <c r="E20" s="34">
        <f>'Project Pop Settlements'!E20*Pop_Wilayat!H$11</f>
        <v>143.20930691174866</v>
      </c>
      <c r="F20" s="34">
        <f>'Project Pop Settlements'!F20*Pop_Wilayat!I$11</f>
        <v>154.53811983256006</v>
      </c>
      <c r="G20" s="34">
        <f>'Project Pop Settlements'!G20*Pop_Wilayat!J$11</f>
        <v>166.32408223374304</v>
      </c>
      <c r="H20" s="34">
        <f>'Project Pop Settlements'!H20*Pop_Wilayat!K$11</f>
        <v>178.5871027685171</v>
      </c>
      <c r="I20" s="34">
        <f>'Project Pop Settlements'!I20*Pop_Wilayat!L$11</f>
        <v>191.33901576045611</v>
      </c>
      <c r="J20" s="34">
        <f>'Project Pop Settlements'!J20*Pop_Wilayat!M$11</f>
        <v>203.71374183737987</v>
      </c>
      <c r="K20" s="34">
        <f>'Project Pop Settlements'!K20*Pop_Wilayat!N$11</f>
        <v>217.40618488042372</v>
      </c>
      <c r="L20" s="34">
        <f>'Project Pop Settlements'!L20*Pop_Wilayat!O$11</f>
        <v>231.63217556938224</v>
      </c>
      <c r="M20" s="34">
        <f>'Project Pop Settlements'!M20*Pop_Wilayat!P$11</f>
        <v>243.34456334179481</v>
      </c>
      <c r="N20" s="34">
        <f>'Project Pop Settlements'!N20*Pop_Wilayat!Q$11</f>
        <v>261.80836143487261</v>
      </c>
      <c r="O20" s="34">
        <f>'Project Pop Settlements'!O20*Pop_Wilayat!R$11</f>
        <v>276.52362021292805</v>
      </c>
      <c r="P20" s="34">
        <f>'Project Pop Settlements'!P20*Pop_Wilayat!S$11</f>
        <v>283.66735320371862</v>
      </c>
      <c r="Q20" s="34">
        <f>'Project Pop Settlements'!Q20*Pop_Wilayat!T$11</f>
        <v>291.09280442402735</v>
      </c>
      <c r="R20" s="34">
        <f>'Project Pop Settlements'!R20*Pop_Wilayat!U$11</f>
        <v>298.7793603448651</v>
      </c>
      <c r="S20" s="34">
        <f>'Project Pop Settlements'!S20*Pop_Wilayat!V$11</f>
        <v>306.79573272952911</v>
      </c>
      <c r="T20" s="34">
        <f>'Project Pop Settlements'!T20*Pop_Wilayat!W$11</f>
        <v>313.46879014173436</v>
      </c>
      <c r="U20" s="34">
        <f>'Project Pop Settlements'!U20*Pop_Wilayat!X$11</f>
        <v>319.44867443275467</v>
      </c>
      <c r="V20" s="34">
        <f>'Project Pop Settlements'!V20*Pop_Wilayat!Y$11</f>
        <v>325.70156527778823</v>
      </c>
      <c r="W20" s="34">
        <f>'Project Pop Settlements'!W20*Pop_Wilayat!Z$11</f>
        <v>332.14911460265569</v>
      </c>
      <c r="X20" s="34">
        <f>'Project Pop Settlements'!X20*Pop_Wilayat!AA$11</f>
        <v>338.80471849542255</v>
      </c>
      <c r="Y20" s="34">
        <f>'Project Pop Settlements'!Y20*Pop_Wilayat!AB$11</f>
        <v>345.68177304434715</v>
      </c>
      <c r="Z20" s="34">
        <f>'Project Pop Settlements'!Z20*Pop_Wilayat!AC$11</f>
        <v>352.79367434809109</v>
      </c>
      <c r="AA20" s="34">
        <f>'Project Pop Settlements'!AA20*Pop_Wilayat!AD$11</f>
        <v>360.15381848768095</v>
      </c>
      <c r="AB20" s="34">
        <f>'Project Pop Settlements'!AB20*Pop_Wilayat!AE$11</f>
        <v>367.77560157321631</v>
      </c>
      <c r="AC20" s="34">
        <f>'Project Pop Settlements'!AC20*Pop_Wilayat!AF$11</f>
        <v>375.67241967565093</v>
      </c>
      <c r="AD20" s="34">
        <f>'Project Pop Settlements'!AD20*Pop_Wilayat!AG$11</f>
        <v>383.85766891180668</v>
      </c>
      <c r="AE20" s="44">
        <f>'Project Pop Settlements'!AE20*Pop_Wilayat!AH$11</f>
        <v>397.24062302894248</v>
      </c>
      <c r="AF20" s="44">
        <f>'Project Pop Settlements'!AF20*Pop_Wilayat!AI$11</f>
        <v>411.1481521676177</v>
      </c>
      <c r="AG20" s="44">
        <f>'Project Pop Settlements'!AG20*Pop_Wilayat!AJ$11</f>
        <v>425.60415015239522</v>
      </c>
      <c r="AH20" s="44">
        <f>'Project Pop Settlements'!AH20*Pop_Wilayat!AK$11</f>
        <v>440.63368916853324</v>
      </c>
      <c r="AI20" s="44">
        <f>'Project Pop Settlements'!AI20*Pop_Wilayat!AL$11</f>
        <v>456.26308309812521</v>
      </c>
      <c r="AJ20" s="44">
        <f>'Project Pop Settlements'!AJ20*Pop_Wilayat!AM$11</f>
        <v>472.51995447647516</v>
      </c>
      <c r="AK20" s="44">
        <f>'Project Pop Settlements'!AK20*Pop_Wilayat!AN$11</f>
        <v>489.43330528859349</v>
      </c>
      <c r="AL20" s="44">
        <f>'Project Pop Settlements'!AL20*Pop_Wilayat!AO$11</f>
        <v>506.94039087546827</v>
      </c>
      <c r="AM20" s="44">
        <f>'Project Pop Settlements'!AM20*Pop_Wilayat!AP$11</f>
        <v>525.0059029866668</v>
      </c>
      <c r="AN20" s="44">
        <f>'Project Pop Settlements'!AN20*Pop_Wilayat!AQ$11</f>
        <v>543.64656201405853</v>
      </c>
      <c r="AO20" s="44">
        <f>'Project Pop Settlements'!AO20*Pop_Wilayat!AR$11</f>
        <v>562.87956927464484</v>
      </c>
      <c r="AP20" s="44">
        <f>'Project Pop Settlements'!AP20*Pop_Wilayat!AS$11</f>
        <v>582.72262046401909</v>
      </c>
      <c r="AQ20" s="44">
        <f>'Project Pop Settlements'!AQ20*Pop_Wilayat!AT$11</f>
        <v>603.19391947858128</v>
      </c>
      <c r="AR20" s="44">
        <f>'Project Pop Settlements'!AR20*Pop_Wilayat!AU$11</f>
        <v>624.31219261645504</v>
      </c>
      <c r="AS20" s="44">
        <f>'Project Pop Settlements'!AS20*Pop_Wilayat!AV$11</f>
        <v>646.09670316732706</v>
      </c>
      <c r="AT20" s="44">
        <f>'Project Pop Settlements'!AT20*Pop_Wilayat!AW$11</f>
        <v>668.56726640169393</v>
      </c>
      <c r="AU20" s="44">
        <f>'Project Pop Settlements'!AU20*Pop_Wilayat!AX$11</f>
        <v>691.74426497028605</v>
      </c>
      <c r="AV20" s="44">
        <f>'Project Pop Settlements'!AV20*Pop_Wilayat!AY$11</f>
        <v>715.64866472472318</v>
      </c>
      <c r="AW20" s="44">
        <f>'Project Pop Settlements'!AW20*Pop_Wilayat!AZ$11</f>
        <v>740.30203097075048</v>
      </c>
      <c r="AX20" s="44">
        <f>'Project Pop Settlements'!AX20*Pop_Wilayat!BA$11</f>
        <v>765.72654516570549</v>
      </c>
      <c r="AY20" s="44">
        <f>'Project Pop Settlements'!AY20*Pop_Wilayat!BB$11</f>
        <v>784.10398224968253</v>
      </c>
      <c r="AZ20" s="44">
        <f>'Project Pop Settlements'!AZ20*Pop_Wilayat!BC$11</f>
        <v>802.92247782367497</v>
      </c>
      <c r="BA20" s="44">
        <f>'Project Pop Settlements'!BA20*Pop_Wilayat!BD$11</f>
        <v>822.19261729144318</v>
      </c>
      <c r="BB20" s="44">
        <f>'Project Pop Settlements'!BB20*Pop_Wilayat!BE$11</f>
        <v>841.92524010643785</v>
      </c>
      <c r="BC20" s="44">
        <f>'Project Pop Settlements'!BC20*Pop_Wilayat!BF$11</f>
        <v>862.13144586899239</v>
      </c>
      <c r="BD20" s="44">
        <f>'Project Pop Settlements'!BD20*Pop_Wilayat!BG$11</f>
        <v>882.82260056984819</v>
      </c>
      <c r="BE20" s="44">
        <f>'Project Pop Settlements'!BE20*Pop_Wilayat!BH$11</f>
        <v>904.01034298352454</v>
      </c>
      <c r="BF20" s="44">
        <f>'Project Pop Settlements'!BF20*Pop_Wilayat!BI$11</f>
        <v>925.70659121512915</v>
      </c>
      <c r="BG20" s="44">
        <f>'Project Pop Settlements'!BG20*Pop_Wilayat!BJ$11</f>
        <v>947.92354940429232</v>
      </c>
      <c r="BH20" s="44">
        <f>'Project Pop Settlements'!BH20*Pop_Wilayat!BK$11</f>
        <v>970.67371458999537</v>
      </c>
      <c r="BI20" s="44">
        <f>'Project Pop Settlements'!BI20*Pop_Wilayat!BL$11</f>
        <v>993.9698837401553</v>
      </c>
      <c r="BJ20" s="44">
        <f>'Project Pop Settlements'!BJ20*Pop_Wilayat!BM$11</f>
        <v>1017.825160949919</v>
      </c>
      <c r="BK20" s="44">
        <f>'Project Pop Settlements'!BK20*Pop_Wilayat!BN$11</f>
        <v>1042.252964812717</v>
      </c>
      <c r="BL20" s="44">
        <f>'Project Pop Settlements'!BL20*Pop_Wilayat!BO$11</f>
        <v>1067.2670359682222</v>
      </c>
      <c r="BM20" s="44">
        <f>'Project Pop Settlements'!BM20*Pop_Wilayat!BP$11</f>
        <v>1092.8814448314595</v>
      </c>
      <c r="BN20" s="44">
        <f>'Project Pop Settlements'!BN20*Pop_Wilayat!BQ$11</f>
        <v>1119.1105995074145</v>
      </c>
      <c r="BO20" s="44">
        <f>'Project Pop Settlements'!BO20*Pop_Wilayat!BR$11</f>
        <v>1145.9692538955924</v>
      </c>
      <c r="BP20" s="44">
        <f>'Project Pop Settlements'!BP20*Pop_Wilayat!BS$11</f>
        <v>1173.4725159890866</v>
      </c>
      <c r="BQ20" s="44">
        <f>'Project Pop Settlements'!BQ20*Pop_Wilayat!BT$11</f>
        <v>1201.6358563728247</v>
      </c>
      <c r="BR20" s="44">
        <f>'Project Pop Settlements'!BR20*Pop_Wilayat!BU$11</f>
        <v>1230.4751169257725</v>
      </c>
      <c r="BS20" s="44">
        <f>'Project Pop Settlements'!BS20*Pop_Wilayat!BV$11</f>
        <v>1260.0065197319909</v>
      </c>
      <c r="BT20" s="44">
        <f>'Project Pop Settlements'!BT20*Pop_Wilayat!BW$11</f>
        <v>1290.2466762055587</v>
      </c>
      <c r="BU20" s="44">
        <f>'Project Pop Settlements'!BU20*Pop_Wilayat!BX$11</f>
        <v>1321.2125964344921</v>
      </c>
      <c r="BV20" s="44">
        <f>'Project Pop Settlements'!BV20*Pop_Wilayat!BY$11</f>
        <v>1352.9216987489199</v>
      </c>
      <c r="BW20" s="44">
        <f>'Project Pop Settlements'!BW20*Pop_Wilayat!BZ$11</f>
        <v>1385.391819518894</v>
      </c>
      <c r="BX20" s="44">
        <f>'Project Pop Settlements'!BX20*Pop_Wilayat!CA$11</f>
        <v>1418.6412231873474</v>
      </c>
      <c r="BY20" s="44">
        <f>'Project Pop Settlements'!BY20*Pop_Wilayat!CB$11</f>
        <v>1452.6886125438436</v>
      </c>
      <c r="BZ20" s="44">
        <f>'Project Pop Settlements'!BZ20*Pop_Wilayat!CC$11</f>
        <v>1487.5531392448959</v>
      </c>
      <c r="CA20" s="44">
        <f>'Project Pop Settlements'!CA20*Pop_Wilayat!CD$11</f>
        <v>1523.2544145867735</v>
      </c>
      <c r="CB20" s="44">
        <f>'Project Pop Settlements'!CB20*Pop_Wilayat!CE$11</f>
        <v>1559.8125205368563</v>
      </c>
    </row>
    <row r="21" spans="1:80" x14ac:dyDescent="0.25">
      <c r="A21" s="33">
        <v>20</v>
      </c>
      <c r="B21" s="36" t="s">
        <v>53</v>
      </c>
      <c r="C21" s="34">
        <f>'Project Pop Settlements'!C21*Pop_Wilayat!F$11</f>
        <v>222.98346776148503</v>
      </c>
      <c r="D21" s="34">
        <f>'Project Pop Settlements'!D21*Pop_Wilayat!G$11</f>
        <v>235.34349036368758</v>
      </c>
      <c r="E21" s="34">
        <f>'Project Pop Settlements'!E21*Pop_Wilayat!H$11</f>
        <v>253.7472890527562</v>
      </c>
      <c r="F21" s="34">
        <f>'Project Pop Settlements'!F21*Pop_Wilayat!I$11</f>
        <v>273.8203948363992</v>
      </c>
      <c r="G21" s="34">
        <f>'Project Pop Settlements'!G21*Pop_Wilayat!J$11</f>
        <v>294.7035069236664</v>
      </c>
      <c r="H21" s="34">
        <f>'Project Pop Settlements'!H21*Pop_Wilayat!K$11</f>
        <v>316.43190072292384</v>
      </c>
      <c r="I21" s="34">
        <f>'Project Pop Settlements'!I21*Pop_Wilayat!L$11</f>
        <v>339.02654503563707</v>
      </c>
      <c r="J21" s="34">
        <f>'Project Pop Settlements'!J21*Pop_Wilayat!M$11</f>
        <v>360.95286576509125</v>
      </c>
      <c r="K21" s="34">
        <f>'Project Pop Settlements'!K21*Pop_Wilayat!N$11</f>
        <v>385.21400058660623</v>
      </c>
      <c r="L21" s="34">
        <f>'Project Pop Settlements'!L21*Pop_Wilayat!O$11</f>
        <v>410.42050880354412</v>
      </c>
      <c r="M21" s="34">
        <f>'Project Pop Settlements'!M21*Pop_Wilayat!P$11</f>
        <v>431.17325671968206</v>
      </c>
      <c r="N21" s="34">
        <f>'Project Pop Settlements'!N21*Pop_Wilayat!Q$11</f>
        <v>463.88857957661844</v>
      </c>
      <c r="O21" s="34">
        <f>'Project Pop Settlements'!O21*Pop_Wilayat!R$11</f>
        <v>489.96200387537829</v>
      </c>
      <c r="P21" s="34">
        <f>'Project Pop Settlements'!P21*Pop_Wilayat!S$11</f>
        <v>502.61972088567637</v>
      </c>
      <c r="Q21" s="34">
        <f>'Project Pop Settlements'!Q21*Pop_Wilayat!T$11</f>
        <v>515.77660403648952</v>
      </c>
      <c r="R21" s="34">
        <f>'Project Pop Settlements'!R21*Pop_Wilayat!U$11</f>
        <v>529.39612897607287</v>
      </c>
      <c r="S21" s="34">
        <f>'Project Pop Settlements'!S21*Pop_Wilayat!V$11</f>
        <v>543.60004354357625</v>
      </c>
      <c r="T21" s="34">
        <f>'Project Pop Settlements'!T21*Pop_Wilayat!W$11</f>
        <v>555.42378785569667</v>
      </c>
      <c r="U21" s="34">
        <f>'Project Pop Settlements'!U21*Pop_Wilayat!X$11</f>
        <v>566.01932428009002</v>
      </c>
      <c r="V21" s="34">
        <f>'Project Pop Settlements'!V21*Pop_Wilayat!Y$11</f>
        <v>577.0985909484765</v>
      </c>
      <c r="W21" s="34">
        <f>'Project Pop Settlements'!W21*Pop_Wilayat!Z$11</f>
        <v>588.52276579786144</v>
      </c>
      <c r="X21" s="34">
        <f>'Project Pop Settlements'!X21*Pop_Wilayat!AA$11</f>
        <v>600.3155848626119</v>
      </c>
      <c r="Y21" s="34">
        <f>'Project Pop Settlements'!Y21*Pop_Wilayat!AB$11</f>
        <v>612.50078417743634</v>
      </c>
      <c r="Z21" s="34">
        <f>'Project Pop Settlements'!Z21*Pop_Wilayat!AC$11</f>
        <v>625.10209979547699</v>
      </c>
      <c r="AA21" s="34">
        <f>'Project Pop Settlements'!AA21*Pop_Wilayat!AD$11</f>
        <v>638.14326773862865</v>
      </c>
      <c r="AB21" s="34">
        <f>'Project Pop Settlements'!AB21*Pop_Wilayat!AE$11</f>
        <v>651.64802408029971</v>
      </c>
      <c r="AC21" s="34">
        <f>'Project Pop Settlements'!AC21*Pop_Wilayat!AF$11</f>
        <v>665.6401048245375</v>
      </c>
      <c r="AD21" s="34">
        <f>'Project Pop Settlements'!AD21*Pop_Wilayat!AG$11</f>
        <v>680.14324605666127</v>
      </c>
      <c r="AE21" s="44">
        <f>'Project Pop Settlements'!AE21*Pop_Wilayat!AH$11</f>
        <v>703.85600886497048</v>
      </c>
      <c r="AF21" s="44">
        <f>'Project Pop Settlements'!AF21*Pop_Wilayat!AI$11</f>
        <v>728.49824680650136</v>
      </c>
      <c r="AG21" s="44">
        <f>'Project Pop Settlements'!AG21*Pop_Wilayat!AJ$11</f>
        <v>754.11229646774223</v>
      </c>
      <c r="AH21" s="44">
        <f>'Project Pop Settlements'!AH21*Pop_Wilayat!AK$11</f>
        <v>780.74258232903628</v>
      </c>
      <c r="AI21" s="44">
        <f>'Project Pop Settlements'!AI21*Pop_Wilayat!AL$11</f>
        <v>808.43572898755281</v>
      </c>
      <c r="AJ21" s="44">
        <f>'Project Pop Settlements'!AJ21*Pop_Wilayat!AM$11</f>
        <v>837.24067979481936</v>
      </c>
      <c r="AK21" s="44">
        <f>'Project Pop Settlements'!AK21*Pop_Wilayat!AN$11</f>
        <v>867.20882229842061</v>
      </c>
      <c r="AL21" s="44">
        <f>'Project Pop Settlements'!AL21*Pop_Wilayat!AO$11</f>
        <v>898.22898155121015</v>
      </c>
      <c r="AM21" s="44">
        <f>'Project Pop Settlements'!AM21*Pop_Wilayat!AP$11</f>
        <v>930.23859616648986</v>
      </c>
      <c r="AN21" s="44">
        <f>'Project Pop Settlements'!AN21*Pop_Wilayat!AQ$11</f>
        <v>963.26729238992925</v>
      </c>
      <c r="AO21" s="44">
        <f>'Project Pop Settlements'!AO21*Pop_Wilayat!AR$11</f>
        <v>997.34554860070182</v>
      </c>
      <c r="AP21" s="44">
        <f>'Project Pop Settlements'!AP21*Pop_Wilayat!AS$11</f>
        <v>1032.5047191491749</v>
      </c>
      <c r="AQ21" s="44">
        <f>'Project Pop Settlements'!AQ21*Pop_Wilayat!AT$11</f>
        <v>1068.7770588479807</v>
      </c>
      <c r="AR21" s="44">
        <f>'Project Pop Settlements'!AR21*Pop_Wilayat!AU$11</f>
        <v>1106.1957481340992</v>
      </c>
      <c r="AS21" s="44">
        <f>'Project Pop Settlements'!AS21*Pop_Wilayat!AV$11</f>
        <v>1144.7949189200551</v>
      </c>
      <c r="AT21" s="44">
        <f>'Project Pop Settlements'!AT21*Pop_Wilayat!AW$11</f>
        <v>1184.6096811528116</v>
      </c>
      <c r="AU21" s="44">
        <f>'Project Pop Settlements'!AU21*Pop_Wilayat!AX$11</f>
        <v>1225.6761500994423</v>
      </c>
      <c r="AV21" s="44">
        <f>'Project Pop Settlements'!AV21*Pop_Wilayat!AY$11</f>
        <v>1268.0314743791675</v>
      </c>
      <c r="AW21" s="44">
        <f>'Project Pop Settlements'!AW21*Pop_Wilayat!AZ$11</f>
        <v>1311.7138647618622</v>
      </c>
      <c r="AX21" s="44">
        <f>'Project Pop Settlements'!AX21*Pop_Wilayat!BA$11</f>
        <v>1356.7626237536836</v>
      </c>
      <c r="AY21" s="44">
        <f>'Project Pop Settlements'!AY21*Pop_Wilayat!BB$11</f>
        <v>1389.324926723772</v>
      </c>
      <c r="AZ21" s="44">
        <f>'Project Pop Settlements'!AZ21*Pop_Wilayat!BC$11</f>
        <v>1422.6687249651425</v>
      </c>
      <c r="BA21" s="44">
        <f>'Project Pop Settlements'!BA21*Pop_Wilayat!BD$11</f>
        <v>1456.8127743643058</v>
      </c>
      <c r="BB21" s="44">
        <f>'Project Pop Settlements'!BB21*Pop_Wilayat!BE$11</f>
        <v>1491.7762809490491</v>
      </c>
      <c r="BC21" s="44">
        <f>'Project Pop Settlements'!BC21*Pop_Wilayat!BF$11</f>
        <v>1527.5789116918263</v>
      </c>
      <c r="BD21" s="44">
        <f>'Project Pop Settlements'!BD21*Pop_Wilayat!BG$11</f>
        <v>1564.2408055724304</v>
      </c>
      <c r="BE21" s="44">
        <f>'Project Pop Settlements'!BE21*Pop_Wilayat!BH$11</f>
        <v>1601.7825849061687</v>
      </c>
      <c r="BF21" s="44">
        <f>'Project Pop Settlements'!BF21*Pop_Wilayat!BI$11</f>
        <v>1640.2253669439167</v>
      </c>
      <c r="BG21" s="44">
        <f>'Project Pop Settlements'!BG21*Pop_Wilayat!BJ$11</f>
        <v>1679.5907757505706</v>
      </c>
      <c r="BH21" s="44">
        <f>'Project Pop Settlements'!BH21*Pop_Wilayat!BK$11</f>
        <v>1719.9009543685843</v>
      </c>
      <c r="BI21" s="44">
        <f>'Project Pop Settlements'!BI21*Pop_Wilayat!BL$11</f>
        <v>1761.1785772734304</v>
      </c>
      <c r="BJ21" s="44">
        <f>'Project Pop Settlements'!BJ21*Pop_Wilayat!BM$11</f>
        <v>1803.4468631279929</v>
      </c>
      <c r="BK21" s="44">
        <f>'Project Pop Settlements'!BK21*Pop_Wilayat!BN$11</f>
        <v>1846.7295878430648</v>
      </c>
      <c r="BL21" s="44">
        <f>'Project Pop Settlements'!BL21*Pop_Wilayat!BO$11</f>
        <v>1891.0510979512983</v>
      </c>
      <c r="BM21" s="44">
        <f>'Project Pop Settlements'!BM21*Pop_Wilayat!BP$11</f>
        <v>1936.4363243021294</v>
      </c>
      <c r="BN21" s="44">
        <f>'Project Pop Settlements'!BN21*Pop_Wilayat!BQ$11</f>
        <v>1982.9107960853805</v>
      </c>
      <c r="BO21" s="44">
        <f>'Project Pop Settlements'!BO21*Pop_Wilayat!BR$11</f>
        <v>2030.5006551914296</v>
      </c>
      <c r="BP21" s="44">
        <f>'Project Pop Settlements'!BP21*Pop_Wilayat!BS$11</f>
        <v>2079.2326709160238</v>
      </c>
      <c r="BQ21" s="44">
        <f>'Project Pop Settlements'!BQ21*Pop_Wilayat!BT$11</f>
        <v>2129.1342550180084</v>
      </c>
      <c r="BR21" s="44">
        <f>'Project Pop Settlements'!BR21*Pop_Wilayat!BU$11</f>
        <v>2180.2334771384408</v>
      </c>
      <c r="BS21" s="44">
        <f>'Project Pop Settlements'!BS21*Pop_Wilayat!BV$11</f>
        <v>2232.5590805897632</v>
      </c>
      <c r="BT21" s="44">
        <f>'Project Pop Settlements'!BT21*Pop_Wilayat!BW$11</f>
        <v>2286.1404985239174</v>
      </c>
      <c r="BU21" s="44">
        <f>'Project Pop Settlements'!BU21*Pop_Wilayat!BX$11</f>
        <v>2341.0078704884913</v>
      </c>
      <c r="BV21" s="44">
        <f>'Project Pop Settlements'!BV21*Pop_Wilayat!BY$11</f>
        <v>2397.1920593802151</v>
      </c>
      <c r="BW21" s="44">
        <f>'Project Pop Settlements'!BW21*Pop_Wilayat!BZ$11</f>
        <v>2454.7246688053406</v>
      </c>
      <c r="BX21" s="44">
        <f>'Project Pop Settlements'!BX21*Pop_Wilayat!CA$11</f>
        <v>2513.6380608566687</v>
      </c>
      <c r="BY21" s="44">
        <f>'Project Pop Settlements'!BY21*Pop_Wilayat!CB$11</f>
        <v>2573.9653743172289</v>
      </c>
      <c r="BZ21" s="44">
        <f>'Project Pop Settlements'!BZ21*Pop_Wilayat!CC$11</f>
        <v>2635.7405433008425</v>
      </c>
      <c r="CA21" s="44">
        <f>'Project Pop Settlements'!CA21*Pop_Wilayat!CD$11</f>
        <v>2698.998316340063</v>
      </c>
      <c r="CB21" s="44">
        <f>'Project Pop Settlements'!CB21*Pop_Wilayat!CE$11</f>
        <v>2763.7742759322246</v>
      </c>
    </row>
    <row r="22" spans="1:80" x14ac:dyDescent="0.25">
      <c r="A22" s="33">
        <v>21</v>
      </c>
      <c r="B22" s="36" t="s">
        <v>48</v>
      </c>
      <c r="C22" s="34">
        <f>'Project Pop Settlements'!C22*Pop_Wilayat!F$11</f>
        <v>62.205688431315565</v>
      </c>
      <c r="D22" s="34">
        <f>'Project Pop Settlements'!D22*Pop_Wilayat!G$11</f>
        <v>65.653763406178939</v>
      </c>
      <c r="E22" s="34">
        <f>'Project Pop Settlements'!E22*Pop_Wilayat!H$11</f>
        <v>70.78787033660582</v>
      </c>
      <c r="F22" s="34">
        <f>'Project Pop Settlements'!F22*Pop_Wilayat!I$11</f>
        <v>76.387663795562005</v>
      </c>
      <c r="G22" s="34">
        <f>'Project Pop Settlements'!G22*Pop_Wilayat!J$11</f>
        <v>82.213424678276027</v>
      </c>
      <c r="H22" s="34">
        <f>'Project Pop Settlements'!H22*Pop_Wilayat!K$11</f>
        <v>88.274993763905783</v>
      </c>
      <c r="I22" s="34">
        <f>'Project Pop Settlements'!I22*Pop_Wilayat!L$11</f>
        <v>94.578220718096176</v>
      </c>
      <c r="J22" s="34">
        <f>'Project Pop Settlements'!J22*Pop_Wilayat!M$11</f>
        <v>100.69500547094822</v>
      </c>
      <c r="K22" s="34">
        <f>'Project Pop Settlements'!K22*Pop_Wilayat!N$11</f>
        <v>107.46313321085582</v>
      </c>
      <c r="L22" s="34">
        <f>'Project Pop Settlements'!L22*Pop_Wilayat!O$11</f>
        <v>114.49499172631062</v>
      </c>
      <c r="M22" s="34">
        <f>'Project Pop Settlements'!M22*Pop_Wilayat!P$11</f>
        <v>120.28438492179971</v>
      </c>
      <c r="N22" s="34">
        <f>'Project Pop Settlements'!N22*Pop_Wilayat!Q$11</f>
        <v>129.41097713510814</v>
      </c>
      <c r="O22" s="34">
        <f>'Project Pop Settlements'!O22*Pop_Wilayat!R$11</f>
        <v>136.68467919270211</v>
      </c>
      <c r="P22" s="34">
        <f>'Project Pop Settlements'!P22*Pop_Wilayat!S$11</f>
        <v>140.2158019638153</v>
      </c>
      <c r="Q22" s="34">
        <f>'Project Pop Settlements'!Q22*Pop_Wilayat!T$11</f>
        <v>143.88617709172453</v>
      </c>
      <c r="R22" s="34">
        <f>'Project Pop Settlements'!R22*Pop_Wilayat!U$11</f>
        <v>147.68561537959113</v>
      </c>
      <c r="S22" s="34">
        <f>'Project Pop Settlements'!S22*Pop_Wilayat!V$11</f>
        <v>151.6480808168775</v>
      </c>
      <c r="T22" s="34">
        <f>'Project Pop Settlements'!T22*Pop_Wilayat!W$11</f>
        <v>154.9465502601729</v>
      </c>
      <c r="U22" s="34">
        <f>'Project Pop Settlements'!U22*Pop_Wilayat!X$11</f>
        <v>157.90238660174185</v>
      </c>
      <c r="V22" s="34">
        <f>'Project Pop Settlements'!V22*Pop_Wilayat!Y$11</f>
        <v>160.99316914871665</v>
      </c>
      <c r="W22" s="34">
        <f>'Project Pop Settlements'!W22*Pop_Wilayat!Z$11</f>
        <v>164.18017071614159</v>
      </c>
      <c r="X22" s="34">
        <f>'Project Pop Settlements'!X22*Pop_Wilayat!AA$11</f>
        <v>167.47001294450547</v>
      </c>
      <c r="Y22" s="34">
        <f>'Project Pop Settlements'!Y22*Pop_Wilayat!AB$11</f>
        <v>170.86931747439212</v>
      </c>
      <c r="Z22" s="34">
        <f>'Project Pop Settlements'!Z22*Pop_Wilayat!AC$11</f>
        <v>174.38470595152793</v>
      </c>
      <c r="AA22" s="34">
        <f>'Project Pop Settlements'!AA22*Pop_Wilayat!AD$11</f>
        <v>178.02280001292215</v>
      </c>
      <c r="AB22" s="34">
        <f>'Project Pop Settlements'!AB22*Pop_Wilayat!AE$11</f>
        <v>181.79022130995486</v>
      </c>
      <c r="AC22" s="34">
        <f>'Project Pop Settlements'!AC22*Pop_Wilayat!AF$11</f>
        <v>185.69359147465639</v>
      </c>
      <c r="AD22" s="34">
        <f>'Project Pop Settlements'!AD22*Pop_Wilayat!AG$11</f>
        <v>189.73953216172953</v>
      </c>
      <c r="AE22" s="44">
        <f>'Project Pop Settlements'!AE22*Pop_Wilayat!AH$11</f>
        <v>196.35468058464838</v>
      </c>
      <c r="AF22" s="44">
        <f>'Project Pop Settlements'!AF22*Pop_Wilayat!AI$11</f>
        <v>203.22912464559047</v>
      </c>
      <c r="AG22" s="44">
        <f>'Project Pop Settlements'!AG22*Pop_Wilayat!AJ$11</f>
        <v>210.37467498027141</v>
      </c>
      <c r="AH22" s="44">
        <f>'Project Pop Settlements'!AH22*Pop_Wilayat!AK$11</f>
        <v>217.80372468406588</v>
      </c>
      <c r="AI22" s="44">
        <f>'Project Pop Settlements'!AI22*Pop_Wilayat!AL$11</f>
        <v>225.52928061884518</v>
      </c>
      <c r="AJ22" s="44">
        <f>'Project Pop Settlements'!AJ22*Pop_Wilayat!AM$11</f>
        <v>233.5649965092843</v>
      </c>
      <c r="AK22" s="44">
        <f>'Project Pop Settlements'!AK22*Pop_Wilayat!AN$11</f>
        <v>241.9252079373276</v>
      </c>
      <c r="AL22" s="44">
        <f>'Project Pop Settlements'!AL22*Pop_Wilayat!AO$11</f>
        <v>250.57890043274099</v>
      </c>
      <c r="AM22" s="44">
        <f>'Project Pop Settlements'!AM22*Pop_Wilayat!AP$11</f>
        <v>259.50862124816229</v>
      </c>
      <c r="AN22" s="44">
        <f>'Project Pop Settlements'!AN22*Pop_Wilayat!AQ$11</f>
        <v>268.72263521607459</v>
      </c>
      <c r="AO22" s="44">
        <f>'Project Pop Settlements'!AO22*Pop_Wilayat!AR$11</f>
        <v>278.2294448886077</v>
      </c>
      <c r="AP22" s="44">
        <f>'Project Pop Settlements'!AP22*Pop_Wilayat!AS$11</f>
        <v>288.03779718753799</v>
      </c>
      <c r="AQ22" s="44">
        <f>'Project Pop Settlements'!AQ22*Pop_Wilayat!AT$11</f>
        <v>298.15669023656108</v>
      </c>
      <c r="AR22" s="44">
        <f>'Project Pop Settlements'!AR22*Pop_Wilayat!AU$11</f>
        <v>308.59538038075726</v>
      </c>
      <c r="AS22" s="44">
        <f>'Project Pop Settlements'!AS22*Pop_Wilayat!AV$11</f>
        <v>319.36338939829858</v>
      </c>
      <c r="AT22" s="44">
        <f>'Project Pop Settlements'!AT22*Pop_Wilayat!AW$11</f>
        <v>330.47051190958257</v>
      </c>
      <c r="AU22" s="44">
        <f>'Project Pop Settlements'!AU22*Pop_Wilayat!AX$11</f>
        <v>341.92682298911478</v>
      </c>
      <c r="AV22" s="44">
        <f>'Project Pop Settlements'!AV22*Pop_Wilayat!AY$11</f>
        <v>353.74268598560457</v>
      </c>
      <c r="AW22" s="44">
        <f>'Project Pop Settlements'!AW22*Pop_Wilayat!AZ$11</f>
        <v>365.92876055588414</v>
      </c>
      <c r="AX22" s="44">
        <f>'Project Pop Settlements'!AX22*Pop_Wilayat!BA$11</f>
        <v>378.49601091840947</v>
      </c>
      <c r="AY22" s="44">
        <f>'Project Pop Settlements'!AY22*Pop_Wilayat!BB$11</f>
        <v>387.57991518045134</v>
      </c>
      <c r="AZ22" s="44">
        <f>'Project Pop Settlements'!AZ22*Pop_Wilayat!BC$11</f>
        <v>396.88183314478215</v>
      </c>
      <c r="BA22" s="44">
        <f>'Project Pop Settlements'!BA22*Pop_Wilayat!BD$11</f>
        <v>406.40699714025692</v>
      </c>
      <c r="BB22" s="44">
        <f>'Project Pop Settlements'!BB22*Pop_Wilayat!BE$11</f>
        <v>416.16076507162308</v>
      </c>
      <c r="BC22" s="44">
        <f>'Project Pop Settlements'!BC22*Pop_Wilayat!BF$11</f>
        <v>426.14862343334204</v>
      </c>
      <c r="BD22" s="44">
        <f>'Project Pop Settlements'!BD22*Pop_Wilayat!BG$11</f>
        <v>436.37619039574224</v>
      </c>
      <c r="BE22" s="44">
        <f>'Project Pop Settlements'!BE22*Pop_Wilayat!BH$11</f>
        <v>446.84921896524008</v>
      </c>
      <c r="BF22" s="44">
        <f>'Project Pop Settlements'!BF22*Pop_Wilayat!BI$11</f>
        <v>457.57360022040587</v>
      </c>
      <c r="BG22" s="44">
        <f>'Project Pop Settlements'!BG22*Pop_Wilayat!BJ$11</f>
        <v>468.55536662569563</v>
      </c>
      <c r="BH22" s="44">
        <f>'Project Pop Settlements'!BH22*Pop_Wilayat!BK$11</f>
        <v>479.80069542471233</v>
      </c>
      <c r="BI22" s="44">
        <f>'Project Pop Settlements'!BI22*Pop_Wilayat!BL$11</f>
        <v>491.31591211490542</v>
      </c>
      <c r="BJ22" s="44">
        <f>'Project Pop Settlements'!BJ22*Pop_Wilayat!BM$11</f>
        <v>503.10749400566317</v>
      </c>
      <c r="BK22" s="44">
        <f>'Project Pop Settlements'!BK22*Pop_Wilayat!BN$11</f>
        <v>515.18207386179904</v>
      </c>
      <c r="BL22" s="44">
        <f>'Project Pop Settlements'!BL22*Pop_Wilayat!BO$11</f>
        <v>527.54644363448222</v>
      </c>
      <c r="BM22" s="44">
        <f>'Project Pop Settlements'!BM22*Pop_Wilayat!BP$11</f>
        <v>540.20755828170979</v>
      </c>
      <c r="BN22" s="44">
        <f>'Project Pop Settlements'!BN22*Pop_Wilayat!BQ$11</f>
        <v>553.17253968047089</v>
      </c>
      <c r="BO22" s="44">
        <f>'Project Pop Settlements'!BO22*Pop_Wilayat!BR$11</f>
        <v>566.44868063280217</v>
      </c>
      <c r="BP22" s="44">
        <f>'Project Pop Settlements'!BP22*Pop_Wilayat!BS$11</f>
        <v>580.04344896798943</v>
      </c>
      <c r="BQ22" s="44">
        <f>'Project Pop Settlements'!BQ22*Pop_Wilayat!BT$11</f>
        <v>593.96449174322117</v>
      </c>
      <c r="BR22" s="44">
        <f>'Project Pop Settlements'!BR22*Pop_Wilayat!BU$11</f>
        <v>608.2196395450585</v>
      </c>
      <c r="BS22" s="44">
        <f>'Project Pop Settlements'!BS22*Pop_Wilayat!BV$11</f>
        <v>622.81691089413994</v>
      </c>
      <c r="BT22" s="44">
        <f>'Project Pop Settlements'!BT22*Pop_Wilayat!BW$11</f>
        <v>637.76451675559929</v>
      </c>
      <c r="BU22" s="44">
        <f>'Project Pop Settlements'!BU22*Pop_Wilayat!BX$11</f>
        <v>653.07086515773369</v>
      </c>
      <c r="BV22" s="44">
        <f>'Project Pop Settlements'!BV22*Pop_Wilayat!BY$11</f>
        <v>668.74456592151932</v>
      </c>
      <c r="BW22" s="44">
        <f>'Project Pop Settlements'!BW22*Pop_Wilayat!BZ$11</f>
        <v>684.79443550363578</v>
      </c>
      <c r="BX22" s="44">
        <f>'Project Pop Settlements'!BX22*Pop_Wilayat!CA$11</f>
        <v>701.22950195572309</v>
      </c>
      <c r="BY22" s="44">
        <f>'Project Pop Settlements'!BY22*Pop_Wilayat!CB$11</f>
        <v>718.05901000266044</v>
      </c>
      <c r="BZ22" s="44">
        <f>'Project Pop Settlements'!BZ22*Pop_Wilayat!CC$11</f>
        <v>735.29242624272433</v>
      </c>
      <c r="CA22" s="44">
        <f>'Project Pop Settlements'!CA22*Pop_Wilayat!CD$11</f>
        <v>752.93944447254978</v>
      </c>
      <c r="CB22" s="44">
        <f>'Project Pop Settlements'!CB22*Pop_Wilayat!CE$11</f>
        <v>771.0099911398911</v>
      </c>
    </row>
    <row r="23" spans="1:80" x14ac:dyDescent="0.25">
      <c r="A23" s="33">
        <v>22</v>
      </c>
      <c r="B23" s="36" t="s">
        <v>52</v>
      </c>
      <c r="C23" s="34">
        <f>'Project Pop Settlements'!C23*Pop_Wilayat!F$11</f>
        <v>746.46826117578678</v>
      </c>
      <c r="D23" s="34">
        <f>'Project Pop Settlements'!D23*Pop_Wilayat!G$11</f>
        <v>787.84516087414738</v>
      </c>
      <c r="E23" s="34">
        <f>'Project Pop Settlements'!E23*Pop_Wilayat!H$11</f>
        <v>849.45444403926979</v>
      </c>
      <c r="F23" s="34">
        <f>'Project Pop Settlements'!F23*Pop_Wilayat!I$11</f>
        <v>916.65196554674424</v>
      </c>
      <c r="G23" s="34">
        <f>'Project Pop Settlements'!G23*Pop_Wilayat!J$11</f>
        <v>986.56109613931244</v>
      </c>
      <c r="H23" s="34">
        <f>'Project Pop Settlements'!H23*Pop_Wilayat!K$11</f>
        <v>1059.2999251668696</v>
      </c>
      <c r="I23" s="34">
        <f>'Project Pop Settlements'!I23*Pop_Wilayat!L$11</f>
        <v>1134.9386486171541</v>
      </c>
      <c r="J23" s="34">
        <f>'Project Pop Settlements'!J23*Pop_Wilayat!M$11</f>
        <v>1208.3400656513786</v>
      </c>
      <c r="K23" s="34">
        <f>'Project Pop Settlements'!K23*Pop_Wilayat!N$11</f>
        <v>1289.5575985302701</v>
      </c>
      <c r="L23" s="34">
        <f>'Project Pop Settlements'!L23*Pop_Wilayat!O$11</f>
        <v>1373.9399007157274</v>
      </c>
      <c r="M23" s="34">
        <f>'Project Pop Settlements'!M23*Pop_Wilayat!P$11</f>
        <v>1443.4126190615966</v>
      </c>
      <c r="N23" s="34">
        <f>'Project Pop Settlements'!N23*Pop_Wilayat!Q$11</f>
        <v>1552.931725621298</v>
      </c>
      <c r="O23" s="34">
        <f>'Project Pop Settlements'!O23*Pop_Wilayat!R$11</f>
        <v>1640.2161503124255</v>
      </c>
      <c r="P23" s="34">
        <f>'Project Pop Settlements'!P23*Pop_Wilayat!S$11</f>
        <v>1682.5896235657835</v>
      </c>
      <c r="Q23" s="34">
        <f>'Project Pop Settlements'!Q23*Pop_Wilayat!T$11</f>
        <v>1726.6341251006947</v>
      </c>
      <c r="R23" s="34">
        <f>'Project Pop Settlements'!R23*Pop_Wilayat!U$11</f>
        <v>1772.2273845550935</v>
      </c>
      <c r="S23" s="34">
        <f>'Project Pop Settlements'!S23*Pop_Wilayat!V$11</f>
        <v>1819.7769698025299</v>
      </c>
      <c r="T23" s="34">
        <f>'Project Pop Settlements'!T23*Pop_Wilayat!W$11</f>
        <v>1859.3586031220746</v>
      </c>
      <c r="U23" s="34">
        <f>'Project Pop Settlements'!U23*Pop_Wilayat!X$11</f>
        <v>1894.8286392209022</v>
      </c>
      <c r="V23" s="34">
        <f>'Project Pop Settlements'!V23*Pop_Wilayat!Y$11</f>
        <v>1931.9180297845996</v>
      </c>
      <c r="W23" s="34">
        <f>'Project Pop Settlements'!W23*Pop_Wilayat!Z$11</f>
        <v>1970.1620485936994</v>
      </c>
      <c r="X23" s="34">
        <f>'Project Pop Settlements'!X23*Pop_Wilayat!AA$11</f>
        <v>2009.6401553340654</v>
      </c>
      <c r="Y23" s="34">
        <f>'Project Pop Settlements'!Y23*Pop_Wilayat!AB$11</f>
        <v>2050.4318096927054</v>
      </c>
      <c r="Z23" s="34">
        <f>'Project Pop Settlements'!Z23*Pop_Wilayat!AC$11</f>
        <v>2092.6164714183351</v>
      </c>
      <c r="AA23" s="34">
        <f>'Project Pop Settlements'!AA23*Pop_Wilayat!AD$11</f>
        <v>2136.2736001550657</v>
      </c>
      <c r="AB23" s="34">
        <f>'Project Pop Settlements'!AB23*Pop_Wilayat!AE$11</f>
        <v>2181.4826557194583</v>
      </c>
      <c r="AC23" s="34">
        <f>'Project Pop Settlements'!AC23*Pop_Wilayat!AF$11</f>
        <v>2228.3230976958762</v>
      </c>
      <c r="AD23" s="34">
        <f>'Project Pop Settlements'!AD23*Pop_Wilayat!AG$11</f>
        <v>2276.8743859407546</v>
      </c>
      <c r="AE23" s="44">
        <f>'Project Pop Settlements'!AE23*Pop_Wilayat!AH$11</f>
        <v>2356.2561670157806</v>
      </c>
      <c r="AF23" s="44">
        <f>'Project Pop Settlements'!AF23*Pop_Wilayat!AI$11</f>
        <v>2438.7494957470863</v>
      </c>
      <c r="AG23" s="44">
        <f>'Project Pop Settlements'!AG23*Pop_Wilayat!AJ$11</f>
        <v>2524.4960997632575</v>
      </c>
      <c r="AH23" s="44">
        <f>'Project Pop Settlements'!AH23*Pop_Wilayat!AK$11</f>
        <v>2613.6446962087912</v>
      </c>
      <c r="AI23" s="44">
        <f>'Project Pop Settlements'!AI23*Pop_Wilayat!AL$11</f>
        <v>2706.3513674261426</v>
      </c>
      <c r="AJ23" s="44">
        <f>'Project Pop Settlements'!AJ23*Pop_Wilayat!AM$11</f>
        <v>2802.7799581114123</v>
      </c>
      <c r="AK23" s="44">
        <f>'Project Pop Settlements'!AK23*Pop_Wilayat!AN$11</f>
        <v>2903.1024952479315</v>
      </c>
      <c r="AL23" s="44">
        <f>'Project Pop Settlements'!AL23*Pop_Wilayat!AO$11</f>
        <v>3006.9468051928925</v>
      </c>
      <c r="AM23" s="44">
        <f>'Project Pop Settlements'!AM23*Pop_Wilayat!AP$11</f>
        <v>3114.1034549779483</v>
      </c>
      <c r="AN23" s="44">
        <f>'Project Pop Settlements'!AN23*Pop_Wilayat!AQ$11</f>
        <v>3224.6716225928958</v>
      </c>
      <c r="AO23" s="44">
        <f>'Project Pop Settlements'!AO23*Pop_Wilayat!AR$11</f>
        <v>3338.7533386632936</v>
      </c>
      <c r="AP23" s="44">
        <f>'Project Pop Settlements'!AP23*Pop_Wilayat!AS$11</f>
        <v>3456.4535662504568</v>
      </c>
      <c r="AQ23" s="44">
        <f>'Project Pop Settlements'!AQ23*Pop_Wilayat!AT$11</f>
        <v>3577.8802828387338</v>
      </c>
      <c r="AR23" s="44">
        <f>'Project Pop Settlements'!AR23*Pop_Wilayat!AU$11</f>
        <v>3703.1445645690883</v>
      </c>
      <c r="AS23" s="44">
        <f>'Project Pop Settlements'!AS23*Pop_Wilayat!AV$11</f>
        <v>3832.3606727795841</v>
      </c>
      <c r="AT23" s="44">
        <f>'Project Pop Settlements'!AT23*Pop_Wilayat!AW$11</f>
        <v>3965.6461429149922</v>
      </c>
      <c r="AU23" s="44">
        <f>'Project Pop Settlements'!AU23*Pop_Wilayat!AX$11</f>
        <v>4103.1218758693785</v>
      </c>
      <c r="AV23" s="44">
        <f>'Project Pop Settlements'!AV23*Pop_Wilayat!AY$11</f>
        <v>4244.9122318272566</v>
      </c>
      <c r="AW23" s="44">
        <f>'Project Pop Settlements'!AW23*Pop_Wilayat!AZ$11</f>
        <v>4391.1451266706117</v>
      </c>
      <c r="AX23" s="44">
        <f>'Project Pop Settlements'!AX23*Pop_Wilayat!BA$11</f>
        <v>4541.9521310209157</v>
      </c>
      <c r="AY23" s="44">
        <f>'Project Pop Settlements'!AY23*Pop_Wilayat!BB$11</f>
        <v>4650.9589821654181</v>
      </c>
      <c r="AZ23" s="44">
        <f>'Project Pop Settlements'!AZ23*Pop_Wilayat!BC$11</f>
        <v>4762.5819977373885</v>
      </c>
      <c r="BA23" s="44">
        <f>'Project Pop Settlements'!BA23*Pop_Wilayat!BD$11</f>
        <v>4876.883965683086</v>
      </c>
      <c r="BB23" s="44">
        <f>'Project Pop Settlements'!BB23*Pop_Wilayat!BE$11</f>
        <v>4993.9291808594799</v>
      </c>
      <c r="BC23" s="44">
        <f>'Project Pop Settlements'!BC23*Pop_Wilayat!BF$11</f>
        <v>5113.7834812001074</v>
      </c>
      <c r="BD23" s="44">
        <f>'Project Pop Settlements'!BD23*Pop_Wilayat!BG$11</f>
        <v>5236.5142847489096</v>
      </c>
      <c r="BE23" s="44">
        <f>'Project Pop Settlements'!BE23*Pop_Wilayat!BH$11</f>
        <v>5362.1906275828833</v>
      </c>
      <c r="BF23" s="44">
        <f>'Project Pop Settlements'!BF23*Pop_Wilayat!BI$11</f>
        <v>5490.8832026448727</v>
      </c>
      <c r="BG23" s="44">
        <f>'Project Pop Settlements'!BG23*Pop_Wilayat!BJ$11</f>
        <v>5622.6643995083496</v>
      </c>
      <c r="BH23" s="44">
        <f>'Project Pop Settlements'!BH23*Pop_Wilayat!BK$11</f>
        <v>5757.6083450965498</v>
      </c>
      <c r="BI23" s="44">
        <f>'Project Pop Settlements'!BI23*Pop_Wilayat!BL$11</f>
        <v>5895.790945378867</v>
      </c>
      <c r="BJ23" s="44">
        <f>'Project Pop Settlements'!BJ23*Pop_Wilayat!BM$11</f>
        <v>6037.2899280679603</v>
      </c>
      <c r="BK23" s="44">
        <f>'Project Pop Settlements'!BK23*Pop_Wilayat!BN$11</f>
        <v>6182.1848863415926</v>
      </c>
      <c r="BL23" s="44">
        <f>'Project Pop Settlements'!BL23*Pop_Wilayat!BO$11</f>
        <v>6330.5573236137907</v>
      </c>
      <c r="BM23" s="44">
        <f>'Project Pop Settlements'!BM23*Pop_Wilayat!BP$11</f>
        <v>6482.4906993805216</v>
      </c>
      <c r="BN23" s="44">
        <f>'Project Pop Settlements'!BN23*Pop_Wilayat!BQ$11</f>
        <v>6638.0704761656543</v>
      </c>
      <c r="BO23" s="44">
        <f>'Project Pop Settlements'!BO23*Pop_Wilayat!BR$11</f>
        <v>6797.3841675936301</v>
      </c>
      <c r="BP23" s="44">
        <f>'Project Pop Settlements'!BP23*Pop_Wilayat!BS$11</f>
        <v>6960.5213876158778</v>
      </c>
      <c r="BQ23" s="44">
        <f>'Project Pop Settlements'!BQ23*Pop_Wilayat!BT$11</f>
        <v>7127.5739009186591</v>
      </c>
      <c r="BR23" s="44">
        <f>'Project Pop Settlements'!BR23*Pop_Wilayat!BU$11</f>
        <v>7298.6356745407074</v>
      </c>
      <c r="BS23" s="44">
        <f>'Project Pop Settlements'!BS23*Pop_Wilayat!BV$11</f>
        <v>7473.8029307296847</v>
      </c>
      <c r="BT23" s="44">
        <f>'Project Pop Settlements'!BT23*Pop_Wilayat!BW$11</f>
        <v>7653.1742010671969</v>
      </c>
      <c r="BU23" s="44">
        <f>'Project Pop Settlements'!BU23*Pop_Wilayat!BX$11</f>
        <v>7836.8503818928093</v>
      </c>
      <c r="BV23" s="44">
        <f>'Project Pop Settlements'!BV23*Pop_Wilayat!BY$11</f>
        <v>8024.9347910582364</v>
      </c>
      <c r="BW23" s="44">
        <f>'Project Pop Settlements'!BW23*Pop_Wilayat!BZ$11</f>
        <v>8217.5332260436335</v>
      </c>
      <c r="BX23" s="44">
        <f>'Project Pop Settlements'!BX23*Pop_Wilayat!CA$11</f>
        <v>8414.7540234686803</v>
      </c>
      <c r="BY23" s="44">
        <f>'Project Pop Settlements'!BY23*Pop_Wilayat!CB$11</f>
        <v>8616.708120031928</v>
      </c>
      <c r="BZ23" s="44">
        <f>'Project Pop Settlements'!BZ23*Pop_Wilayat!CC$11</f>
        <v>8823.5091149126947</v>
      </c>
      <c r="CA23" s="44">
        <f>'Project Pop Settlements'!CA23*Pop_Wilayat!CD$11</f>
        <v>9035.2733336705987</v>
      </c>
      <c r="CB23" s="44">
        <f>'Project Pop Settlements'!CB23*Pop_Wilayat!CE$11</f>
        <v>9252.1198936786932</v>
      </c>
    </row>
    <row r="24" spans="1:80" x14ac:dyDescent="0.25">
      <c r="A24" s="33">
        <v>23</v>
      </c>
      <c r="B24" s="36" t="s">
        <v>36</v>
      </c>
      <c r="C24" s="34">
        <f>'Project Pop Settlements'!C24*Pop_Wilayat!F$11</f>
        <v>1013.4742161348182</v>
      </c>
      <c r="D24" s="34">
        <f>'Project Pop Settlements'!D24*Pop_Wilayat!G$11</f>
        <v>1069.6513145714382</v>
      </c>
      <c r="E24" s="34">
        <f>'Project Pop Settlements'!E24*Pop_Wilayat!H$11</f>
        <v>1153.2977644071623</v>
      </c>
      <c r="F24" s="34">
        <f>'Project Pop Settlements'!F24*Pop_Wilayat!I$11</f>
        <v>1244.5313224538488</v>
      </c>
      <c r="G24" s="34">
        <f>'Project Pop Settlements'!G24*Pop_Wilayat!J$11</f>
        <v>1339.4464112968355</v>
      </c>
      <c r="H24" s="34">
        <f>'Project Pop Settlements'!H24*Pop_Wilayat!K$11</f>
        <v>1438.2033599380957</v>
      </c>
      <c r="I24" s="34">
        <f>'Project Pop Settlements'!I24*Pop_Wilayat!L$11</f>
        <v>1540.8974729302129</v>
      </c>
      <c r="J24" s="34">
        <f>'Project Pop Settlements'!J24*Pop_Wilayat!M$11</f>
        <v>1640.5540122112945</v>
      </c>
      <c r="K24" s="34">
        <f>'Project Pop Settlements'!K24*Pop_Wilayat!N$11</f>
        <v>1750.8224318507125</v>
      </c>
      <c r="L24" s="34">
        <f>'Project Pop Settlements'!L24*Pop_Wilayat!O$11</f>
        <v>1865.3876344332759</v>
      </c>
      <c r="M24" s="34">
        <f>'Project Pop Settlements'!M24*Pop_Wilayat!P$11</f>
        <v>1959.7102097259369</v>
      </c>
      <c r="N24" s="34">
        <f>'Project Pop Settlements'!N24*Pop_Wilayat!Q$11</f>
        <v>2108.4034582473773</v>
      </c>
      <c r="O24" s="34">
        <f>'Project Pop Settlements'!O24*Pop_Wilayat!R$11</f>
        <v>2226.9088502318696</v>
      </c>
      <c r="P24" s="34">
        <f>'Project Pop Settlements'!P24*Pop_Wilayat!S$11</f>
        <v>2284.4389889181598</v>
      </c>
      <c r="Q24" s="34">
        <f>'Project Pop Settlements'!Q24*Pop_Wilayat!T$11</f>
        <v>2344.2378698482507</v>
      </c>
      <c r="R24" s="34">
        <f>'Project Pop Settlements'!R24*Pop_Wilayat!U$11</f>
        <v>2406.1394874921075</v>
      </c>
      <c r="S24" s="34">
        <f>'Project Pop Settlements'!S24*Pop_Wilayat!V$11</f>
        <v>2470.6971936165119</v>
      </c>
      <c r="T24" s="34">
        <f>'Project Pop Settlements'!T24*Pop_Wilayat!W$11</f>
        <v>2524.4368727003548</v>
      </c>
      <c r="U24" s="34">
        <f>'Project Pop Settlements'!U24*Pop_Wilayat!X$11</f>
        <v>2572.5942678653018</v>
      </c>
      <c r="V24" s="34">
        <f>'Project Pop Settlements'!V24*Pop_Wilayat!Y$11</f>
        <v>2622.9502481306295</v>
      </c>
      <c r="W24" s="34">
        <f>'Project Pop Settlements'!W24*Pop_Wilayat!Z$11</f>
        <v>2674.8738582829837</v>
      </c>
      <c r="X24" s="34">
        <f>'Project Pop Settlements'!X24*Pop_Wilayat!AA$11</f>
        <v>2728.4729801266349</v>
      </c>
      <c r="Y24" s="34">
        <f>'Project Pop Settlements'!Y24*Pop_Wilayat!AB$11</f>
        <v>2783.8554954674037</v>
      </c>
      <c r="Z24" s="34">
        <f>'Project Pop Settlements'!Z24*Pop_Wilayat!AC$11</f>
        <v>2841.1292861948932</v>
      </c>
      <c r="AA24" s="34">
        <f>'Project Pop Settlements'!AA24*Pop_Wilayat!AD$11</f>
        <v>2900.4022340566853</v>
      </c>
      <c r="AB24" s="34">
        <f>'Project Pop Settlements'!AB24*Pop_Wilayat!AE$11</f>
        <v>2961.7822210344948</v>
      </c>
      <c r="AC24" s="34">
        <f>'Project Pop Settlements'!AC24*Pop_Wilayat!AF$11</f>
        <v>3025.3771287947857</v>
      </c>
      <c r="AD24" s="34">
        <f>'Project Pop Settlements'!AD24*Pop_Wilayat!AG$11</f>
        <v>3091.2948393734086</v>
      </c>
      <c r="AE24" s="44">
        <f>'Project Pop Settlements'!AE24*Pop_Wilayat!AH$11</f>
        <v>3199.0708729098865</v>
      </c>
      <c r="AF24" s="44">
        <f>'Project Pop Settlements'!AF24*Pop_Wilayat!AI$11</f>
        <v>3311.0714307643125</v>
      </c>
      <c r="AG24" s="44">
        <f>'Project Pop Settlements'!AG24*Pop_Wilayat!AJ$11</f>
        <v>3427.4889354478069</v>
      </c>
      <c r="AH24" s="44">
        <f>'Project Pop Settlements'!AH24*Pop_Wilayat!AK$11</f>
        <v>3548.5252990834733</v>
      </c>
      <c r="AI24" s="44">
        <f>'Project Pop Settlements'!AI24*Pop_Wilayat!AL$11</f>
        <v>3674.3924334670314</v>
      </c>
      <c r="AJ24" s="44">
        <f>'Project Pop Settlements'!AJ24*Pop_Wilayat!AM$11</f>
        <v>3805.3127892820321</v>
      </c>
      <c r="AK24" s="44">
        <f>'Project Pop Settlements'!AK24*Pop_Wilayat!AN$11</f>
        <v>3941.5199262404599</v>
      </c>
      <c r="AL24" s="44">
        <f>'Project Pop Settlements'!AL24*Pop_Wilayat!AO$11</f>
        <v>4082.5085470503491</v>
      </c>
      <c r="AM24" s="44">
        <f>'Project Pop Settlements'!AM24*Pop_Wilayat!AP$11</f>
        <v>4227.9943061815975</v>
      </c>
      <c r="AN24" s="44">
        <f>'Project Pop Settlements'!AN24*Pop_Wilayat!AQ$11</f>
        <v>4378.1118568280453</v>
      </c>
      <c r="AO24" s="44">
        <f>'Project Pop Settlements'!AO24*Pop_Wilayat!AR$11</f>
        <v>4532.9997251851619</v>
      </c>
      <c r="AP24" s="44">
        <f>'Project Pop Settlements'!AP24*Pop_Wilayat!AS$11</f>
        <v>4692.8004187938877</v>
      </c>
      <c r="AQ24" s="44">
        <f>'Project Pop Settlements'!AQ24*Pop_Wilayat!AT$11</f>
        <v>4857.6605378541253</v>
      </c>
      <c r="AR24" s="44">
        <f>'Project Pop Settlements'!AR24*Pop_Wilayat!AU$11</f>
        <v>5027.7308895880287</v>
      </c>
      <c r="AS24" s="44">
        <f>'Project Pop Settlements'!AS24*Pop_Wilayat!AV$11</f>
        <v>5203.1666057353559</v>
      </c>
      <c r="AT24" s="44">
        <f>'Project Pop Settlements'!AT24*Pop_Wilayat!AW$11</f>
        <v>5384.1272632653518</v>
      </c>
      <c r="AU24" s="44">
        <f>'Project Pop Settlements'!AU24*Pop_Wilayat!AX$11</f>
        <v>5570.777008391884</v>
      </c>
      <c r="AV24" s="44">
        <f>'Project Pop Settlements'!AV24*Pop_Wilayat!AY$11</f>
        <v>5763.284683980849</v>
      </c>
      <c r="AW24" s="44">
        <f>'Project Pop Settlements'!AW24*Pop_Wilayat!AZ$11</f>
        <v>5961.8239604412511</v>
      </c>
      <c r="AX24" s="44">
        <f>'Project Pop Settlements'!AX24*Pop_Wilayat!BA$11</f>
        <v>6166.573470193779</v>
      </c>
      <c r="AY24" s="44">
        <f>'Project Pop Settlements'!AY24*Pop_Wilayat!BB$11</f>
        <v>6314.5712334784303</v>
      </c>
      <c r="AZ24" s="44">
        <f>'Project Pop Settlements'!AZ24*Pop_Wilayat!BC$11</f>
        <v>6466.1209430819126</v>
      </c>
      <c r="BA24" s="44">
        <f>'Project Pop Settlements'!BA24*Pop_Wilayat!BD$11</f>
        <v>6621.307845715879</v>
      </c>
      <c r="BB24" s="44">
        <f>'Project Pop Settlements'!BB24*Pop_Wilayat!BE$11</f>
        <v>6780.2192340130605</v>
      </c>
      <c r="BC24" s="44">
        <f>'Project Pop Settlements'!BC24*Pop_Wilayat!BF$11</f>
        <v>6942.9444956293737</v>
      </c>
      <c r="BD24" s="44">
        <f>'Project Pop Settlements'!BD24*Pop_Wilayat!BG$11</f>
        <v>7109.5751635244787</v>
      </c>
      <c r="BE24" s="44">
        <f>'Project Pop Settlements'!BE24*Pop_Wilayat!BH$11</f>
        <v>7280.2049674490663</v>
      </c>
      <c r="BF24" s="44">
        <f>'Project Pop Settlements'!BF24*Pop_Wilayat!BI$11</f>
        <v>7454.9298866678437</v>
      </c>
      <c r="BG24" s="44">
        <f>'Project Pop Settlements'!BG24*Pop_Wilayat!BJ$11</f>
        <v>7633.8482039478722</v>
      </c>
      <c r="BH24" s="44">
        <f>'Project Pop Settlements'!BH24*Pop_Wilayat!BK$11</f>
        <v>7817.0605608426213</v>
      </c>
      <c r="BI24" s="44">
        <f>'Project Pop Settlements'!BI24*Pop_Wilayat!BL$11</f>
        <v>8004.6700143028447</v>
      </c>
      <c r="BJ24" s="44">
        <f>'Project Pop Settlements'!BJ24*Pop_Wilayat!BM$11</f>
        <v>8196.7820946461125</v>
      </c>
      <c r="BK24" s="44">
        <f>'Project Pop Settlements'!BK24*Pop_Wilayat!BN$11</f>
        <v>8393.5048649176188</v>
      </c>
      <c r="BL24" s="44">
        <f>'Project Pop Settlements'!BL24*Pop_Wilayat!BO$11</f>
        <v>8594.9489816756413</v>
      </c>
      <c r="BM24" s="44">
        <f>'Project Pop Settlements'!BM24*Pop_Wilayat!BP$11</f>
        <v>8801.2277572358562</v>
      </c>
      <c r="BN24" s="44">
        <f>'Project Pop Settlements'!BN24*Pop_Wilayat!BQ$11</f>
        <v>9012.4572234095176</v>
      </c>
      <c r="BO24" s="44">
        <f>'Project Pop Settlements'!BO24*Pop_Wilayat!BR$11</f>
        <v>9228.7561967713464</v>
      </c>
      <c r="BP24" s="44">
        <f>'Project Pop Settlements'!BP24*Pop_Wilayat!BS$11</f>
        <v>9450.2463454938588</v>
      </c>
      <c r="BQ24" s="44">
        <f>'Project Pop Settlements'!BQ24*Pop_Wilayat!BT$11</f>
        <v>9677.0522577857118</v>
      </c>
      <c r="BR24" s="44">
        <f>'Project Pop Settlements'!BR24*Pop_Wilayat!BU$11</f>
        <v>9909.3015119725696</v>
      </c>
      <c r="BS24" s="44">
        <f>'Project Pop Settlements'!BS24*Pop_Wilayat!BV$11</f>
        <v>10147.124748259912</v>
      </c>
      <c r="BT24" s="44">
        <f>'Project Pop Settlements'!BT24*Pop_Wilayat!BW$11</f>
        <v>10390.65574221815</v>
      </c>
      <c r="BU24" s="44">
        <f>'Project Pop Settlements'!BU24*Pop_Wilayat!BX$11</f>
        <v>10640.031480031386</v>
      </c>
      <c r="BV24" s="44">
        <f>'Project Pop Settlements'!BV24*Pop_Wilayat!BY$11</f>
        <v>10895.392235552139</v>
      </c>
      <c r="BW24" s="44">
        <f>'Project Pop Settlements'!BW24*Pop_Wilayat!BZ$11</f>
        <v>11156.88164920539</v>
      </c>
      <c r="BX24" s="44">
        <f>'Project Pop Settlements'!BX24*Pop_Wilayat!CA$11</f>
        <v>11424.64680878632</v>
      </c>
      <c r="BY24" s="44">
        <f>'Project Pop Settlements'!BY24*Pop_Wilayat!CB$11</f>
        <v>11698.838332197191</v>
      </c>
      <c r="BZ24" s="44">
        <f>'Project Pop Settlements'!BZ24*Pop_Wilayat!CC$11</f>
        <v>11979.610452169924</v>
      </c>
      <c r="CA24" s="44">
        <f>'Project Pop Settlements'!CA24*Pop_Wilayat!CD$11</f>
        <v>12267.121103022002</v>
      </c>
      <c r="CB24" s="44">
        <f>'Project Pop Settlements'!CB24*Pop_Wilayat!CE$11</f>
        <v>12561.532009494533</v>
      </c>
    </row>
    <row r="25" spans="1:80" x14ac:dyDescent="0.25">
      <c r="A25" s="33">
        <v>24</v>
      </c>
      <c r="B25" s="36" t="s">
        <v>51</v>
      </c>
      <c r="C25" s="34">
        <f>'Project Pop Settlements'!C25*Pop_Wilayat!F$11</f>
        <v>43.543981901920894</v>
      </c>
      <c r="D25" s="34">
        <f>'Project Pop Settlements'!D25*Pop_Wilayat!G$11</f>
        <v>45.957634384325253</v>
      </c>
      <c r="E25" s="34">
        <f>'Project Pop Settlements'!E25*Pop_Wilayat!H$11</f>
        <v>49.551509235624067</v>
      </c>
      <c r="F25" s="34">
        <f>'Project Pop Settlements'!F25*Pop_Wilayat!I$11</f>
        <v>53.471364656893407</v>
      </c>
      <c r="G25" s="34">
        <f>'Project Pop Settlements'!G25*Pop_Wilayat!J$11</f>
        <v>57.549397274793222</v>
      </c>
      <c r="H25" s="34">
        <f>'Project Pop Settlements'!H25*Pop_Wilayat!K$11</f>
        <v>61.792495634734053</v>
      </c>
      <c r="I25" s="34">
        <f>'Project Pop Settlements'!I25*Pop_Wilayat!L$11</f>
        <v>66.204754502667313</v>
      </c>
      <c r="J25" s="34">
        <f>'Project Pop Settlements'!J25*Pop_Wilayat!M$11</f>
        <v>70.486503829663747</v>
      </c>
      <c r="K25" s="34">
        <f>'Project Pop Settlements'!K25*Pop_Wilayat!N$11</f>
        <v>75.224193247599075</v>
      </c>
      <c r="L25" s="34">
        <f>'Project Pop Settlements'!L25*Pop_Wilayat!O$11</f>
        <v>80.146494208417423</v>
      </c>
      <c r="M25" s="34">
        <f>'Project Pop Settlements'!M25*Pop_Wilayat!P$11</f>
        <v>84.199069445259795</v>
      </c>
      <c r="N25" s="34">
        <f>'Project Pop Settlements'!N25*Pop_Wilayat!Q$11</f>
        <v>90.587683994575698</v>
      </c>
      <c r="O25" s="34">
        <f>'Project Pop Settlements'!O25*Pop_Wilayat!R$11</f>
        <v>95.679275434891466</v>
      </c>
      <c r="P25" s="34">
        <f>'Project Pop Settlements'!P25*Pop_Wilayat!S$11</f>
        <v>98.151061374670704</v>
      </c>
      <c r="Q25" s="34">
        <f>'Project Pop Settlements'!Q25*Pop_Wilayat!T$11</f>
        <v>100.72032396420718</v>
      </c>
      <c r="R25" s="34">
        <f>'Project Pop Settlements'!R25*Pop_Wilayat!U$11</f>
        <v>103.37993076571379</v>
      </c>
      <c r="S25" s="34">
        <f>'Project Pop Settlements'!S25*Pop_Wilayat!V$11</f>
        <v>106.15365657181424</v>
      </c>
      <c r="T25" s="34">
        <f>'Project Pop Settlements'!T25*Pop_Wilayat!W$11</f>
        <v>108.46258518212102</v>
      </c>
      <c r="U25" s="34">
        <f>'Project Pop Settlements'!U25*Pop_Wilayat!X$11</f>
        <v>110.53167062121929</v>
      </c>
      <c r="V25" s="34">
        <f>'Project Pop Settlements'!V25*Pop_Wilayat!Y$11</f>
        <v>112.69521840410164</v>
      </c>
      <c r="W25" s="34">
        <f>'Project Pop Settlements'!W25*Pop_Wilayat!Z$11</f>
        <v>114.92611950129911</v>
      </c>
      <c r="X25" s="34">
        <f>'Project Pop Settlements'!X25*Pop_Wilayat!AA$11</f>
        <v>117.22900906115382</v>
      </c>
      <c r="Y25" s="34">
        <f>'Project Pop Settlements'!Y25*Pop_Wilayat!AB$11</f>
        <v>119.60852223207449</v>
      </c>
      <c r="Z25" s="34">
        <f>'Project Pop Settlements'!Z25*Pop_Wilayat!AC$11</f>
        <v>122.06929416606954</v>
      </c>
      <c r="AA25" s="34">
        <f>'Project Pop Settlements'!AA25*Pop_Wilayat!AD$11</f>
        <v>124.61596000904549</v>
      </c>
      <c r="AB25" s="34">
        <f>'Project Pop Settlements'!AB25*Pop_Wilayat!AE$11</f>
        <v>127.25315491696838</v>
      </c>
      <c r="AC25" s="34">
        <f>'Project Pop Settlements'!AC25*Pop_Wilayat!AF$11</f>
        <v>129.98551403225946</v>
      </c>
      <c r="AD25" s="34">
        <f>'Project Pop Settlements'!AD25*Pop_Wilayat!AG$11</f>
        <v>132.81767251321068</v>
      </c>
      <c r="AE25" s="44">
        <f>'Project Pop Settlements'!AE25*Pop_Wilayat!AH$11</f>
        <v>137.44827640925388</v>
      </c>
      <c r="AF25" s="44">
        <f>'Project Pop Settlements'!AF25*Pop_Wilayat!AI$11</f>
        <v>142.26038725191333</v>
      </c>
      <c r="AG25" s="44">
        <f>'Project Pop Settlements'!AG25*Pop_Wilayat!AJ$11</f>
        <v>147.26227248619</v>
      </c>
      <c r="AH25" s="44">
        <f>'Project Pop Settlements'!AH25*Pop_Wilayat!AK$11</f>
        <v>152.46260727884612</v>
      </c>
      <c r="AI25" s="44">
        <f>'Project Pop Settlements'!AI25*Pop_Wilayat!AL$11</f>
        <v>157.87049643319165</v>
      </c>
      <c r="AJ25" s="44">
        <f>'Project Pop Settlements'!AJ25*Pop_Wilayat!AM$11</f>
        <v>163.49549755649906</v>
      </c>
      <c r="AK25" s="44">
        <f>'Project Pop Settlements'!AK25*Pop_Wilayat!AN$11</f>
        <v>169.34764555612935</v>
      </c>
      <c r="AL25" s="44">
        <f>'Project Pop Settlements'!AL25*Pop_Wilayat!AO$11</f>
        <v>175.40523030291871</v>
      </c>
      <c r="AM25" s="44">
        <f>'Project Pop Settlements'!AM25*Pop_Wilayat!AP$11</f>
        <v>181.65603487371365</v>
      </c>
      <c r="AN25" s="44">
        <f>'Project Pop Settlements'!AN25*Pop_Wilayat!AQ$11</f>
        <v>188.10584465125226</v>
      </c>
      <c r="AO25" s="44">
        <f>'Project Pop Settlements'!AO25*Pop_Wilayat!AR$11</f>
        <v>194.76061142202545</v>
      </c>
      <c r="AP25" s="44">
        <f>'Project Pop Settlements'!AP25*Pop_Wilayat!AS$11</f>
        <v>201.62645803127666</v>
      </c>
      <c r="AQ25" s="44">
        <f>'Project Pop Settlements'!AQ25*Pop_Wilayat!AT$11</f>
        <v>208.70968316559279</v>
      </c>
      <c r="AR25" s="44">
        <f>'Project Pop Settlements'!AR25*Pop_Wilayat!AU$11</f>
        <v>216.01676626653011</v>
      </c>
      <c r="AS25" s="44">
        <f>'Project Pop Settlements'!AS25*Pop_Wilayat!AV$11</f>
        <v>223.55437257880905</v>
      </c>
      <c r="AT25" s="44">
        <f>'Project Pop Settlements'!AT25*Pop_Wilayat!AW$11</f>
        <v>231.32935833670786</v>
      </c>
      <c r="AU25" s="44">
        <f>'Project Pop Settlements'!AU25*Pop_Wilayat!AX$11</f>
        <v>239.34877609238038</v>
      </c>
      <c r="AV25" s="44">
        <f>'Project Pop Settlements'!AV25*Pop_Wilayat!AY$11</f>
        <v>247.61988018992326</v>
      </c>
      <c r="AW25" s="44">
        <f>'Project Pop Settlements'!AW25*Pop_Wilayat!AZ$11</f>
        <v>256.15013238911899</v>
      </c>
      <c r="AX25" s="44">
        <f>'Project Pop Settlements'!AX25*Pop_Wilayat!BA$11</f>
        <v>264.94720764288672</v>
      </c>
      <c r="AY25" s="44">
        <f>'Project Pop Settlements'!AY25*Pop_Wilayat!BB$11</f>
        <v>271.30594062631599</v>
      </c>
      <c r="AZ25" s="44">
        <f>'Project Pop Settlements'!AZ25*Pop_Wilayat!BC$11</f>
        <v>277.81728320134755</v>
      </c>
      <c r="BA25" s="44">
        <f>'Project Pop Settlements'!BA25*Pop_Wilayat!BD$11</f>
        <v>284.48489799817992</v>
      </c>
      <c r="BB25" s="44">
        <f>'Project Pop Settlements'!BB25*Pop_Wilayat!BE$11</f>
        <v>291.31253555013626</v>
      </c>
      <c r="BC25" s="44">
        <f>'Project Pop Settlements'!BC25*Pop_Wilayat!BF$11</f>
        <v>298.30403640333952</v>
      </c>
      <c r="BD25" s="44">
        <f>'Project Pop Settlements'!BD25*Pop_Wilayat!BG$11</f>
        <v>305.46333327701967</v>
      </c>
      <c r="BE25" s="44">
        <f>'Project Pop Settlements'!BE25*Pop_Wilayat!BH$11</f>
        <v>312.79445327566816</v>
      </c>
      <c r="BF25" s="44">
        <f>'Project Pop Settlements'!BF25*Pop_Wilayat!BI$11</f>
        <v>320.30152015428422</v>
      </c>
      <c r="BG25" s="44">
        <f>'Project Pop Settlements'!BG25*Pop_Wilayat!BJ$11</f>
        <v>327.98875663798702</v>
      </c>
      <c r="BH25" s="44">
        <f>'Project Pop Settlements'!BH25*Pop_Wilayat!BK$11</f>
        <v>335.86048679729873</v>
      </c>
      <c r="BI25" s="44">
        <f>'Project Pop Settlements'!BI25*Pop_Wilayat!BL$11</f>
        <v>343.92113848043391</v>
      </c>
      <c r="BJ25" s="44">
        <f>'Project Pop Settlements'!BJ25*Pop_Wilayat!BM$11</f>
        <v>352.17524580396434</v>
      </c>
      <c r="BK25" s="44">
        <f>'Project Pop Settlements'!BK25*Pop_Wilayat!BN$11</f>
        <v>360.62745170325951</v>
      </c>
      <c r="BL25" s="44">
        <f>'Project Pop Settlements'!BL25*Pop_Wilayat!BO$11</f>
        <v>369.28251054413772</v>
      </c>
      <c r="BM25" s="44">
        <f>'Project Pop Settlements'!BM25*Pop_Wilayat!BP$11</f>
        <v>378.14529079719705</v>
      </c>
      <c r="BN25" s="44">
        <f>'Project Pop Settlements'!BN25*Pop_Wilayat!BQ$11</f>
        <v>387.22077777632984</v>
      </c>
      <c r="BO25" s="44">
        <f>'Project Pop Settlements'!BO25*Pop_Wilayat!BR$11</f>
        <v>396.51407644296177</v>
      </c>
      <c r="BP25" s="44">
        <f>'Project Pop Settlements'!BP25*Pop_Wilayat!BS$11</f>
        <v>406.03041427759285</v>
      </c>
      <c r="BQ25" s="44">
        <f>'Project Pop Settlements'!BQ25*Pop_Wilayat!BT$11</f>
        <v>415.77514422025507</v>
      </c>
      <c r="BR25" s="44">
        <f>'Project Pop Settlements'!BR25*Pop_Wilayat!BU$11</f>
        <v>425.7537476815412</v>
      </c>
      <c r="BS25" s="44">
        <f>'Project Pop Settlements'!BS25*Pop_Wilayat!BV$11</f>
        <v>435.97183762589822</v>
      </c>
      <c r="BT25" s="44">
        <f>'Project Pop Settlements'!BT25*Pop_Wilayat!BW$11</f>
        <v>446.43516172891981</v>
      </c>
      <c r="BU25" s="44">
        <f>'Project Pop Settlements'!BU25*Pop_Wilayat!BX$11</f>
        <v>457.14960561041391</v>
      </c>
      <c r="BV25" s="44">
        <f>'Project Pop Settlements'!BV25*Pop_Wilayat!BY$11</f>
        <v>468.12119614506383</v>
      </c>
      <c r="BW25" s="44">
        <f>'Project Pop Settlements'!BW25*Pop_Wilayat!BZ$11</f>
        <v>479.3561048525454</v>
      </c>
      <c r="BX25" s="44">
        <f>'Project Pop Settlements'!BX25*Pop_Wilayat!CA$11</f>
        <v>490.86065136900652</v>
      </c>
      <c r="BY25" s="44">
        <f>'Project Pop Settlements'!BY25*Pop_Wilayat!CB$11</f>
        <v>502.64130700186269</v>
      </c>
      <c r="BZ25" s="44">
        <f>'Project Pop Settlements'!BZ25*Pop_Wilayat!CC$11</f>
        <v>514.70469836990742</v>
      </c>
      <c r="CA25" s="44">
        <f>'Project Pop Settlements'!CA25*Pop_Wilayat!CD$11</f>
        <v>527.05761113078518</v>
      </c>
      <c r="CB25" s="44">
        <f>'Project Pop Settlements'!CB25*Pop_Wilayat!CE$11</f>
        <v>539.70699379792404</v>
      </c>
    </row>
    <row r="26" spans="1:80" x14ac:dyDescent="0.25">
      <c r="A26" s="33">
        <v>25</v>
      </c>
      <c r="B26" s="36" t="s">
        <v>42</v>
      </c>
      <c r="C26" s="34">
        <f>'Project Pop Settlements'!C26*Pop_Wilayat!F$11</f>
        <v>24.882275372526227</v>
      </c>
      <c r="D26" s="34">
        <f>'Project Pop Settlements'!D26*Pop_Wilayat!G$11</f>
        <v>26.261505362471574</v>
      </c>
      <c r="E26" s="34">
        <f>'Project Pop Settlements'!E26*Pop_Wilayat!H$11</f>
        <v>28.315148134642321</v>
      </c>
      <c r="F26" s="34">
        <f>'Project Pop Settlements'!F26*Pop_Wilayat!I$11</f>
        <v>30.555065518224804</v>
      </c>
      <c r="G26" s="34">
        <f>'Project Pop Settlements'!G26*Pop_Wilayat!J$11</f>
        <v>32.885369871310409</v>
      </c>
      <c r="H26" s="34">
        <f>'Project Pop Settlements'!H26*Pop_Wilayat!K$11</f>
        <v>35.309997505562315</v>
      </c>
      <c r="I26" s="34">
        <f>'Project Pop Settlements'!I26*Pop_Wilayat!L$11</f>
        <v>37.831288287238472</v>
      </c>
      <c r="J26" s="34">
        <f>'Project Pop Settlements'!J26*Pop_Wilayat!M$11</f>
        <v>40.278002188379283</v>
      </c>
      <c r="K26" s="34">
        <f>'Project Pop Settlements'!K26*Pop_Wilayat!N$11</f>
        <v>42.985253284342328</v>
      </c>
      <c r="L26" s="34">
        <f>'Project Pop Settlements'!L26*Pop_Wilayat!O$11</f>
        <v>45.797996690524236</v>
      </c>
      <c r="M26" s="34">
        <f>'Project Pop Settlements'!M26*Pop_Wilayat!P$11</f>
        <v>48.113753968719884</v>
      </c>
      <c r="N26" s="34">
        <f>'Project Pop Settlements'!N26*Pop_Wilayat!Q$11</f>
        <v>51.764390854043256</v>
      </c>
      <c r="O26" s="34">
        <f>'Project Pop Settlements'!O26*Pop_Wilayat!R$11</f>
        <v>54.673871677080832</v>
      </c>
      <c r="P26" s="34">
        <f>'Project Pop Settlements'!P26*Pop_Wilayat!S$11</f>
        <v>56.086320785526112</v>
      </c>
      <c r="Q26" s="34">
        <f>'Project Pop Settlements'!Q26*Pop_Wilayat!T$11</f>
        <v>57.554470836689816</v>
      </c>
      <c r="R26" s="34">
        <f>'Project Pop Settlements'!R26*Pop_Wilayat!U$11</f>
        <v>59.074246151836455</v>
      </c>
      <c r="S26" s="34">
        <f>'Project Pop Settlements'!S26*Pop_Wilayat!V$11</f>
        <v>60.659232326751003</v>
      </c>
      <c r="T26" s="34">
        <f>'Project Pop Settlements'!T26*Pop_Wilayat!W$11</f>
        <v>61.978620104069151</v>
      </c>
      <c r="U26" s="34">
        <f>'Project Pop Settlements'!U26*Pop_Wilayat!X$11</f>
        <v>63.16095464069673</v>
      </c>
      <c r="V26" s="34">
        <f>'Project Pop Settlements'!V26*Pop_Wilayat!Y$11</f>
        <v>64.397267659486644</v>
      </c>
      <c r="W26" s="34">
        <f>'Project Pop Settlements'!W26*Pop_Wilayat!Z$11</f>
        <v>65.672068286456636</v>
      </c>
      <c r="X26" s="34">
        <f>'Project Pop Settlements'!X26*Pop_Wilayat!AA$11</f>
        <v>66.988005177802179</v>
      </c>
      <c r="Y26" s="34">
        <f>'Project Pop Settlements'!Y26*Pop_Wilayat!AB$11</f>
        <v>68.347726989756836</v>
      </c>
      <c r="Z26" s="34">
        <f>'Project Pop Settlements'!Z26*Pop_Wilayat!AC$11</f>
        <v>69.753882380611159</v>
      </c>
      <c r="AA26" s="34">
        <f>'Project Pop Settlements'!AA26*Pop_Wilayat!AD$11</f>
        <v>71.209120005168856</v>
      </c>
      <c r="AB26" s="34">
        <f>'Project Pop Settlements'!AB26*Pop_Wilayat!AE$11</f>
        <v>72.716088523981924</v>
      </c>
      <c r="AC26" s="34">
        <f>'Project Pop Settlements'!AC26*Pop_Wilayat!AF$11</f>
        <v>74.277436589862532</v>
      </c>
      <c r="AD26" s="34">
        <f>'Project Pop Settlements'!AD26*Pop_Wilayat!AG$11</f>
        <v>75.895812864691806</v>
      </c>
      <c r="AE26" s="44">
        <f>'Project Pop Settlements'!AE26*Pop_Wilayat!AH$11</f>
        <v>78.541872233859351</v>
      </c>
      <c r="AF26" s="44">
        <f>'Project Pop Settlements'!AF26*Pop_Wilayat!AI$11</f>
        <v>81.291649858236184</v>
      </c>
      <c r="AG26" s="44">
        <f>'Project Pop Settlements'!AG26*Pop_Wilayat!AJ$11</f>
        <v>84.149869992108563</v>
      </c>
      <c r="AH26" s="44">
        <f>'Project Pop Settlements'!AH26*Pop_Wilayat!AK$11</f>
        <v>87.121489873626359</v>
      </c>
      <c r="AI26" s="44">
        <f>'Project Pop Settlements'!AI26*Pop_Wilayat!AL$11</f>
        <v>90.211712247538074</v>
      </c>
      <c r="AJ26" s="44">
        <f>'Project Pop Settlements'!AJ26*Pop_Wilayat!AM$11</f>
        <v>93.425998603713737</v>
      </c>
      <c r="AK26" s="44">
        <f>'Project Pop Settlements'!AK26*Pop_Wilayat!AN$11</f>
        <v>96.770083174931045</v>
      </c>
      <c r="AL26" s="44">
        <f>'Project Pop Settlements'!AL26*Pop_Wilayat!AO$11</f>
        <v>100.2315601730964</v>
      </c>
      <c r="AM26" s="44">
        <f>'Project Pop Settlements'!AM26*Pop_Wilayat!AP$11</f>
        <v>103.80344849926493</v>
      </c>
      <c r="AN26" s="44">
        <f>'Project Pop Settlements'!AN26*Pop_Wilayat!AQ$11</f>
        <v>107.48905408642986</v>
      </c>
      <c r="AO26" s="44">
        <f>'Project Pop Settlements'!AO26*Pop_Wilayat!AR$11</f>
        <v>111.29177795544311</v>
      </c>
      <c r="AP26" s="44">
        <f>'Project Pop Settlements'!AP26*Pop_Wilayat!AS$11</f>
        <v>115.21511887501522</v>
      </c>
      <c r="AQ26" s="44">
        <f>'Project Pop Settlements'!AQ26*Pop_Wilayat!AT$11</f>
        <v>119.26267609462447</v>
      </c>
      <c r="AR26" s="44">
        <f>'Project Pop Settlements'!AR26*Pop_Wilayat!AU$11</f>
        <v>123.43815215230293</v>
      </c>
      <c r="AS26" s="44">
        <f>'Project Pop Settlements'!AS26*Pop_Wilayat!AV$11</f>
        <v>127.74535575931947</v>
      </c>
      <c r="AT26" s="44">
        <f>'Project Pop Settlements'!AT26*Pop_Wilayat!AW$11</f>
        <v>132.18820476383306</v>
      </c>
      <c r="AU26" s="44">
        <f>'Project Pop Settlements'!AU26*Pop_Wilayat!AX$11</f>
        <v>136.77072919564597</v>
      </c>
      <c r="AV26" s="44">
        <f>'Project Pop Settlements'!AV26*Pop_Wilayat!AY$11</f>
        <v>141.49707439424191</v>
      </c>
      <c r="AW26" s="44">
        <f>'Project Pop Settlements'!AW26*Pop_Wilayat!AZ$11</f>
        <v>146.37150422235374</v>
      </c>
      <c r="AX26" s="44">
        <f>'Project Pop Settlements'!AX26*Pop_Wilayat!BA$11</f>
        <v>151.39840436736387</v>
      </c>
      <c r="AY26" s="44">
        <f>'Project Pop Settlements'!AY26*Pop_Wilayat!BB$11</f>
        <v>155.03196607218061</v>
      </c>
      <c r="AZ26" s="44">
        <f>'Project Pop Settlements'!AZ26*Pop_Wilayat!BC$11</f>
        <v>158.75273325791295</v>
      </c>
      <c r="BA26" s="44">
        <f>'Project Pop Settlements'!BA26*Pop_Wilayat!BD$11</f>
        <v>162.56279885610286</v>
      </c>
      <c r="BB26" s="44">
        <f>'Project Pop Settlements'!BB26*Pop_Wilayat!BE$11</f>
        <v>166.46430602864933</v>
      </c>
      <c r="BC26" s="44">
        <f>'Project Pop Settlements'!BC26*Pop_Wilayat!BF$11</f>
        <v>170.45944937333692</v>
      </c>
      <c r="BD26" s="44">
        <f>'Project Pop Settlements'!BD26*Pop_Wilayat!BG$11</f>
        <v>174.55047615829702</v>
      </c>
      <c r="BE26" s="44">
        <f>'Project Pop Settlements'!BE26*Pop_Wilayat!BH$11</f>
        <v>178.73968758609615</v>
      </c>
      <c r="BF26" s="44">
        <f>'Project Pop Settlements'!BF26*Pop_Wilayat!BI$11</f>
        <v>183.02944008816246</v>
      </c>
      <c r="BG26" s="44">
        <f>'Project Pop Settlements'!BG26*Pop_Wilayat!BJ$11</f>
        <v>187.42214665027836</v>
      </c>
      <c r="BH26" s="44">
        <f>'Project Pop Settlements'!BH26*Pop_Wilayat!BK$11</f>
        <v>191.92027816988505</v>
      </c>
      <c r="BI26" s="44">
        <f>'Project Pop Settlements'!BI26*Pop_Wilayat!BL$11</f>
        <v>196.52636484596232</v>
      </c>
      <c r="BJ26" s="44">
        <f>'Project Pop Settlements'!BJ26*Pop_Wilayat!BM$11</f>
        <v>201.2429976022654</v>
      </c>
      <c r="BK26" s="44">
        <f>'Project Pop Settlements'!BK26*Pop_Wilayat!BN$11</f>
        <v>206.07282954471978</v>
      </c>
      <c r="BL26" s="44">
        <f>'Project Pop Settlements'!BL26*Pop_Wilayat!BO$11</f>
        <v>211.01857745379306</v>
      </c>
      <c r="BM26" s="44">
        <f>'Project Pop Settlements'!BM26*Pop_Wilayat!BP$11</f>
        <v>216.08302331268411</v>
      </c>
      <c r="BN26" s="44">
        <f>'Project Pop Settlements'!BN26*Pop_Wilayat!BQ$11</f>
        <v>221.26901587218853</v>
      </c>
      <c r="BO26" s="44">
        <f>'Project Pop Settlements'!BO26*Pop_Wilayat!BR$11</f>
        <v>226.57947225312105</v>
      </c>
      <c r="BP26" s="44">
        <f>'Project Pop Settlements'!BP26*Pop_Wilayat!BS$11</f>
        <v>232.01737958719596</v>
      </c>
      <c r="BQ26" s="44">
        <f>'Project Pop Settlements'!BQ26*Pop_Wilayat!BT$11</f>
        <v>237.58579669728866</v>
      </c>
      <c r="BR26" s="44">
        <f>'Project Pop Settlements'!BR26*Pop_Wilayat!BU$11</f>
        <v>243.28785581802359</v>
      </c>
      <c r="BS26" s="44">
        <f>'Project Pop Settlements'!BS26*Pop_Wilayat!BV$11</f>
        <v>249.12676435765616</v>
      </c>
      <c r="BT26" s="44">
        <f>'Project Pop Settlements'!BT26*Pop_Wilayat!BW$11</f>
        <v>255.1058067022399</v>
      </c>
      <c r="BU26" s="44">
        <f>'Project Pop Settlements'!BU26*Pop_Wilayat!BX$11</f>
        <v>261.22834606309368</v>
      </c>
      <c r="BV26" s="44">
        <f>'Project Pop Settlements'!BV26*Pop_Wilayat!BY$11</f>
        <v>267.49782636860795</v>
      </c>
      <c r="BW26" s="44">
        <f>'Project Pop Settlements'!BW26*Pop_Wilayat!BZ$11</f>
        <v>273.91777420145456</v>
      </c>
      <c r="BX26" s="44">
        <f>'Project Pop Settlements'!BX26*Pop_Wilayat!CA$11</f>
        <v>280.49180078228949</v>
      </c>
      <c r="BY26" s="44">
        <f>'Project Pop Settlements'!BY26*Pop_Wilayat!CB$11</f>
        <v>287.22360400106442</v>
      </c>
      <c r="BZ26" s="44">
        <f>'Project Pop Settlements'!BZ26*Pop_Wilayat!CC$11</f>
        <v>294.11697049708999</v>
      </c>
      <c r="CA26" s="44">
        <f>'Project Pop Settlements'!CA26*Pop_Wilayat!CD$11</f>
        <v>301.17577778902017</v>
      </c>
      <c r="CB26" s="44">
        <f>'Project Pop Settlements'!CB26*Pop_Wilayat!CE$11</f>
        <v>308.40399645595664</v>
      </c>
    </row>
    <row r="27" spans="1:80" ht="37.5" customHeight="1" x14ac:dyDescent="0.25">
      <c r="A27" s="282" t="s">
        <v>861</v>
      </c>
      <c r="B27" s="282"/>
      <c r="C27" s="281">
        <f>SUM(C2:C26)</f>
        <v>55771.706226335031</v>
      </c>
      <c r="D27" s="281">
        <f t="shared" ref="D27:BO27" si="0">SUM(D2:D26)</f>
        <v>58863.144154182934</v>
      </c>
      <c r="E27" s="281">
        <f t="shared" si="0"/>
        <v>63466.226455482734</v>
      </c>
      <c r="F27" s="281">
        <f t="shared" si="0"/>
        <v>68486.828969445676</v>
      </c>
      <c r="G27" s="281">
        <f t="shared" si="0"/>
        <v>73710.026922706049</v>
      </c>
      <c r="H27" s="281">
        <f t="shared" si="0"/>
        <v>79144.643255063638</v>
      </c>
      <c r="I27" s="281">
        <f t="shared" si="0"/>
        <v>84795.922596746022</v>
      </c>
      <c r="J27" s="281">
        <f t="shared" si="0"/>
        <v>90280.043597391545</v>
      </c>
      <c r="K27" s="281">
        <f t="shared" si="0"/>
        <v>96348.138678908392</v>
      </c>
      <c r="L27" s="281">
        <f t="shared" si="0"/>
        <v>102652.68665898775</v>
      </c>
      <c r="M27" s="281">
        <f t="shared" si="0"/>
        <v>107843.27846288805</v>
      </c>
      <c r="N27" s="281">
        <f t="shared" si="0"/>
        <v>116025.90022311844</v>
      </c>
      <c r="O27" s="281">
        <f t="shared" si="0"/>
        <v>122547.27768174002</v>
      </c>
      <c r="P27" s="281">
        <f t="shared" si="0"/>
        <v>125713.1737083887</v>
      </c>
      <c r="Q27" s="281">
        <f t="shared" si="0"/>
        <v>129003.91911345281</v>
      </c>
      <c r="R27" s="281">
        <f t="shared" si="0"/>
        <v>132410.3785765605</v>
      </c>
      <c r="S27" s="281">
        <f t="shared" si="0"/>
        <v>135963.00316561799</v>
      </c>
      <c r="T27" s="281">
        <f t="shared" si="0"/>
        <v>138920.30937710914</v>
      </c>
      <c r="U27" s="281">
        <f t="shared" si="0"/>
        <v>141570.42129214937</v>
      </c>
      <c r="V27" s="281">
        <f t="shared" si="0"/>
        <v>144341.52182276556</v>
      </c>
      <c r="W27" s="281">
        <f t="shared" si="0"/>
        <v>147198.88936653204</v>
      </c>
      <c r="X27" s="281">
        <f t="shared" si="0"/>
        <v>150148.46068256834</v>
      </c>
      <c r="Y27" s="281">
        <f t="shared" si="0"/>
        <v>153196.17253007926</v>
      </c>
      <c r="Z27" s="281">
        <f t="shared" si="0"/>
        <v>156347.9616728799</v>
      </c>
      <c r="AA27" s="281">
        <f t="shared" si="0"/>
        <v>159609.76486697022</v>
      </c>
      <c r="AB27" s="281">
        <f t="shared" si="0"/>
        <v>162987.51888123443</v>
      </c>
      <c r="AC27" s="281">
        <f t="shared" si="0"/>
        <v>166487.16046720842</v>
      </c>
      <c r="AD27" s="281">
        <f t="shared" si="0"/>
        <v>170114.62639675557</v>
      </c>
      <c r="AE27" s="281">
        <f t="shared" si="0"/>
        <v>176045.56492971623</v>
      </c>
      <c r="AF27" s="281">
        <f t="shared" si="0"/>
        <v>182208.97995340117</v>
      </c>
      <c r="AG27" s="281">
        <f t="shared" si="0"/>
        <v>188615.46052038888</v>
      </c>
      <c r="AH27" s="281">
        <f t="shared" si="0"/>
        <v>195276.11789866621</v>
      </c>
      <c r="AI27" s="281">
        <f t="shared" si="0"/>
        <v>202202.61364037605</v>
      </c>
      <c r="AJ27" s="281">
        <f t="shared" si="0"/>
        <v>209407.18925494715</v>
      </c>
      <c r="AK27" s="281">
        <f t="shared" si="0"/>
        <v>216902.69758405606</v>
      </c>
      <c r="AL27" s="281">
        <f t="shared" si="0"/>
        <v>224661.33200798233</v>
      </c>
      <c r="AM27" s="281">
        <f t="shared" si="0"/>
        <v>232667.44493044852</v>
      </c>
      <c r="AN27" s="281">
        <f t="shared" si="0"/>
        <v>240928.44634595665</v>
      </c>
      <c r="AO27" s="281">
        <f t="shared" si="0"/>
        <v>249451.95938112916</v>
      </c>
      <c r="AP27" s="281">
        <f t="shared" si="0"/>
        <v>258245.82625689465</v>
      </c>
      <c r="AQ27" s="281">
        <f t="shared" si="0"/>
        <v>267318.11441409332</v>
      </c>
      <c r="AR27" s="281">
        <f t="shared" si="0"/>
        <v>276677.12280691369</v>
      </c>
      <c r="AS27" s="281">
        <f t="shared" si="0"/>
        <v>286331.38836868684</v>
      </c>
      <c r="AT27" s="281">
        <f t="shared" si="0"/>
        <v>296289.69265468838</v>
      </c>
      <c r="AU27" s="281">
        <f t="shared" si="0"/>
        <v>306561.06866671762</v>
      </c>
      <c r="AV27" s="281">
        <f t="shared" si="0"/>
        <v>317154.8078643551</v>
      </c>
      <c r="AW27" s="281">
        <f t="shared" si="0"/>
        <v>328080.46736792696</v>
      </c>
      <c r="AX27" s="281">
        <f t="shared" si="0"/>
        <v>339347.87735834077</v>
      </c>
      <c r="AY27" s="281">
        <f t="shared" si="0"/>
        <v>347492.22641494096</v>
      </c>
      <c r="AZ27" s="281">
        <f t="shared" si="0"/>
        <v>355832.03984889947</v>
      </c>
      <c r="BA27" s="281">
        <f t="shared" si="0"/>
        <v>364372.00880527328</v>
      </c>
      <c r="BB27" s="281">
        <f t="shared" si="0"/>
        <v>373116.93701659981</v>
      </c>
      <c r="BC27" s="281">
        <f t="shared" si="0"/>
        <v>382071.74350499816</v>
      </c>
      <c r="BD27" s="281">
        <f t="shared" si="0"/>
        <v>391241.46534911811</v>
      </c>
      <c r="BE27" s="281">
        <f t="shared" si="0"/>
        <v>400631.26051749691</v>
      </c>
      <c r="BF27" s="281">
        <f t="shared" si="0"/>
        <v>410246.41076991684</v>
      </c>
      <c r="BG27" s="281">
        <f t="shared" si="0"/>
        <v>420092.32462839485</v>
      </c>
      <c r="BH27" s="281">
        <f t="shared" si="0"/>
        <v>430174.54041947634</v>
      </c>
      <c r="BI27" s="281">
        <f t="shared" si="0"/>
        <v>440498.72938954382</v>
      </c>
      <c r="BJ27" s="281">
        <f t="shared" si="0"/>
        <v>451070.69889489282</v>
      </c>
      <c r="BK27" s="281">
        <f t="shared" si="0"/>
        <v>461896.39566837024</v>
      </c>
      <c r="BL27" s="281">
        <f t="shared" si="0"/>
        <v>472981.90916441119</v>
      </c>
      <c r="BM27" s="281">
        <f t="shared" si="0"/>
        <v>484333.47498435708</v>
      </c>
      <c r="BN27" s="281">
        <f t="shared" si="0"/>
        <v>495957.47838398168</v>
      </c>
      <c r="BO27" s="281">
        <f t="shared" si="0"/>
        <v>507860.45786519715</v>
      </c>
      <c r="BP27" s="281">
        <f t="shared" ref="BP27:CB27" si="1">SUM(BP2:BP26)</f>
        <v>520049.10885396186</v>
      </c>
      <c r="BQ27" s="281">
        <f t="shared" si="1"/>
        <v>532530.287466457</v>
      </c>
      <c r="BR27" s="281">
        <f t="shared" si="1"/>
        <v>545311.01436565188</v>
      </c>
      <c r="BS27" s="281">
        <f t="shared" si="1"/>
        <v>558398.47871042776</v>
      </c>
      <c r="BT27" s="281">
        <f t="shared" si="1"/>
        <v>571800.04219947802</v>
      </c>
      <c r="BU27" s="281">
        <f t="shared" si="1"/>
        <v>585523.24321226543</v>
      </c>
      <c r="BV27" s="281">
        <f t="shared" si="1"/>
        <v>599575.80104935984</v>
      </c>
      <c r="BW27" s="281">
        <f t="shared" si="1"/>
        <v>613965.62027454458</v>
      </c>
      <c r="BX27" s="281">
        <f t="shared" si="1"/>
        <v>628700.79516113352</v>
      </c>
      <c r="BY27" s="281">
        <f t="shared" si="1"/>
        <v>643789.61424500076</v>
      </c>
      <c r="BZ27" s="281">
        <f t="shared" si="1"/>
        <v>659240.56498688075</v>
      </c>
      <c r="CA27" s="281">
        <f t="shared" si="1"/>
        <v>675062.33854656585</v>
      </c>
      <c r="CB27" s="281">
        <f t="shared" si="1"/>
        <v>691263.83467168349</v>
      </c>
    </row>
    <row r="28" spans="1:80" x14ac:dyDescent="0.25">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row>
    <row r="29" spans="1:80" x14ac:dyDescent="0.25">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row>
    <row r="30" spans="1:80" x14ac:dyDescent="0.25">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row>
    <row r="31" spans="1:80" x14ac:dyDescent="0.25">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row>
    <row r="32" spans="1:80" x14ac:dyDescent="0.25">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row>
    <row r="33" spans="3:80" x14ac:dyDescent="0.25">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row>
    <row r="34" spans="3:80" x14ac:dyDescent="0.25">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row>
    <row r="35" spans="3:80" x14ac:dyDescent="0.25">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row>
    <row r="36" spans="3:80" x14ac:dyDescent="0.25">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row>
    <row r="37" spans="3:80" x14ac:dyDescent="0.25">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row>
    <row r="38" spans="3:80" x14ac:dyDescent="0.25">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row>
    <row r="39" spans="3:80" x14ac:dyDescent="0.25">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row>
    <row r="40" spans="3:80" x14ac:dyDescent="0.25">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row>
    <row r="41" spans="3:80" x14ac:dyDescent="0.25">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row>
    <row r="42" spans="3:80" x14ac:dyDescent="0.25">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c r="CB42" s="31"/>
    </row>
    <row r="43" spans="3:80" x14ac:dyDescent="0.25">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c r="CB43" s="31"/>
    </row>
    <row r="44" spans="3:80" x14ac:dyDescent="0.25">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c r="CB44" s="31"/>
    </row>
    <row r="45" spans="3:80" x14ac:dyDescent="0.25">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row>
    <row r="46" spans="3:80" x14ac:dyDescent="0.25">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c r="CA46" s="31"/>
      <c r="CB46" s="31"/>
    </row>
    <row r="47" spans="3:80" x14ac:dyDescent="0.25">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row>
    <row r="48" spans="3:80" x14ac:dyDescent="0.25">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row>
    <row r="49" spans="3:80" x14ac:dyDescent="0.25">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row>
    <row r="50" spans="3:80" x14ac:dyDescent="0.25">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c r="CB50" s="31"/>
    </row>
  </sheetData>
  <mergeCells count="1">
    <mergeCell ref="A27:B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34EDD-668D-4396-9214-245F34074580}">
  <sheetPr>
    <tabColor theme="9"/>
  </sheetPr>
  <dimension ref="A1:CA50"/>
  <sheetViews>
    <sheetView topLeftCell="P1" workbookViewId="0">
      <selection activeCell="AB14" sqref="AB14"/>
    </sheetView>
  </sheetViews>
  <sheetFormatPr defaultRowHeight="15" x14ac:dyDescent="0.25"/>
  <cols>
    <col min="1" max="1" width="9.140625" style="32"/>
    <col min="2" max="2" width="20.7109375" style="32" customWidth="1"/>
    <col min="3" max="16384" width="9.140625" style="32"/>
  </cols>
  <sheetData>
    <row r="1" spans="1:79" x14ac:dyDescent="0.25">
      <c r="A1" s="35" t="s">
        <v>59</v>
      </c>
      <c r="B1" s="35" t="s">
        <v>4</v>
      </c>
      <c r="C1" s="43" t="s">
        <v>784</v>
      </c>
      <c r="D1" s="43" t="s">
        <v>785</v>
      </c>
      <c r="E1" s="43" t="s">
        <v>786</v>
      </c>
      <c r="F1" s="43" t="s">
        <v>787</v>
      </c>
      <c r="G1" s="43" t="s">
        <v>788</v>
      </c>
      <c r="H1" s="43" t="s">
        <v>789</v>
      </c>
      <c r="I1" s="43" t="s">
        <v>790</v>
      </c>
      <c r="J1" s="43" t="s">
        <v>791</v>
      </c>
      <c r="K1" s="43" t="s">
        <v>792</v>
      </c>
      <c r="L1" s="43" t="s">
        <v>793</v>
      </c>
      <c r="M1" s="43" t="s">
        <v>794</v>
      </c>
      <c r="N1" s="43" t="s">
        <v>795</v>
      </c>
      <c r="O1" s="43" t="s">
        <v>796</v>
      </c>
      <c r="P1" s="43" t="s">
        <v>797</v>
      </c>
      <c r="Q1" s="43" t="s">
        <v>798</v>
      </c>
      <c r="R1" s="43" t="s">
        <v>799</v>
      </c>
      <c r="S1" s="43" t="s">
        <v>800</v>
      </c>
      <c r="T1" s="43" t="s">
        <v>801</v>
      </c>
      <c r="U1" s="43" t="s">
        <v>802</v>
      </c>
      <c r="V1" s="43" t="s">
        <v>803</v>
      </c>
      <c r="W1" s="43" t="s">
        <v>804</v>
      </c>
      <c r="X1" s="43" t="s">
        <v>805</v>
      </c>
      <c r="Y1" s="43" t="s">
        <v>806</v>
      </c>
      <c r="Z1" s="43" t="s">
        <v>807</v>
      </c>
      <c r="AA1" s="43" t="s">
        <v>808</v>
      </c>
      <c r="AB1" s="43" t="s">
        <v>809</v>
      </c>
      <c r="AC1" s="43" t="s">
        <v>810</v>
      </c>
      <c r="AD1" s="45" t="s">
        <v>811</v>
      </c>
      <c r="AE1" s="45" t="s">
        <v>812</v>
      </c>
      <c r="AF1" s="45" t="s">
        <v>813</v>
      </c>
      <c r="AG1" s="45" t="s">
        <v>814</v>
      </c>
      <c r="AH1" s="45" t="s">
        <v>815</v>
      </c>
      <c r="AI1" s="45" t="s">
        <v>816</v>
      </c>
      <c r="AJ1" s="45" t="s">
        <v>817</v>
      </c>
      <c r="AK1" s="45" t="s">
        <v>818</v>
      </c>
      <c r="AL1" s="45" t="s">
        <v>819</v>
      </c>
      <c r="AM1" s="45" t="s">
        <v>820</v>
      </c>
      <c r="AN1" s="45" t="s">
        <v>821</v>
      </c>
      <c r="AO1" s="45" t="s">
        <v>822</v>
      </c>
      <c r="AP1" s="45" t="s">
        <v>823</v>
      </c>
      <c r="AQ1" s="45" t="s">
        <v>824</v>
      </c>
      <c r="AR1" s="45" t="s">
        <v>825</v>
      </c>
      <c r="AS1" s="45" t="s">
        <v>826</v>
      </c>
      <c r="AT1" s="45" t="s">
        <v>827</v>
      </c>
      <c r="AU1" s="45" t="s">
        <v>828</v>
      </c>
      <c r="AV1" s="45" t="s">
        <v>829</v>
      </c>
      <c r="AW1" s="45" t="s">
        <v>830</v>
      </c>
      <c r="AX1" s="45" t="s">
        <v>831</v>
      </c>
      <c r="AY1" s="45" t="s">
        <v>832</v>
      </c>
      <c r="AZ1" s="45" t="s">
        <v>833</v>
      </c>
      <c r="BA1" s="45" t="s">
        <v>834</v>
      </c>
      <c r="BB1" s="45" t="s">
        <v>835</v>
      </c>
      <c r="BC1" s="45" t="s">
        <v>836</v>
      </c>
      <c r="BD1" s="45" t="s">
        <v>837</v>
      </c>
      <c r="BE1" s="45" t="s">
        <v>838</v>
      </c>
      <c r="BF1" s="45" t="s">
        <v>839</v>
      </c>
      <c r="BG1" s="45" t="s">
        <v>840</v>
      </c>
      <c r="BH1" s="45" t="s">
        <v>841</v>
      </c>
      <c r="BI1" s="45" t="s">
        <v>842</v>
      </c>
      <c r="BJ1" s="45" t="s">
        <v>843</v>
      </c>
      <c r="BK1" s="45" t="s">
        <v>844</v>
      </c>
      <c r="BL1" s="45" t="s">
        <v>845</v>
      </c>
      <c r="BM1" s="45" t="s">
        <v>846</v>
      </c>
      <c r="BN1" s="45" t="s">
        <v>847</v>
      </c>
      <c r="BO1" s="45" t="s">
        <v>848</v>
      </c>
      <c r="BP1" s="45" t="s">
        <v>849</v>
      </c>
      <c r="BQ1" s="45" t="s">
        <v>850</v>
      </c>
      <c r="BR1" s="45" t="s">
        <v>851</v>
      </c>
      <c r="BS1" s="45" t="s">
        <v>852</v>
      </c>
      <c r="BT1" s="45" t="s">
        <v>853</v>
      </c>
      <c r="BU1" s="45" t="s">
        <v>854</v>
      </c>
      <c r="BV1" s="45" t="s">
        <v>855</v>
      </c>
      <c r="BW1" s="45" t="s">
        <v>856</v>
      </c>
      <c r="BX1" s="45" t="s">
        <v>857</v>
      </c>
      <c r="BY1" s="45" t="s">
        <v>858</v>
      </c>
      <c r="BZ1" s="45" t="s">
        <v>859</v>
      </c>
      <c r="CA1" s="45" t="s">
        <v>860</v>
      </c>
    </row>
    <row r="2" spans="1:79" x14ac:dyDescent="0.25">
      <c r="A2" s="33">
        <v>1</v>
      </c>
      <c r="B2" s="36" t="s">
        <v>35</v>
      </c>
      <c r="C2" s="34">
        <f>IFERROR(VLOOKUP($B2,'Ibri Tankers'!$D$2:$AG$138,C$28,FALSE),0)</f>
        <v>254.79381000776357</v>
      </c>
      <c r="D2" s="34">
        <f>IFERROR(VLOOKUP($B2,'Ibri Tankers'!$D$2:$AG$138,D$28,FALSE),0)</f>
        <v>254.79381000776357</v>
      </c>
      <c r="E2" s="34">
        <f>IFERROR(VLOOKUP($B2,'Ibri Tankers'!$D$2:$AG$138,E$28,FALSE),0)</f>
        <v>254.79381000776357</v>
      </c>
      <c r="F2" s="34">
        <f>IFERROR(VLOOKUP($B2,'Ibri Tankers'!$D$2:$AG$138,F$28,FALSE),0)</f>
        <v>254.79381000776357</v>
      </c>
      <c r="G2" s="34">
        <f>IFERROR(VLOOKUP($B2,'Ibri Tankers'!$D$2:$AG$138,G$28,FALSE),0)</f>
        <v>254.79381000776357</v>
      </c>
      <c r="H2" s="34">
        <f>IFERROR(VLOOKUP($B2,'Ibri Tankers'!$D$2:$AG$138,H$28,FALSE),0)</f>
        <v>254.79381000776357</v>
      </c>
      <c r="I2" s="34">
        <f>IFERROR(VLOOKUP($B2,'Ibri Tankers'!$D$2:$AG$138,I$28,FALSE),0)</f>
        <v>254.79381000776357</v>
      </c>
      <c r="J2" s="34">
        <f>IFERROR(VLOOKUP($B2,'Ibri Tankers'!$D$2:$AG$138,J$28,FALSE),0)</f>
        <v>254.79381000776357</v>
      </c>
      <c r="K2" s="34">
        <f>IFERROR(VLOOKUP($B2,'Ibri Tankers'!$D$2:$AG$138,K$28,FALSE),0)</f>
        <v>254.79381000776357</v>
      </c>
      <c r="L2" s="34">
        <f>IFERROR(VLOOKUP($B2,'Ibri Tankers'!$D$2:$AG$138,L$28,FALSE),0)</f>
        <v>254.79381000776357</v>
      </c>
      <c r="M2" s="34">
        <f>IFERROR(VLOOKUP($B2,'Ibri Tankers'!$D$2:$AG$138,M$28,FALSE),0)</f>
        <v>254.79381000776357</v>
      </c>
      <c r="N2" s="34">
        <f>IFERROR(VLOOKUP($B2,'Ibri Tankers'!$D$2:$AG$138,N$28,FALSE),0)</f>
        <v>254.79381000776357</v>
      </c>
      <c r="O2" s="34">
        <f>IFERROR(VLOOKUP($B2,'Ibri Tankers'!$D$2:$AG$138,O$28,FALSE),0)</f>
        <v>254.79381000776357</v>
      </c>
      <c r="P2" s="34">
        <f>IFERROR(VLOOKUP($B2,'Ibri Tankers'!$D$2:$AG$138,P$28,FALSE),0)</f>
        <v>254.79381000776357</v>
      </c>
      <c r="Q2" s="34">
        <f>IFERROR(VLOOKUP($B2,'Ibri Tankers'!$D$2:$AG$138,Q$28,FALSE),0)</f>
        <v>254.79381000776357</v>
      </c>
      <c r="R2" s="34">
        <f>IFERROR(VLOOKUP($B2,'Ibri Tankers'!$D$2:$AG$138,R$28,FALSE),0)</f>
        <v>254.79381000776357</v>
      </c>
      <c r="S2" s="34">
        <f>IFERROR(VLOOKUP($B2,'Ibri Tankers'!$D$2:$AG$138,S$28,FALSE),0)</f>
        <v>254.79381000776357</v>
      </c>
      <c r="T2" s="34">
        <f>IFERROR(VLOOKUP($B2,'Ibri Tankers'!$D$2:$AG$138,T$28,FALSE),0)</f>
        <v>254.79381000776357</v>
      </c>
      <c r="U2" s="34">
        <f>IFERROR(VLOOKUP($B2,'Ibri Tankers'!$D$2:$AG$138,U$28,FALSE),0)</f>
        <v>254.79381000776357</v>
      </c>
      <c r="V2" s="34">
        <f>IFERROR(VLOOKUP($B2,'Ibri Tankers'!$D$2:$AG$138,V$28,FALSE),0)</f>
        <v>254.79381000776357</v>
      </c>
      <c r="W2" s="34">
        <f>IFERROR(VLOOKUP($B2,'Ibri Tankers'!$D$2:$AG$138,W$28,FALSE),0)</f>
        <v>254.79381000776357</v>
      </c>
      <c r="X2" s="34">
        <f>IFERROR(VLOOKUP($B2,'Ibri Tankers'!$D$2:$AG$138,X$28,FALSE),0)</f>
        <v>254.79381000776357</v>
      </c>
      <c r="Y2" s="34">
        <f>IFERROR(VLOOKUP($B2,'Ibri Tankers'!$D$2:$AG$138,Y$28,FALSE),0)</f>
        <v>254.79381000776357</v>
      </c>
      <c r="Z2" s="34">
        <f>IFERROR(VLOOKUP($B2,'Ibri Tankers'!$D$2:$AG$138,Z$28,FALSE),0)</f>
        <v>254.79381000776357</v>
      </c>
      <c r="AA2" s="34">
        <f>IFERROR(VLOOKUP($B2,'Ibri Tankers'!$D$2:$AG$138,AA$28,FALSE),0)</f>
        <v>254.79381000776357</v>
      </c>
      <c r="AB2" s="34">
        <f>IFERROR(VLOOKUP($B2,'Ibri Tankers'!$D$2:$AG$138,AB$28,FALSE),0)</f>
        <v>254.79381000776357</v>
      </c>
      <c r="AC2" s="34">
        <f>IFERROR(VLOOKUP($B2,'Ibri Tankers'!$D$2:$AG$138,AC$28,FALSE),0)</f>
        <v>254.79381000776357</v>
      </c>
      <c r="AD2" s="44">
        <f>AC2</f>
        <v>254.79381000776357</v>
      </c>
      <c r="AE2" s="44">
        <f t="shared" ref="AE2:CA2" si="0">AD2</f>
        <v>254.79381000776357</v>
      </c>
      <c r="AF2" s="44">
        <f t="shared" si="0"/>
        <v>254.79381000776357</v>
      </c>
      <c r="AG2" s="44">
        <f t="shared" si="0"/>
        <v>254.79381000776357</v>
      </c>
      <c r="AH2" s="44">
        <f t="shared" si="0"/>
        <v>254.79381000776357</v>
      </c>
      <c r="AI2" s="44">
        <f t="shared" si="0"/>
        <v>254.79381000776357</v>
      </c>
      <c r="AJ2" s="44">
        <f t="shared" si="0"/>
        <v>254.79381000776357</v>
      </c>
      <c r="AK2" s="44">
        <f t="shared" si="0"/>
        <v>254.79381000776357</v>
      </c>
      <c r="AL2" s="44">
        <f t="shared" si="0"/>
        <v>254.79381000776357</v>
      </c>
      <c r="AM2" s="44">
        <f t="shared" si="0"/>
        <v>254.79381000776357</v>
      </c>
      <c r="AN2" s="44">
        <f t="shared" si="0"/>
        <v>254.79381000776357</v>
      </c>
      <c r="AO2" s="44">
        <f t="shared" si="0"/>
        <v>254.79381000776357</v>
      </c>
      <c r="AP2" s="44">
        <f t="shared" si="0"/>
        <v>254.79381000776357</v>
      </c>
      <c r="AQ2" s="44">
        <f t="shared" si="0"/>
        <v>254.79381000776357</v>
      </c>
      <c r="AR2" s="44">
        <f t="shared" si="0"/>
        <v>254.79381000776357</v>
      </c>
      <c r="AS2" s="44">
        <f t="shared" si="0"/>
        <v>254.79381000776357</v>
      </c>
      <c r="AT2" s="44">
        <f t="shared" si="0"/>
        <v>254.79381000776357</v>
      </c>
      <c r="AU2" s="44">
        <f t="shared" si="0"/>
        <v>254.79381000776357</v>
      </c>
      <c r="AV2" s="44">
        <f t="shared" si="0"/>
        <v>254.79381000776357</v>
      </c>
      <c r="AW2" s="44">
        <f t="shared" si="0"/>
        <v>254.79381000776357</v>
      </c>
      <c r="AX2" s="44">
        <f t="shared" si="0"/>
        <v>254.79381000776357</v>
      </c>
      <c r="AY2" s="44">
        <f t="shared" si="0"/>
        <v>254.79381000776357</v>
      </c>
      <c r="AZ2" s="44">
        <f t="shared" si="0"/>
        <v>254.79381000776357</v>
      </c>
      <c r="BA2" s="44">
        <f t="shared" si="0"/>
        <v>254.79381000776357</v>
      </c>
      <c r="BB2" s="44">
        <f t="shared" si="0"/>
        <v>254.79381000776357</v>
      </c>
      <c r="BC2" s="44">
        <f t="shared" si="0"/>
        <v>254.79381000776357</v>
      </c>
      <c r="BD2" s="44">
        <f t="shared" si="0"/>
        <v>254.79381000776357</v>
      </c>
      <c r="BE2" s="44">
        <f t="shared" si="0"/>
        <v>254.79381000776357</v>
      </c>
      <c r="BF2" s="44">
        <f t="shared" si="0"/>
        <v>254.79381000776357</v>
      </c>
      <c r="BG2" s="44">
        <f t="shared" si="0"/>
        <v>254.79381000776357</v>
      </c>
      <c r="BH2" s="44">
        <f t="shared" si="0"/>
        <v>254.79381000776357</v>
      </c>
      <c r="BI2" s="44">
        <f t="shared" si="0"/>
        <v>254.79381000776357</v>
      </c>
      <c r="BJ2" s="44">
        <f t="shared" si="0"/>
        <v>254.79381000776357</v>
      </c>
      <c r="BK2" s="44">
        <f t="shared" si="0"/>
        <v>254.79381000776357</v>
      </c>
      <c r="BL2" s="44">
        <f t="shared" si="0"/>
        <v>254.79381000776357</v>
      </c>
      <c r="BM2" s="44">
        <f t="shared" si="0"/>
        <v>254.79381000776357</v>
      </c>
      <c r="BN2" s="44">
        <f t="shared" si="0"/>
        <v>254.79381000776357</v>
      </c>
      <c r="BO2" s="44">
        <f t="shared" si="0"/>
        <v>254.79381000776357</v>
      </c>
      <c r="BP2" s="44">
        <f t="shared" si="0"/>
        <v>254.79381000776357</v>
      </c>
      <c r="BQ2" s="44">
        <f t="shared" si="0"/>
        <v>254.79381000776357</v>
      </c>
      <c r="BR2" s="44">
        <f t="shared" si="0"/>
        <v>254.79381000776357</v>
      </c>
      <c r="BS2" s="44">
        <f t="shared" si="0"/>
        <v>254.79381000776357</v>
      </c>
      <c r="BT2" s="44">
        <f t="shared" si="0"/>
        <v>254.79381000776357</v>
      </c>
      <c r="BU2" s="44">
        <f t="shared" si="0"/>
        <v>254.79381000776357</v>
      </c>
      <c r="BV2" s="44">
        <f t="shared" si="0"/>
        <v>254.79381000776357</v>
      </c>
      <c r="BW2" s="44">
        <f t="shared" si="0"/>
        <v>254.79381000776357</v>
      </c>
      <c r="BX2" s="44">
        <f t="shared" si="0"/>
        <v>254.79381000776357</v>
      </c>
      <c r="BY2" s="44">
        <f t="shared" si="0"/>
        <v>254.79381000776357</v>
      </c>
      <c r="BZ2" s="44">
        <f t="shared" si="0"/>
        <v>254.79381000776357</v>
      </c>
      <c r="CA2" s="44">
        <f t="shared" si="0"/>
        <v>254.79381000776357</v>
      </c>
    </row>
    <row r="3" spans="1:79" x14ac:dyDescent="0.25">
      <c r="A3" s="33">
        <v>2</v>
      </c>
      <c r="B3" s="36" t="s">
        <v>40</v>
      </c>
      <c r="C3" s="34">
        <f>IFERROR(VLOOKUP($B3,'Ibri Tankers'!$D$2:$AG$138,C$28,FALSE),0)</f>
        <v>51.839583773080385</v>
      </c>
      <c r="D3" s="34">
        <f>IFERROR(VLOOKUP($B3,'Ibri Tankers'!$D$2:$AG$138,D$28,FALSE),0)</f>
        <v>51.839583773080385</v>
      </c>
      <c r="E3" s="34">
        <f>IFERROR(VLOOKUP($B3,'Ibri Tankers'!$D$2:$AG$138,E$28,FALSE),0)</f>
        <v>51.839583773080385</v>
      </c>
      <c r="F3" s="34">
        <f>IFERROR(VLOOKUP($B3,'Ibri Tankers'!$D$2:$AG$138,F$28,FALSE),0)</f>
        <v>51.839583773080385</v>
      </c>
      <c r="G3" s="34">
        <f>IFERROR(VLOOKUP($B3,'Ibri Tankers'!$D$2:$AG$138,G$28,FALSE),0)</f>
        <v>51.839583773080385</v>
      </c>
      <c r="H3" s="34">
        <f>IFERROR(VLOOKUP($B3,'Ibri Tankers'!$D$2:$AG$138,H$28,FALSE),0)</f>
        <v>51.839583773080385</v>
      </c>
      <c r="I3" s="34">
        <f>IFERROR(VLOOKUP($B3,'Ibri Tankers'!$D$2:$AG$138,I$28,FALSE),0)</f>
        <v>51.839583773080385</v>
      </c>
      <c r="J3" s="34">
        <f>IFERROR(VLOOKUP($B3,'Ibri Tankers'!$D$2:$AG$138,J$28,FALSE),0)</f>
        <v>51.839583773080385</v>
      </c>
      <c r="K3" s="34">
        <f>IFERROR(VLOOKUP($B3,'Ibri Tankers'!$D$2:$AG$138,K$28,FALSE),0)</f>
        <v>51.839583773080385</v>
      </c>
      <c r="L3" s="34">
        <f>IFERROR(VLOOKUP($B3,'Ibri Tankers'!$D$2:$AG$138,L$28,FALSE),0)</f>
        <v>51.839583773080385</v>
      </c>
      <c r="M3" s="34">
        <f>IFERROR(VLOOKUP($B3,'Ibri Tankers'!$D$2:$AG$138,M$28,FALSE),0)</f>
        <v>51.839583773080385</v>
      </c>
      <c r="N3" s="34">
        <f>IFERROR(VLOOKUP($B3,'Ibri Tankers'!$D$2:$AG$138,N$28,FALSE),0)</f>
        <v>51.839583773080385</v>
      </c>
      <c r="O3" s="34">
        <f>IFERROR(VLOOKUP($B3,'Ibri Tankers'!$D$2:$AG$138,O$28,FALSE),0)</f>
        <v>51.839583773080385</v>
      </c>
      <c r="P3" s="34">
        <f>IFERROR(VLOOKUP($B3,'Ibri Tankers'!$D$2:$AG$138,P$28,FALSE),0)</f>
        <v>51.839583773080385</v>
      </c>
      <c r="Q3" s="34">
        <f>IFERROR(VLOOKUP($B3,'Ibri Tankers'!$D$2:$AG$138,Q$28,FALSE),0)</f>
        <v>51.839583773080385</v>
      </c>
      <c r="R3" s="34">
        <f>IFERROR(VLOOKUP($B3,'Ibri Tankers'!$D$2:$AG$138,R$28,FALSE),0)</f>
        <v>51.839583773080385</v>
      </c>
      <c r="S3" s="34">
        <f>IFERROR(VLOOKUP($B3,'Ibri Tankers'!$D$2:$AG$138,S$28,FALSE),0)</f>
        <v>51.839583773080385</v>
      </c>
      <c r="T3" s="34">
        <f>IFERROR(VLOOKUP($B3,'Ibri Tankers'!$D$2:$AG$138,T$28,FALSE),0)</f>
        <v>51.839583773080385</v>
      </c>
      <c r="U3" s="34">
        <f>IFERROR(VLOOKUP($B3,'Ibri Tankers'!$D$2:$AG$138,U$28,FALSE),0)</f>
        <v>51.839583773080385</v>
      </c>
      <c r="V3" s="34">
        <f>IFERROR(VLOOKUP($B3,'Ibri Tankers'!$D$2:$AG$138,V$28,FALSE),0)</f>
        <v>51.839583773080385</v>
      </c>
      <c r="W3" s="34">
        <f>IFERROR(VLOOKUP($B3,'Ibri Tankers'!$D$2:$AG$138,W$28,FALSE),0)</f>
        <v>51.839583773080385</v>
      </c>
      <c r="X3" s="34">
        <f>IFERROR(VLOOKUP($B3,'Ibri Tankers'!$D$2:$AG$138,X$28,FALSE),0)</f>
        <v>51.839583773080385</v>
      </c>
      <c r="Y3" s="34">
        <f>IFERROR(VLOOKUP($B3,'Ibri Tankers'!$D$2:$AG$138,Y$28,FALSE),0)</f>
        <v>51.839583773080385</v>
      </c>
      <c r="Z3" s="34">
        <f>IFERROR(VLOOKUP($B3,'Ibri Tankers'!$D$2:$AG$138,Z$28,FALSE),0)</f>
        <v>51.839583773080385</v>
      </c>
      <c r="AA3" s="34">
        <f>IFERROR(VLOOKUP($B3,'Ibri Tankers'!$D$2:$AG$138,AA$28,FALSE),0)</f>
        <v>51.839583773080385</v>
      </c>
      <c r="AB3" s="34">
        <f>IFERROR(VLOOKUP($B3,'Ibri Tankers'!$D$2:$AG$138,AB$28,FALSE),0)</f>
        <v>51.839583773080385</v>
      </c>
      <c r="AC3" s="34">
        <f>IFERROR(VLOOKUP($B3,'Ibri Tankers'!$D$2:$AG$138,AC$28,FALSE),0)</f>
        <v>51.839583773080385</v>
      </c>
      <c r="AD3" s="44">
        <f t="shared" ref="AD3:CA3" si="1">AC3</f>
        <v>51.839583773080385</v>
      </c>
      <c r="AE3" s="44">
        <f t="shared" si="1"/>
        <v>51.839583773080385</v>
      </c>
      <c r="AF3" s="44">
        <f t="shared" si="1"/>
        <v>51.839583773080385</v>
      </c>
      <c r="AG3" s="44">
        <f t="shared" si="1"/>
        <v>51.839583773080385</v>
      </c>
      <c r="AH3" s="44">
        <f t="shared" si="1"/>
        <v>51.839583773080385</v>
      </c>
      <c r="AI3" s="44">
        <f t="shared" si="1"/>
        <v>51.839583773080385</v>
      </c>
      <c r="AJ3" s="44">
        <f t="shared" si="1"/>
        <v>51.839583773080385</v>
      </c>
      <c r="AK3" s="44">
        <f t="shared" si="1"/>
        <v>51.839583773080385</v>
      </c>
      <c r="AL3" s="44">
        <f t="shared" si="1"/>
        <v>51.839583773080385</v>
      </c>
      <c r="AM3" s="44">
        <f t="shared" si="1"/>
        <v>51.839583773080385</v>
      </c>
      <c r="AN3" s="44">
        <f t="shared" si="1"/>
        <v>51.839583773080385</v>
      </c>
      <c r="AO3" s="44">
        <f t="shared" si="1"/>
        <v>51.839583773080385</v>
      </c>
      <c r="AP3" s="44">
        <f t="shared" si="1"/>
        <v>51.839583773080385</v>
      </c>
      <c r="AQ3" s="44">
        <f t="shared" si="1"/>
        <v>51.839583773080385</v>
      </c>
      <c r="AR3" s="44">
        <f t="shared" si="1"/>
        <v>51.839583773080385</v>
      </c>
      <c r="AS3" s="44">
        <f t="shared" si="1"/>
        <v>51.839583773080385</v>
      </c>
      <c r="AT3" s="44">
        <f t="shared" si="1"/>
        <v>51.839583773080385</v>
      </c>
      <c r="AU3" s="44">
        <f t="shared" si="1"/>
        <v>51.839583773080385</v>
      </c>
      <c r="AV3" s="44">
        <f t="shared" si="1"/>
        <v>51.839583773080385</v>
      </c>
      <c r="AW3" s="44">
        <f t="shared" si="1"/>
        <v>51.839583773080385</v>
      </c>
      <c r="AX3" s="44">
        <f t="shared" si="1"/>
        <v>51.839583773080385</v>
      </c>
      <c r="AY3" s="44">
        <f t="shared" si="1"/>
        <v>51.839583773080385</v>
      </c>
      <c r="AZ3" s="44">
        <f t="shared" si="1"/>
        <v>51.839583773080385</v>
      </c>
      <c r="BA3" s="44">
        <f t="shared" si="1"/>
        <v>51.839583773080385</v>
      </c>
      <c r="BB3" s="44">
        <f t="shared" si="1"/>
        <v>51.839583773080385</v>
      </c>
      <c r="BC3" s="44">
        <f t="shared" si="1"/>
        <v>51.839583773080385</v>
      </c>
      <c r="BD3" s="44">
        <f t="shared" si="1"/>
        <v>51.839583773080385</v>
      </c>
      <c r="BE3" s="44">
        <f t="shared" si="1"/>
        <v>51.839583773080385</v>
      </c>
      <c r="BF3" s="44">
        <f t="shared" si="1"/>
        <v>51.839583773080385</v>
      </c>
      <c r="BG3" s="44">
        <f t="shared" si="1"/>
        <v>51.839583773080385</v>
      </c>
      <c r="BH3" s="44">
        <f t="shared" si="1"/>
        <v>51.839583773080385</v>
      </c>
      <c r="BI3" s="44">
        <f t="shared" si="1"/>
        <v>51.839583773080385</v>
      </c>
      <c r="BJ3" s="44">
        <f t="shared" si="1"/>
        <v>51.839583773080385</v>
      </c>
      <c r="BK3" s="44">
        <f t="shared" si="1"/>
        <v>51.839583773080385</v>
      </c>
      <c r="BL3" s="44">
        <f t="shared" si="1"/>
        <v>51.839583773080385</v>
      </c>
      <c r="BM3" s="44">
        <f t="shared" si="1"/>
        <v>51.839583773080385</v>
      </c>
      <c r="BN3" s="44">
        <f t="shared" si="1"/>
        <v>51.839583773080385</v>
      </c>
      <c r="BO3" s="44">
        <f t="shared" si="1"/>
        <v>51.839583773080385</v>
      </c>
      <c r="BP3" s="44">
        <f t="shared" si="1"/>
        <v>51.839583773080385</v>
      </c>
      <c r="BQ3" s="44">
        <f t="shared" si="1"/>
        <v>51.839583773080385</v>
      </c>
      <c r="BR3" s="44">
        <f t="shared" si="1"/>
        <v>51.839583773080385</v>
      </c>
      <c r="BS3" s="44">
        <f t="shared" si="1"/>
        <v>51.839583773080385</v>
      </c>
      <c r="BT3" s="44">
        <f t="shared" si="1"/>
        <v>51.839583773080385</v>
      </c>
      <c r="BU3" s="44">
        <f t="shared" si="1"/>
        <v>51.839583773080385</v>
      </c>
      <c r="BV3" s="44">
        <f t="shared" si="1"/>
        <v>51.839583773080385</v>
      </c>
      <c r="BW3" s="44">
        <f t="shared" si="1"/>
        <v>51.839583773080385</v>
      </c>
      <c r="BX3" s="44">
        <f t="shared" si="1"/>
        <v>51.839583773080385</v>
      </c>
      <c r="BY3" s="44">
        <f t="shared" si="1"/>
        <v>51.839583773080385</v>
      </c>
      <c r="BZ3" s="44">
        <f t="shared" si="1"/>
        <v>51.839583773080385</v>
      </c>
      <c r="CA3" s="44">
        <f t="shared" si="1"/>
        <v>51.839583773080385</v>
      </c>
    </row>
    <row r="4" spans="1:79" x14ac:dyDescent="0.25">
      <c r="A4" s="33">
        <v>3</v>
      </c>
      <c r="B4" s="36" t="s">
        <v>55</v>
      </c>
      <c r="C4" s="34">
        <f>IFERROR(VLOOKUP($B4,'Ibri Tankers'!$D$2:$AG$138,C$28,FALSE),0)</f>
        <v>4.2537246527434389</v>
      </c>
      <c r="D4" s="34">
        <f>IFERROR(VLOOKUP($B4,'Ibri Tankers'!$D$2:$AG$138,D$28,FALSE),0)</f>
        <v>4.2537246527434389</v>
      </c>
      <c r="E4" s="34">
        <f>IFERROR(VLOOKUP($B4,'Ibri Tankers'!$D$2:$AG$138,E$28,FALSE),0)</f>
        <v>4.2537246527434389</v>
      </c>
      <c r="F4" s="34">
        <f>IFERROR(VLOOKUP($B4,'Ibri Tankers'!$D$2:$AG$138,F$28,FALSE),0)</f>
        <v>4.2537246527434389</v>
      </c>
      <c r="G4" s="34">
        <f>IFERROR(VLOOKUP($B4,'Ibri Tankers'!$D$2:$AG$138,G$28,FALSE),0)</f>
        <v>4.2537246527434389</v>
      </c>
      <c r="H4" s="34">
        <f>IFERROR(VLOOKUP($B4,'Ibri Tankers'!$D$2:$AG$138,H$28,FALSE),0)</f>
        <v>4.2537246527434389</v>
      </c>
      <c r="I4" s="34">
        <f>IFERROR(VLOOKUP($B4,'Ibri Tankers'!$D$2:$AG$138,I$28,FALSE),0)</f>
        <v>4.2537246527434389</v>
      </c>
      <c r="J4" s="34">
        <f>IFERROR(VLOOKUP($B4,'Ibri Tankers'!$D$2:$AG$138,J$28,FALSE),0)</f>
        <v>4.2537246527434389</v>
      </c>
      <c r="K4" s="34">
        <f>IFERROR(VLOOKUP($B4,'Ibri Tankers'!$D$2:$AG$138,K$28,FALSE),0)</f>
        <v>4.2537246527434389</v>
      </c>
      <c r="L4" s="34">
        <f>IFERROR(VLOOKUP($B4,'Ibri Tankers'!$D$2:$AG$138,L$28,FALSE),0)</f>
        <v>4.2537246527434389</v>
      </c>
      <c r="M4" s="34">
        <f>IFERROR(VLOOKUP($B4,'Ibri Tankers'!$D$2:$AG$138,M$28,FALSE),0)</f>
        <v>4.2537246527434389</v>
      </c>
      <c r="N4" s="34">
        <f>IFERROR(VLOOKUP($B4,'Ibri Tankers'!$D$2:$AG$138,N$28,FALSE),0)</f>
        <v>4.2537246527434389</v>
      </c>
      <c r="O4" s="34">
        <f>IFERROR(VLOOKUP($B4,'Ibri Tankers'!$D$2:$AG$138,O$28,FALSE),0)</f>
        <v>4.2537246527434389</v>
      </c>
      <c r="P4" s="34">
        <f>IFERROR(VLOOKUP($B4,'Ibri Tankers'!$D$2:$AG$138,P$28,FALSE),0)</f>
        <v>4.2537246527434389</v>
      </c>
      <c r="Q4" s="34">
        <f>IFERROR(VLOOKUP($B4,'Ibri Tankers'!$D$2:$AG$138,Q$28,FALSE),0)</f>
        <v>4.2537246527434389</v>
      </c>
      <c r="R4" s="34">
        <f>IFERROR(VLOOKUP($B4,'Ibri Tankers'!$D$2:$AG$138,R$28,FALSE),0)</f>
        <v>4.2537246527434389</v>
      </c>
      <c r="S4" s="34">
        <f>IFERROR(VLOOKUP($B4,'Ibri Tankers'!$D$2:$AG$138,S$28,FALSE),0)</f>
        <v>4.2537246527434389</v>
      </c>
      <c r="T4" s="34">
        <f>IFERROR(VLOOKUP($B4,'Ibri Tankers'!$D$2:$AG$138,T$28,FALSE),0)</f>
        <v>4.2537246527434389</v>
      </c>
      <c r="U4" s="34">
        <f>IFERROR(VLOOKUP($B4,'Ibri Tankers'!$D$2:$AG$138,U$28,FALSE),0)</f>
        <v>4.2537246527434389</v>
      </c>
      <c r="V4" s="34">
        <f>IFERROR(VLOOKUP($B4,'Ibri Tankers'!$D$2:$AG$138,V$28,FALSE),0)</f>
        <v>4.2537246527434389</v>
      </c>
      <c r="W4" s="34">
        <f>IFERROR(VLOOKUP($B4,'Ibri Tankers'!$D$2:$AG$138,W$28,FALSE),0)</f>
        <v>4.2537246527434389</v>
      </c>
      <c r="X4" s="34">
        <f>IFERROR(VLOOKUP($B4,'Ibri Tankers'!$D$2:$AG$138,X$28,FALSE),0)</f>
        <v>4.2537246527434389</v>
      </c>
      <c r="Y4" s="34">
        <f>IFERROR(VLOOKUP($B4,'Ibri Tankers'!$D$2:$AG$138,Y$28,FALSE),0)</f>
        <v>4.2537246527434389</v>
      </c>
      <c r="Z4" s="34">
        <f>IFERROR(VLOOKUP($B4,'Ibri Tankers'!$D$2:$AG$138,Z$28,FALSE),0)</f>
        <v>4.2537246527434389</v>
      </c>
      <c r="AA4" s="34">
        <f>IFERROR(VLOOKUP($B4,'Ibri Tankers'!$D$2:$AG$138,AA$28,FALSE),0)</f>
        <v>4.2537246527434389</v>
      </c>
      <c r="AB4" s="34">
        <f>IFERROR(VLOOKUP($B4,'Ibri Tankers'!$D$2:$AG$138,AB$28,FALSE),0)</f>
        <v>4.2537246527434389</v>
      </c>
      <c r="AC4" s="34">
        <f>IFERROR(VLOOKUP($B4,'Ibri Tankers'!$D$2:$AG$138,AC$28,FALSE),0)</f>
        <v>4.2537246527434389</v>
      </c>
      <c r="AD4" s="44">
        <f t="shared" ref="AD4:CA4" si="2">AC4</f>
        <v>4.2537246527434389</v>
      </c>
      <c r="AE4" s="44">
        <f t="shared" si="2"/>
        <v>4.2537246527434389</v>
      </c>
      <c r="AF4" s="44">
        <f t="shared" si="2"/>
        <v>4.2537246527434389</v>
      </c>
      <c r="AG4" s="44">
        <f t="shared" si="2"/>
        <v>4.2537246527434389</v>
      </c>
      <c r="AH4" s="44">
        <f t="shared" si="2"/>
        <v>4.2537246527434389</v>
      </c>
      <c r="AI4" s="44">
        <f t="shared" si="2"/>
        <v>4.2537246527434389</v>
      </c>
      <c r="AJ4" s="44">
        <f t="shared" si="2"/>
        <v>4.2537246527434389</v>
      </c>
      <c r="AK4" s="44">
        <f t="shared" si="2"/>
        <v>4.2537246527434389</v>
      </c>
      <c r="AL4" s="44">
        <f t="shared" si="2"/>
        <v>4.2537246527434389</v>
      </c>
      <c r="AM4" s="44">
        <f t="shared" si="2"/>
        <v>4.2537246527434389</v>
      </c>
      <c r="AN4" s="44">
        <f t="shared" si="2"/>
        <v>4.2537246527434389</v>
      </c>
      <c r="AO4" s="44">
        <f t="shared" si="2"/>
        <v>4.2537246527434389</v>
      </c>
      <c r="AP4" s="44">
        <f t="shared" si="2"/>
        <v>4.2537246527434389</v>
      </c>
      <c r="AQ4" s="44">
        <f t="shared" si="2"/>
        <v>4.2537246527434389</v>
      </c>
      <c r="AR4" s="44">
        <f t="shared" si="2"/>
        <v>4.2537246527434389</v>
      </c>
      <c r="AS4" s="44">
        <f t="shared" si="2"/>
        <v>4.2537246527434389</v>
      </c>
      <c r="AT4" s="44">
        <f t="shared" si="2"/>
        <v>4.2537246527434389</v>
      </c>
      <c r="AU4" s="44">
        <f t="shared" si="2"/>
        <v>4.2537246527434389</v>
      </c>
      <c r="AV4" s="44">
        <f t="shared" si="2"/>
        <v>4.2537246527434389</v>
      </c>
      <c r="AW4" s="44">
        <f t="shared" si="2"/>
        <v>4.2537246527434389</v>
      </c>
      <c r="AX4" s="44">
        <f t="shared" si="2"/>
        <v>4.2537246527434389</v>
      </c>
      <c r="AY4" s="44">
        <f t="shared" si="2"/>
        <v>4.2537246527434389</v>
      </c>
      <c r="AZ4" s="44">
        <f t="shared" si="2"/>
        <v>4.2537246527434389</v>
      </c>
      <c r="BA4" s="44">
        <f t="shared" si="2"/>
        <v>4.2537246527434389</v>
      </c>
      <c r="BB4" s="44">
        <f t="shared" si="2"/>
        <v>4.2537246527434389</v>
      </c>
      <c r="BC4" s="44">
        <f t="shared" si="2"/>
        <v>4.2537246527434389</v>
      </c>
      <c r="BD4" s="44">
        <f t="shared" si="2"/>
        <v>4.2537246527434389</v>
      </c>
      <c r="BE4" s="44">
        <f t="shared" si="2"/>
        <v>4.2537246527434389</v>
      </c>
      <c r="BF4" s="44">
        <f t="shared" si="2"/>
        <v>4.2537246527434389</v>
      </c>
      <c r="BG4" s="44">
        <f t="shared" si="2"/>
        <v>4.2537246527434389</v>
      </c>
      <c r="BH4" s="44">
        <f t="shared" si="2"/>
        <v>4.2537246527434389</v>
      </c>
      <c r="BI4" s="44">
        <f t="shared" si="2"/>
        <v>4.2537246527434389</v>
      </c>
      <c r="BJ4" s="44">
        <f t="shared" si="2"/>
        <v>4.2537246527434389</v>
      </c>
      <c r="BK4" s="44">
        <f t="shared" si="2"/>
        <v>4.2537246527434389</v>
      </c>
      <c r="BL4" s="44">
        <f t="shared" si="2"/>
        <v>4.2537246527434389</v>
      </c>
      <c r="BM4" s="44">
        <f t="shared" si="2"/>
        <v>4.2537246527434389</v>
      </c>
      <c r="BN4" s="44">
        <f t="shared" si="2"/>
        <v>4.2537246527434389</v>
      </c>
      <c r="BO4" s="44">
        <f t="shared" si="2"/>
        <v>4.2537246527434389</v>
      </c>
      <c r="BP4" s="44">
        <f t="shared" si="2"/>
        <v>4.2537246527434389</v>
      </c>
      <c r="BQ4" s="44">
        <f t="shared" si="2"/>
        <v>4.2537246527434389</v>
      </c>
      <c r="BR4" s="44">
        <f t="shared" si="2"/>
        <v>4.2537246527434389</v>
      </c>
      <c r="BS4" s="44">
        <f t="shared" si="2"/>
        <v>4.2537246527434389</v>
      </c>
      <c r="BT4" s="44">
        <f t="shared" si="2"/>
        <v>4.2537246527434389</v>
      </c>
      <c r="BU4" s="44">
        <f t="shared" si="2"/>
        <v>4.2537246527434389</v>
      </c>
      <c r="BV4" s="44">
        <f t="shared" si="2"/>
        <v>4.2537246527434389</v>
      </c>
      <c r="BW4" s="44">
        <f t="shared" si="2"/>
        <v>4.2537246527434389</v>
      </c>
      <c r="BX4" s="44">
        <f t="shared" si="2"/>
        <v>4.2537246527434389</v>
      </c>
      <c r="BY4" s="44">
        <f t="shared" si="2"/>
        <v>4.2537246527434389</v>
      </c>
      <c r="BZ4" s="44">
        <f t="shared" si="2"/>
        <v>4.2537246527434389</v>
      </c>
      <c r="CA4" s="44">
        <f t="shared" si="2"/>
        <v>4.2537246527434389</v>
      </c>
    </row>
    <row r="5" spans="1:79" x14ac:dyDescent="0.25">
      <c r="A5" s="33">
        <v>4</v>
      </c>
      <c r="B5" s="36" t="s">
        <v>57</v>
      </c>
      <c r="C5" s="34">
        <f>IFERROR(VLOOKUP($B5,'Ibri Tankers'!$D$2:$AG$138,C$28,FALSE),0)</f>
        <v>229.98041620009349</v>
      </c>
      <c r="D5" s="34">
        <f>IFERROR(VLOOKUP($B5,'Ibri Tankers'!$D$2:$AG$138,D$28,FALSE),0)</f>
        <v>229.98041620009349</v>
      </c>
      <c r="E5" s="34">
        <f>IFERROR(VLOOKUP($B5,'Ibri Tankers'!$D$2:$AG$138,E$28,FALSE),0)</f>
        <v>229.98041620009349</v>
      </c>
      <c r="F5" s="34">
        <f>IFERROR(VLOOKUP($B5,'Ibri Tankers'!$D$2:$AG$138,F$28,FALSE),0)</f>
        <v>229.98041620009349</v>
      </c>
      <c r="G5" s="34">
        <f>IFERROR(VLOOKUP($B5,'Ibri Tankers'!$D$2:$AG$138,G$28,FALSE),0)</f>
        <v>229.98041620009349</v>
      </c>
      <c r="H5" s="34">
        <f>IFERROR(VLOOKUP($B5,'Ibri Tankers'!$D$2:$AG$138,H$28,FALSE),0)</f>
        <v>229.98041620009349</v>
      </c>
      <c r="I5" s="34">
        <f>IFERROR(VLOOKUP($B5,'Ibri Tankers'!$D$2:$AG$138,I$28,FALSE),0)</f>
        <v>229.98041620009349</v>
      </c>
      <c r="J5" s="34">
        <f>IFERROR(VLOOKUP($B5,'Ibri Tankers'!$D$2:$AG$138,J$28,FALSE),0)</f>
        <v>229.98041620009349</v>
      </c>
      <c r="K5" s="34">
        <f>IFERROR(VLOOKUP($B5,'Ibri Tankers'!$D$2:$AG$138,K$28,FALSE),0)</f>
        <v>229.98041620009349</v>
      </c>
      <c r="L5" s="34">
        <f>IFERROR(VLOOKUP($B5,'Ibri Tankers'!$D$2:$AG$138,L$28,FALSE),0)</f>
        <v>229.98041620009349</v>
      </c>
      <c r="M5" s="34">
        <f>IFERROR(VLOOKUP($B5,'Ibri Tankers'!$D$2:$AG$138,M$28,FALSE),0)</f>
        <v>229.98041620009349</v>
      </c>
      <c r="N5" s="34">
        <f>IFERROR(VLOOKUP($B5,'Ibri Tankers'!$D$2:$AG$138,N$28,FALSE),0)</f>
        <v>229.98041620009349</v>
      </c>
      <c r="O5" s="34">
        <f>IFERROR(VLOOKUP($B5,'Ibri Tankers'!$D$2:$AG$138,O$28,FALSE),0)</f>
        <v>229.98041620009349</v>
      </c>
      <c r="P5" s="34">
        <f>IFERROR(VLOOKUP($B5,'Ibri Tankers'!$D$2:$AG$138,P$28,FALSE),0)</f>
        <v>229.98041620009349</v>
      </c>
      <c r="Q5" s="34">
        <f>IFERROR(VLOOKUP($B5,'Ibri Tankers'!$D$2:$AG$138,Q$28,FALSE),0)</f>
        <v>229.98041620009349</v>
      </c>
      <c r="R5" s="34">
        <f>IFERROR(VLOOKUP($B5,'Ibri Tankers'!$D$2:$AG$138,R$28,FALSE),0)</f>
        <v>229.98041620009349</v>
      </c>
      <c r="S5" s="34">
        <f>IFERROR(VLOOKUP($B5,'Ibri Tankers'!$D$2:$AG$138,S$28,FALSE),0)</f>
        <v>229.98041620009349</v>
      </c>
      <c r="T5" s="34">
        <f>IFERROR(VLOOKUP($B5,'Ibri Tankers'!$D$2:$AG$138,T$28,FALSE),0)</f>
        <v>229.98041620009349</v>
      </c>
      <c r="U5" s="34">
        <f>IFERROR(VLOOKUP($B5,'Ibri Tankers'!$D$2:$AG$138,U$28,FALSE),0)</f>
        <v>229.98041620009349</v>
      </c>
      <c r="V5" s="34">
        <f>IFERROR(VLOOKUP($B5,'Ibri Tankers'!$D$2:$AG$138,V$28,FALSE),0)</f>
        <v>229.98041620009349</v>
      </c>
      <c r="W5" s="34">
        <f>IFERROR(VLOOKUP($B5,'Ibri Tankers'!$D$2:$AG$138,W$28,FALSE),0)</f>
        <v>229.98041620009349</v>
      </c>
      <c r="X5" s="34">
        <f>IFERROR(VLOOKUP($B5,'Ibri Tankers'!$D$2:$AG$138,X$28,FALSE),0)</f>
        <v>229.98041620009349</v>
      </c>
      <c r="Y5" s="34">
        <f>IFERROR(VLOOKUP($B5,'Ibri Tankers'!$D$2:$AG$138,Y$28,FALSE),0)</f>
        <v>229.98041620009349</v>
      </c>
      <c r="Z5" s="34">
        <f>IFERROR(VLOOKUP($B5,'Ibri Tankers'!$D$2:$AG$138,Z$28,FALSE),0)</f>
        <v>229.98041620009349</v>
      </c>
      <c r="AA5" s="34">
        <f>IFERROR(VLOOKUP($B5,'Ibri Tankers'!$D$2:$AG$138,AA$28,FALSE),0)</f>
        <v>229.98041620009349</v>
      </c>
      <c r="AB5" s="34">
        <f>IFERROR(VLOOKUP($B5,'Ibri Tankers'!$D$2:$AG$138,AB$28,FALSE),0)</f>
        <v>229.98041620009349</v>
      </c>
      <c r="AC5" s="34">
        <f>IFERROR(VLOOKUP($B5,'Ibri Tankers'!$D$2:$AG$138,AC$28,FALSE),0)</f>
        <v>229.98041620009349</v>
      </c>
      <c r="AD5" s="44">
        <f t="shared" ref="AD5:CA5" si="3">AC5</f>
        <v>229.98041620009349</v>
      </c>
      <c r="AE5" s="44">
        <f t="shared" si="3"/>
        <v>229.98041620009349</v>
      </c>
      <c r="AF5" s="44">
        <f t="shared" si="3"/>
        <v>229.98041620009349</v>
      </c>
      <c r="AG5" s="44">
        <f t="shared" si="3"/>
        <v>229.98041620009349</v>
      </c>
      <c r="AH5" s="44">
        <f t="shared" si="3"/>
        <v>229.98041620009349</v>
      </c>
      <c r="AI5" s="44">
        <f t="shared" si="3"/>
        <v>229.98041620009349</v>
      </c>
      <c r="AJ5" s="44">
        <f t="shared" si="3"/>
        <v>229.98041620009349</v>
      </c>
      <c r="AK5" s="44">
        <f t="shared" si="3"/>
        <v>229.98041620009349</v>
      </c>
      <c r="AL5" s="44">
        <f t="shared" si="3"/>
        <v>229.98041620009349</v>
      </c>
      <c r="AM5" s="44">
        <f t="shared" si="3"/>
        <v>229.98041620009349</v>
      </c>
      <c r="AN5" s="44">
        <f t="shared" si="3"/>
        <v>229.98041620009349</v>
      </c>
      <c r="AO5" s="44">
        <f t="shared" si="3"/>
        <v>229.98041620009349</v>
      </c>
      <c r="AP5" s="44">
        <f t="shared" si="3"/>
        <v>229.98041620009349</v>
      </c>
      <c r="AQ5" s="44">
        <f t="shared" si="3"/>
        <v>229.98041620009349</v>
      </c>
      <c r="AR5" s="44">
        <f t="shared" si="3"/>
        <v>229.98041620009349</v>
      </c>
      <c r="AS5" s="44">
        <f t="shared" si="3"/>
        <v>229.98041620009349</v>
      </c>
      <c r="AT5" s="44">
        <f t="shared" si="3"/>
        <v>229.98041620009349</v>
      </c>
      <c r="AU5" s="44">
        <f t="shared" si="3"/>
        <v>229.98041620009349</v>
      </c>
      <c r="AV5" s="44">
        <f t="shared" si="3"/>
        <v>229.98041620009349</v>
      </c>
      <c r="AW5" s="44">
        <f t="shared" si="3"/>
        <v>229.98041620009349</v>
      </c>
      <c r="AX5" s="44">
        <f t="shared" si="3"/>
        <v>229.98041620009349</v>
      </c>
      <c r="AY5" s="44">
        <f t="shared" si="3"/>
        <v>229.98041620009349</v>
      </c>
      <c r="AZ5" s="44">
        <f t="shared" si="3"/>
        <v>229.98041620009349</v>
      </c>
      <c r="BA5" s="44">
        <f t="shared" si="3"/>
        <v>229.98041620009349</v>
      </c>
      <c r="BB5" s="44">
        <f t="shared" si="3"/>
        <v>229.98041620009349</v>
      </c>
      <c r="BC5" s="44">
        <f t="shared" si="3"/>
        <v>229.98041620009349</v>
      </c>
      <c r="BD5" s="44">
        <f t="shared" si="3"/>
        <v>229.98041620009349</v>
      </c>
      <c r="BE5" s="44">
        <f t="shared" si="3"/>
        <v>229.98041620009349</v>
      </c>
      <c r="BF5" s="44">
        <f t="shared" si="3"/>
        <v>229.98041620009349</v>
      </c>
      <c r="BG5" s="44">
        <f t="shared" si="3"/>
        <v>229.98041620009349</v>
      </c>
      <c r="BH5" s="44">
        <f t="shared" si="3"/>
        <v>229.98041620009349</v>
      </c>
      <c r="BI5" s="44">
        <f t="shared" si="3"/>
        <v>229.98041620009349</v>
      </c>
      <c r="BJ5" s="44">
        <f t="shared" si="3"/>
        <v>229.98041620009349</v>
      </c>
      <c r="BK5" s="44">
        <f t="shared" si="3"/>
        <v>229.98041620009349</v>
      </c>
      <c r="BL5" s="44">
        <f t="shared" si="3"/>
        <v>229.98041620009349</v>
      </c>
      <c r="BM5" s="44">
        <f t="shared" si="3"/>
        <v>229.98041620009349</v>
      </c>
      <c r="BN5" s="44">
        <f t="shared" si="3"/>
        <v>229.98041620009349</v>
      </c>
      <c r="BO5" s="44">
        <f t="shared" si="3"/>
        <v>229.98041620009349</v>
      </c>
      <c r="BP5" s="44">
        <f t="shared" si="3"/>
        <v>229.98041620009349</v>
      </c>
      <c r="BQ5" s="44">
        <f t="shared" si="3"/>
        <v>229.98041620009349</v>
      </c>
      <c r="BR5" s="44">
        <f t="shared" si="3"/>
        <v>229.98041620009349</v>
      </c>
      <c r="BS5" s="44">
        <f t="shared" si="3"/>
        <v>229.98041620009349</v>
      </c>
      <c r="BT5" s="44">
        <f t="shared" si="3"/>
        <v>229.98041620009349</v>
      </c>
      <c r="BU5" s="44">
        <f t="shared" si="3"/>
        <v>229.98041620009349</v>
      </c>
      <c r="BV5" s="44">
        <f t="shared" si="3"/>
        <v>229.98041620009349</v>
      </c>
      <c r="BW5" s="44">
        <f t="shared" si="3"/>
        <v>229.98041620009349</v>
      </c>
      <c r="BX5" s="44">
        <f t="shared" si="3"/>
        <v>229.98041620009349</v>
      </c>
      <c r="BY5" s="44">
        <f t="shared" si="3"/>
        <v>229.98041620009349</v>
      </c>
      <c r="BZ5" s="44">
        <f t="shared" si="3"/>
        <v>229.98041620009349</v>
      </c>
      <c r="CA5" s="44">
        <f t="shared" si="3"/>
        <v>229.98041620009349</v>
      </c>
    </row>
    <row r="6" spans="1:79" x14ac:dyDescent="0.25">
      <c r="A6" s="33">
        <v>5</v>
      </c>
      <c r="B6" s="36" t="s">
        <v>43</v>
      </c>
      <c r="C6" s="34">
        <f>IFERROR(VLOOKUP($B6,'Ibri Tankers'!$D$2:$AG$138,C$28,FALSE),0)</f>
        <v>97.921600844467619</v>
      </c>
      <c r="D6" s="34">
        <f>IFERROR(VLOOKUP($B6,'Ibri Tankers'!$D$2:$AG$138,D$28,FALSE),0)</f>
        <v>97.921600844467619</v>
      </c>
      <c r="E6" s="34">
        <f>IFERROR(VLOOKUP($B6,'Ibri Tankers'!$D$2:$AG$138,E$28,FALSE),0)</f>
        <v>97.921600844467619</v>
      </c>
      <c r="F6" s="34">
        <f>IFERROR(VLOOKUP($B6,'Ibri Tankers'!$D$2:$AG$138,F$28,FALSE),0)</f>
        <v>97.921600844467619</v>
      </c>
      <c r="G6" s="34">
        <f>IFERROR(VLOOKUP($B6,'Ibri Tankers'!$D$2:$AG$138,G$28,FALSE),0)</f>
        <v>97.921600844467619</v>
      </c>
      <c r="H6" s="34">
        <f>IFERROR(VLOOKUP($B6,'Ibri Tankers'!$D$2:$AG$138,H$28,FALSE),0)</f>
        <v>97.921600844467619</v>
      </c>
      <c r="I6" s="34">
        <f>IFERROR(VLOOKUP($B6,'Ibri Tankers'!$D$2:$AG$138,I$28,FALSE),0)</f>
        <v>97.921600844467619</v>
      </c>
      <c r="J6" s="34">
        <f>IFERROR(VLOOKUP($B6,'Ibri Tankers'!$D$2:$AG$138,J$28,FALSE),0)</f>
        <v>97.921600844467619</v>
      </c>
      <c r="K6" s="34">
        <f>IFERROR(VLOOKUP($B6,'Ibri Tankers'!$D$2:$AG$138,K$28,FALSE),0)</f>
        <v>97.921600844467619</v>
      </c>
      <c r="L6" s="34">
        <f>IFERROR(VLOOKUP($B6,'Ibri Tankers'!$D$2:$AG$138,L$28,FALSE),0)</f>
        <v>97.921600844467619</v>
      </c>
      <c r="M6" s="34">
        <f>IFERROR(VLOOKUP($B6,'Ibri Tankers'!$D$2:$AG$138,M$28,FALSE),0)</f>
        <v>97.921600844467619</v>
      </c>
      <c r="N6" s="34">
        <f>IFERROR(VLOOKUP($B6,'Ibri Tankers'!$D$2:$AG$138,N$28,FALSE),0)</f>
        <v>97.921600844467619</v>
      </c>
      <c r="O6" s="34">
        <f>IFERROR(VLOOKUP($B6,'Ibri Tankers'!$D$2:$AG$138,O$28,FALSE),0)</f>
        <v>97.921600844467619</v>
      </c>
      <c r="P6" s="34">
        <f>IFERROR(VLOOKUP($B6,'Ibri Tankers'!$D$2:$AG$138,P$28,FALSE),0)</f>
        <v>97.921600844467619</v>
      </c>
      <c r="Q6" s="34">
        <f>IFERROR(VLOOKUP($B6,'Ibri Tankers'!$D$2:$AG$138,Q$28,FALSE),0)</f>
        <v>97.921600844467619</v>
      </c>
      <c r="R6" s="34">
        <f>IFERROR(VLOOKUP($B6,'Ibri Tankers'!$D$2:$AG$138,R$28,FALSE),0)</f>
        <v>97.921600844467619</v>
      </c>
      <c r="S6" s="34">
        <f>IFERROR(VLOOKUP($B6,'Ibri Tankers'!$D$2:$AG$138,S$28,FALSE),0)</f>
        <v>97.921600844467619</v>
      </c>
      <c r="T6" s="34">
        <f>IFERROR(VLOOKUP($B6,'Ibri Tankers'!$D$2:$AG$138,T$28,FALSE),0)</f>
        <v>97.921600844467619</v>
      </c>
      <c r="U6" s="34">
        <f>IFERROR(VLOOKUP($B6,'Ibri Tankers'!$D$2:$AG$138,U$28,FALSE),0)</f>
        <v>97.921600844467619</v>
      </c>
      <c r="V6" s="34">
        <f>IFERROR(VLOOKUP($B6,'Ibri Tankers'!$D$2:$AG$138,V$28,FALSE),0)</f>
        <v>97.921600844467619</v>
      </c>
      <c r="W6" s="34">
        <f>IFERROR(VLOOKUP($B6,'Ibri Tankers'!$D$2:$AG$138,W$28,FALSE),0)</f>
        <v>97.921600844467619</v>
      </c>
      <c r="X6" s="34">
        <f>IFERROR(VLOOKUP($B6,'Ibri Tankers'!$D$2:$AG$138,X$28,FALSE),0)</f>
        <v>97.921600844467619</v>
      </c>
      <c r="Y6" s="34">
        <f>IFERROR(VLOOKUP($B6,'Ibri Tankers'!$D$2:$AG$138,Y$28,FALSE),0)</f>
        <v>97.921600844467619</v>
      </c>
      <c r="Z6" s="34">
        <f>IFERROR(VLOOKUP($B6,'Ibri Tankers'!$D$2:$AG$138,Z$28,FALSE),0)</f>
        <v>97.921600844467619</v>
      </c>
      <c r="AA6" s="34">
        <f>IFERROR(VLOOKUP($B6,'Ibri Tankers'!$D$2:$AG$138,AA$28,FALSE),0)</f>
        <v>97.921600844467619</v>
      </c>
      <c r="AB6" s="34">
        <f>IFERROR(VLOOKUP($B6,'Ibri Tankers'!$D$2:$AG$138,AB$28,FALSE),0)</f>
        <v>97.921600844467619</v>
      </c>
      <c r="AC6" s="34">
        <f>IFERROR(VLOOKUP($B6,'Ibri Tankers'!$D$2:$AG$138,AC$28,FALSE),0)</f>
        <v>97.921600844467619</v>
      </c>
      <c r="AD6" s="44">
        <f t="shared" ref="AD6:CA6" si="4">AC6</f>
        <v>97.921600844467619</v>
      </c>
      <c r="AE6" s="44">
        <f t="shared" si="4"/>
        <v>97.921600844467619</v>
      </c>
      <c r="AF6" s="44">
        <f t="shared" si="4"/>
        <v>97.921600844467619</v>
      </c>
      <c r="AG6" s="44">
        <f t="shared" si="4"/>
        <v>97.921600844467619</v>
      </c>
      <c r="AH6" s="44">
        <f t="shared" si="4"/>
        <v>97.921600844467619</v>
      </c>
      <c r="AI6" s="44">
        <f t="shared" si="4"/>
        <v>97.921600844467619</v>
      </c>
      <c r="AJ6" s="44">
        <f t="shared" si="4"/>
        <v>97.921600844467619</v>
      </c>
      <c r="AK6" s="44">
        <f t="shared" si="4"/>
        <v>97.921600844467619</v>
      </c>
      <c r="AL6" s="44">
        <f t="shared" si="4"/>
        <v>97.921600844467619</v>
      </c>
      <c r="AM6" s="44">
        <f t="shared" si="4"/>
        <v>97.921600844467619</v>
      </c>
      <c r="AN6" s="44">
        <f t="shared" si="4"/>
        <v>97.921600844467619</v>
      </c>
      <c r="AO6" s="44">
        <f t="shared" si="4"/>
        <v>97.921600844467619</v>
      </c>
      <c r="AP6" s="44">
        <f t="shared" si="4"/>
        <v>97.921600844467619</v>
      </c>
      <c r="AQ6" s="44">
        <f t="shared" si="4"/>
        <v>97.921600844467619</v>
      </c>
      <c r="AR6" s="44">
        <f t="shared" si="4"/>
        <v>97.921600844467619</v>
      </c>
      <c r="AS6" s="44">
        <f t="shared" si="4"/>
        <v>97.921600844467619</v>
      </c>
      <c r="AT6" s="44">
        <f t="shared" si="4"/>
        <v>97.921600844467619</v>
      </c>
      <c r="AU6" s="44">
        <f t="shared" si="4"/>
        <v>97.921600844467619</v>
      </c>
      <c r="AV6" s="44">
        <f t="shared" si="4"/>
        <v>97.921600844467619</v>
      </c>
      <c r="AW6" s="44">
        <f t="shared" si="4"/>
        <v>97.921600844467619</v>
      </c>
      <c r="AX6" s="44">
        <f t="shared" si="4"/>
        <v>97.921600844467619</v>
      </c>
      <c r="AY6" s="44">
        <f t="shared" si="4"/>
        <v>97.921600844467619</v>
      </c>
      <c r="AZ6" s="44">
        <f t="shared" si="4"/>
        <v>97.921600844467619</v>
      </c>
      <c r="BA6" s="44">
        <f t="shared" si="4"/>
        <v>97.921600844467619</v>
      </c>
      <c r="BB6" s="44">
        <f t="shared" si="4"/>
        <v>97.921600844467619</v>
      </c>
      <c r="BC6" s="44">
        <f t="shared" si="4"/>
        <v>97.921600844467619</v>
      </c>
      <c r="BD6" s="44">
        <f t="shared" si="4"/>
        <v>97.921600844467619</v>
      </c>
      <c r="BE6" s="44">
        <f t="shared" si="4"/>
        <v>97.921600844467619</v>
      </c>
      <c r="BF6" s="44">
        <f t="shared" si="4"/>
        <v>97.921600844467619</v>
      </c>
      <c r="BG6" s="44">
        <f t="shared" si="4"/>
        <v>97.921600844467619</v>
      </c>
      <c r="BH6" s="44">
        <f t="shared" si="4"/>
        <v>97.921600844467619</v>
      </c>
      <c r="BI6" s="44">
        <f t="shared" si="4"/>
        <v>97.921600844467619</v>
      </c>
      <c r="BJ6" s="44">
        <f t="shared" si="4"/>
        <v>97.921600844467619</v>
      </c>
      <c r="BK6" s="44">
        <f t="shared" si="4"/>
        <v>97.921600844467619</v>
      </c>
      <c r="BL6" s="44">
        <f t="shared" si="4"/>
        <v>97.921600844467619</v>
      </c>
      <c r="BM6" s="44">
        <f t="shared" si="4"/>
        <v>97.921600844467619</v>
      </c>
      <c r="BN6" s="44">
        <f t="shared" si="4"/>
        <v>97.921600844467619</v>
      </c>
      <c r="BO6" s="44">
        <f t="shared" si="4"/>
        <v>97.921600844467619</v>
      </c>
      <c r="BP6" s="44">
        <f t="shared" si="4"/>
        <v>97.921600844467619</v>
      </c>
      <c r="BQ6" s="44">
        <f t="shared" si="4"/>
        <v>97.921600844467619</v>
      </c>
      <c r="BR6" s="44">
        <f t="shared" si="4"/>
        <v>97.921600844467619</v>
      </c>
      <c r="BS6" s="44">
        <f t="shared" si="4"/>
        <v>97.921600844467619</v>
      </c>
      <c r="BT6" s="44">
        <f t="shared" si="4"/>
        <v>97.921600844467619</v>
      </c>
      <c r="BU6" s="44">
        <f t="shared" si="4"/>
        <v>97.921600844467619</v>
      </c>
      <c r="BV6" s="44">
        <f t="shared" si="4"/>
        <v>97.921600844467619</v>
      </c>
      <c r="BW6" s="44">
        <f t="shared" si="4"/>
        <v>97.921600844467619</v>
      </c>
      <c r="BX6" s="44">
        <f t="shared" si="4"/>
        <v>97.921600844467619</v>
      </c>
      <c r="BY6" s="44">
        <f t="shared" si="4"/>
        <v>97.921600844467619</v>
      </c>
      <c r="BZ6" s="44">
        <f t="shared" si="4"/>
        <v>97.921600844467619</v>
      </c>
      <c r="CA6" s="44">
        <f t="shared" si="4"/>
        <v>97.921600844467619</v>
      </c>
    </row>
    <row r="7" spans="1:79" x14ac:dyDescent="0.25">
      <c r="A7" s="33">
        <v>6</v>
      </c>
      <c r="B7" s="36" t="s">
        <v>39</v>
      </c>
      <c r="C7" s="34">
        <f>IFERROR(VLOOKUP($B7,'Ibri Tankers'!$D$2:$AG$138,C$28,FALSE),0)</f>
        <v>13.57754535623158</v>
      </c>
      <c r="D7" s="34">
        <f>IFERROR(VLOOKUP($B7,'Ibri Tankers'!$D$2:$AG$138,D$28,FALSE),0)</f>
        <v>13.57754535623158</v>
      </c>
      <c r="E7" s="34">
        <f>IFERROR(VLOOKUP($B7,'Ibri Tankers'!$D$2:$AG$138,E$28,FALSE),0)</f>
        <v>13.57754535623158</v>
      </c>
      <c r="F7" s="34">
        <f>IFERROR(VLOOKUP($B7,'Ibri Tankers'!$D$2:$AG$138,F$28,FALSE),0)</f>
        <v>13.57754535623158</v>
      </c>
      <c r="G7" s="34">
        <f>IFERROR(VLOOKUP($B7,'Ibri Tankers'!$D$2:$AG$138,G$28,FALSE),0)</f>
        <v>13.57754535623158</v>
      </c>
      <c r="H7" s="34">
        <f>IFERROR(VLOOKUP($B7,'Ibri Tankers'!$D$2:$AG$138,H$28,FALSE),0)</f>
        <v>13.57754535623158</v>
      </c>
      <c r="I7" s="34">
        <f>IFERROR(VLOOKUP($B7,'Ibri Tankers'!$D$2:$AG$138,I$28,FALSE),0)</f>
        <v>13.57754535623158</v>
      </c>
      <c r="J7" s="34">
        <f>IFERROR(VLOOKUP($B7,'Ibri Tankers'!$D$2:$AG$138,J$28,FALSE),0)</f>
        <v>13.57754535623158</v>
      </c>
      <c r="K7" s="34">
        <f>IFERROR(VLOOKUP($B7,'Ibri Tankers'!$D$2:$AG$138,K$28,FALSE),0)</f>
        <v>13.57754535623158</v>
      </c>
      <c r="L7" s="34">
        <f>IFERROR(VLOOKUP($B7,'Ibri Tankers'!$D$2:$AG$138,L$28,FALSE),0)</f>
        <v>13.57754535623158</v>
      </c>
      <c r="M7" s="34">
        <f>IFERROR(VLOOKUP($B7,'Ibri Tankers'!$D$2:$AG$138,M$28,FALSE),0)</f>
        <v>13.57754535623158</v>
      </c>
      <c r="N7" s="34">
        <f>IFERROR(VLOOKUP($B7,'Ibri Tankers'!$D$2:$AG$138,N$28,FALSE),0)</f>
        <v>13.57754535623158</v>
      </c>
      <c r="O7" s="34">
        <f>IFERROR(VLOOKUP($B7,'Ibri Tankers'!$D$2:$AG$138,O$28,FALSE),0)</f>
        <v>13.57754535623158</v>
      </c>
      <c r="P7" s="34">
        <f>IFERROR(VLOOKUP($B7,'Ibri Tankers'!$D$2:$AG$138,P$28,FALSE),0)</f>
        <v>13.57754535623158</v>
      </c>
      <c r="Q7" s="34">
        <f>IFERROR(VLOOKUP($B7,'Ibri Tankers'!$D$2:$AG$138,Q$28,FALSE),0)</f>
        <v>13.57754535623158</v>
      </c>
      <c r="R7" s="34">
        <f>IFERROR(VLOOKUP($B7,'Ibri Tankers'!$D$2:$AG$138,R$28,FALSE),0)</f>
        <v>13.57754535623158</v>
      </c>
      <c r="S7" s="34">
        <f>IFERROR(VLOOKUP($B7,'Ibri Tankers'!$D$2:$AG$138,S$28,FALSE),0)</f>
        <v>13.57754535623158</v>
      </c>
      <c r="T7" s="34">
        <f>IFERROR(VLOOKUP($B7,'Ibri Tankers'!$D$2:$AG$138,T$28,FALSE),0)</f>
        <v>13.57754535623158</v>
      </c>
      <c r="U7" s="34">
        <f>IFERROR(VLOOKUP($B7,'Ibri Tankers'!$D$2:$AG$138,U$28,FALSE),0)</f>
        <v>13.57754535623158</v>
      </c>
      <c r="V7" s="34">
        <f>IFERROR(VLOOKUP($B7,'Ibri Tankers'!$D$2:$AG$138,V$28,FALSE),0)</f>
        <v>13.57754535623158</v>
      </c>
      <c r="W7" s="34">
        <f>IFERROR(VLOOKUP($B7,'Ibri Tankers'!$D$2:$AG$138,W$28,FALSE),0)</f>
        <v>13.57754535623158</v>
      </c>
      <c r="X7" s="34">
        <f>IFERROR(VLOOKUP($B7,'Ibri Tankers'!$D$2:$AG$138,X$28,FALSE),0)</f>
        <v>13.57754535623158</v>
      </c>
      <c r="Y7" s="34">
        <f>IFERROR(VLOOKUP($B7,'Ibri Tankers'!$D$2:$AG$138,Y$28,FALSE),0)</f>
        <v>13.57754535623158</v>
      </c>
      <c r="Z7" s="34">
        <f>IFERROR(VLOOKUP($B7,'Ibri Tankers'!$D$2:$AG$138,Z$28,FALSE),0)</f>
        <v>13.57754535623158</v>
      </c>
      <c r="AA7" s="34">
        <f>IFERROR(VLOOKUP($B7,'Ibri Tankers'!$D$2:$AG$138,AA$28,FALSE),0)</f>
        <v>13.57754535623158</v>
      </c>
      <c r="AB7" s="34">
        <f>IFERROR(VLOOKUP($B7,'Ibri Tankers'!$D$2:$AG$138,AB$28,FALSE),0)</f>
        <v>13.57754535623158</v>
      </c>
      <c r="AC7" s="34">
        <f>IFERROR(VLOOKUP($B7,'Ibri Tankers'!$D$2:$AG$138,AC$28,FALSE),0)</f>
        <v>13.57754535623158</v>
      </c>
      <c r="AD7" s="44">
        <f t="shared" ref="AD7:CA7" si="5">AC7</f>
        <v>13.57754535623158</v>
      </c>
      <c r="AE7" s="44">
        <f t="shared" si="5"/>
        <v>13.57754535623158</v>
      </c>
      <c r="AF7" s="44">
        <f t="shared" si="5"/>
        <v>13.57754535623158</v>
      </c>
      <c r="AG7" s="44">
        <f t="shared" si="5"/>
        <v>13.57754535623158</v>
      </c>
      <c r="AH7" s="44">
        <f t="shared" si="5"/>
        <v>13.57754535623158</v>
      </c>
      <c r="AI7" s="44">
        <f t="shared" si="5"/>
        <v>13.57754535623158</v>
      </c>
      <c r="AJ7" s="44">
        <f t="shared" si="5"/>
        <v>13.57754535623158</v>
      </c>
      <c r="AK7" s="44">
        <f t="shared" si="5"/>
        <v>13.57754535623158</v>
      </c>
      <c r="AL7" s="44">
        <f t="shared" si="5"/>
        <v>13.57754535623158</v>
      </c>
      <c r="AM7" s="44">
        <f t="shared" si="5"/>
        <v>13.57754535623158</v>
      </c>
      <c r="AN7" s="44">
        <f t="shared" si="5"/>
        <v>13.57754535623158</v>
      </c>
      <c r="AO7" s="44">
        <f t="shared" si="5"/>
        <v>13.57754535623158</v>
      </c>
      <c r="AP7" s="44">
        <f t="shared" si="5"/>
        <v>13.57754535623158</v>
      </c>
      <c r="AQ7" s="44">
        <f t="shared" si="5"/>
        <v>13.57754535623158</v>
      </c>
      <c r="AR7" s="44">
        <f t="shared" si="5"/>
        <v>13.57754535623158</v>
      </c>
      <c r="AS7" s="44">
        <f t="shared" si="5"/>
        <v>13.57754535623158</v>
      </c>
      <c r="AT7" s="44">
        <f t="shared" si="5"/>
        <v>13.57754535623158</v>
      </c>
      <c r="AU7" s="44">
        <f t="shared" si="5"/>
        <v>13.57754535623158</v>
      </c>
      <c r="AV7" s="44">
        <f t="shared" si="5"/>
        <v>13.57754535623158</v>
      </c>
      <c r="AW7" s="44">
        <f t="shared" si="5"/>
        <v>13.57754535623158</v>
      </c>
      <c r="AX7" s="44">
        <f t="shared" si="5"/>
        <v>13.57754535623158</v>
      </c>
      <c r="AY7" s="44">
        <f t="shared" si="5"/>
        <v>13.57754535623158</v>
      </c>
      <c r="AZ7" s="44">
        <f t="shared" si="5"/>
        <v>13.57754535623158</v>
      </c>
      <c r="BA7" s="44">
        <f t="shared" si="5"/>
        <v>13.57754535623158</v>
      </c>
      <c r="BB7" s="44">
        <f t="shared" si="5"/>
        <v>13.57754535623158</v>
      </c>
      <c r="BC7" s="44">
        <f t="shared" si="5"/>
        <v>13.57754535623158</v>
      </c>
      <c r="BD7" s="44">
        <f t="shared" si="5"/>
        <v>13.57754535623158</v>
      </c>
      <c r="BE7" s="44">
        <f t="shared" si="5"/>
        <v>13.57754535623158</v>
      </c>
      <c r="BF7" s="44">
        <f t="shared" si="5"/>
        <v>13.57754535623158</v>
      </c>
      <c r="BG7" s="44">
        <f t="shared" si="5"/>
        <v>13.57754535623158</v>
      </c>
      <c r="BH7" s="44">
        <f t="shared" si="5"/>
        <v>13.57754535623158</v>
      </c>
      <c r="BI7" s="44">
        <f t="shared" si="5"/>
        <v>13.57754535623158</v>
      </c>
      <c r="BJ7" s="44">
        <f t="shared" si="5"/>
        <v>13.57754535623158</v>
      </c>
      <c r="BK7" s="44">
        <f t="shared" si="5"/>
        <v>13.57754535623158</v>
      </c>
      <c r="BL7" s="44">
        <f t="shared" si="5"/>
        <v>13.57754535623158</v>
      </c>
      <c r="BM7" s="44">
        <f t="shared" si="5"/>
        <v>13.57754535623158</v>
      </c>
      <c r="BN7" s="44">
        <f t="shared" si="5"/>
        <v>13.57754535623158</v>
      </c>
      <c r="BO7" s="44">
        <f t="shared" si="5"/>
        <v>13.57754535623158</v>
      </c>
      <c r="BP7" s="44">
        <f t="shared" si="5"/>
        <v>13.57754535623158</v>
      </c>
      <c r="BQ7" s="44">
        <f t="shared" si="5"/>
        <v>13.57754535623158</v>
      </c>
      <c r="BR7" s="44">
        <f t="shared" si="5"/>
        <v>13.57754535623158</v>
      </c>
      <c r="BS7" s="44">
        <f t="shared" si="5"/>
        <v>13.57754535623158</v>
      </c>
      <c r="BT7" s="44">
        <f t="shared" si="5"/>
        <v>13.57754535623158</v>
      </c>
      <c r="BU7" s="44">
        <f t="shared" si="5"/>
        <v>13.57754535623158</v>
      </c>
      <c r="BV7" s="44">
        <f t="shared" si="5"/>
        <v>13.57754535623158</v>
      </c>
      <c r="BW7" s="44">
        <f t="shared" si="5"/>
        <v>13.57754535623158</v>
      </c>
      <c r="BX7" s="44">
        <f t="shared" si="5"/>
        <v>13.57754535623158</v>
      </c>
      <c r="BY7" s="44">
        <f t="shared" si="5"/>
        <v>13.57754535623158</v>
      </c>
      <c r="BZ7" s="44">
        <f t="shared" si="5"/>
        <v>13.57754535623158</v>
      </c>
      <c r="CA7" s="44">
        <f t="shared" si="5"/>
        <v>13.57754535623158</v>
      </c>
    </row>
    <row r="8" spans="1:79" x14ac:dyDescent="0.25">
      <c r="A8" s="33">
        <v>7</v>
      </c>
      <c r="B8" s="36" t="s">
        <v>50</v>
      </c>
      <c r="C8" s="34">
        <f>IFERROR(VLOOKUP($B8,'Ibri Tankers'!$D$2:$AG$138,C$28,FALSE),0)</f>
        <v>8.9156350044875108</v>
      </c>
      <c r="D8" s="34">
        <f>IFERROR(VLOOKUP($B8,'Ibri Tankers'!$D$2:$AG$138,D$28,FALSE),0)</f>
        <v>8.9156350044875108</v>
      </c>
      <c r="E8" s="34">
        <f>IFERROR(VLOOKUP($B8,'Ibri Tankers'!$D$2:$AG$138,E$28,FALSE),0)</f>
        <v>8.9156350044875108</v>
      </c>
      <c r="F8" s="34">
        <f>IFERROR(VLOOKUP($B8,'Ibri Tankers'!$D$2:$AG$138,F$28,FALSE),0)</f>
        <v>8.9156350044875108</v>
      </c>
      <c r="G8" s="34">
        <f>IFERROR(VLOOKUP($B8,'Ibri Tankers'!$D$2:$AG$138,G$28,FALSE),0)</f>
        <v>8.9156350044875108</v>
      </c>
      <c r="H8" s="34">
        <f>IFERROR(VLOOKUP($B8,'Ibri Tankers'!$D$2:$AG$138,H$28,FALSE),0)</f>
        <v>8.9156350044875108</v>
      </c>
      <c r="I8" s="34">
        <f>IFERROR(VLOOKUP($B8,'Ibri Tankers'!$D$2:$AG$138,I$28,FALSE),0)</f>
        <v>8.9156350044875108</v>
      </c>
      <c r="J8" s="34">
        <f>IFERROR(VLOOKUP($B8,'Ibri Tankers'!$D$2:$AG$138,J$28,FALSE),0)</f>
        <v>8.9156350044875108</v>
      </c>
      <c r="K8" s="34">
        <f>IFERROR(VLOOKUP($B8,'Ibri Tankers'!$D$2:$AG$138,K$28,FALSE),0)</f>
        <v>8.9156350044875108</v>
      </c>
      <c r="L8" s="34">
        <f>IFERROR(VLOOKUP($B8,'Ibri Tankers'!$D$2:$AG$138,L$28,FALSE),0)</f>
        <v>8.9156350044875108</v>
      </c>
      <c r="M8" s="34">
        <f>IFERROR(VLOOKUP($B8,'Ibri Tankers'!$D$2:$AG$138,M$28,FALSE),0)</f>
        <v>8.9156350044875108</v>
      </c>
      <c r="N8" s="34">
        <f>IFERROR(VLOOKUP($B8,'Ibri Tankers'!$D$2:$AG$138,N$28,FALSE),0)</f>
        <v>8.9156350044875108</v>
      </c>
      <c r="O8" s="34">
        <f>IFERROR(VLOOKUP($B8,'Ibri Tankers'!$D$2:$AG$138,O$28,FALSE),0)</f>
        <v>8.9156350044875108</v>
      </c>
      <c r="P8" s="34">
        <f>IFERROR(VLOOKUP($B8,'Ibri Tankers'!$D$2:$AG$138,P$28,FALSE),0)</f>
        <v>8.9156350044875108</v>
      </c>
      <c r="Q8" s="34">
        <f>IFERROR(VLOOKUP($B8,'Ibri Tankers'!$D$2:$AG$138,Q$28,FALSE),0)</f>
        <v>8.9156350044875108</v>
      </c>
      <c r="R8" s="34">
        <f>IFERROR(VLOOKUP($B8,'Ibri Tankers'!$D$2:$AG$138,R$28,FALSE),0)</f>
        <v>8.9156350044875108</v>
      </c>
      <c r="S8" s="34">
        <f>IFERROR(VLOOKUP($B8,'Ibri Tankers'!$D$2:$AG$138,S$28,FALSE),0)</f>
        <v>8.9156350044875108</v>
      </c>
      <c r="T8" s="34">
        <f>IFERROR(VLOOKUP($B8,'Ibri Tankers'!$D$2:$AG$138,T$28,FALSE),0)</f>
        <v>8.9156350044875108</v>
      </c>
      <c r="U8" s="34">
        <f>IFERROR(VLOOKUP($B8,'Ibri Tankers'!$D$2:$AG$138,U$28,FALSE),0)</f>
        <v>8.9156350044875108</v>
      </c>
      <c r="V8" s="34">
        <f>IFERROR(VLOOKUP($B8,'Ibri Tankers'!$D$2:$AG$138,V$28,FALSE),0)</f>
        <v>8.9156350044875108</v>
      </c>
      <c r="W8" s="34">
        <f>IFERROR(VLOOKUP($B8,'Ibri Tankers'!$D$2:$AG$138,W$28,FALSE),0)</f>
        <v>8.9156350044875108</v>
      </c>
      <c r="X8" s="34">
        <f>IFERROR(VLOOKUP($B8,'Ibri Tankers'!$D$2:$AG$138,X$28,FALSE),0)</f>
        <v>8.9156350044875108</v>
      </c>
      <c r="Y8" s="34">
        <f>IFERROR(VLOOKUP($B8,'Ibri Tankers'!$D$2:$AG$138,Y$28,FALSE),0)</f>
        <v>8.9156350044875108</v>
      </c>
      <c r="Z8" s="34">
        <f>IFERROR(VLOOKUP($B8,'Ibri Tankers'!$D$2:$AG$138,Z$28,FALSE),0)</f>
        <v>8.9156350044875108</v>
      </c>
      <c r="AA8" s="34">
        <f>IFERROR(VLOOKUP($B8,'Ibri Tankers'!$D$2:$AG$138,AA$28,FALSE),0)</f>
        <v>8.9156350044875108</v>
      </c>
      <c r="AB8" s="34">
        <f>IFERROR(VLOOKUP($B8,'Ibri Tankers'!$D$2:$AG$138,AB$28,FALSE),0)</f>
        <v>8.9156350044875108</v>
      </c>
      <c r="AC8" s="34">
        <f>IFERROR(VLOOKUP($B8,'Ibri Tankers'!$D$2:$AG$138,AC$28,FALSE),0)</f>
        <v>8.9156350044875108</v>
      </c>
      <c r="AD8" s="44">
        <f t="shared" ref="AD8:CA8" si="6">AC8</f>
        <v>8.9156350044875108</v>
      </c>
      <c r="AE8" s="44">
        <f t="shared" si="6"/>
        <v>8.9156350044875108</v>
      </c>
      <c r="AF8" s="44">
        <f t="shared" si="6"/>
        <v>8.9156350044875108</v>
      </c>
      <c r="AG8" s="44">
        <f t="shared" si="6"/>
        <v>8.9156350044875108</v>
      </c>
      <c r="AH8" s="44">
        <f t="shared" si="6"/>
        <v>8.9156350044875108</v>
      </c>
      <c r="AI8" s="44">
        <f t="shared" si="6"/>
        <v>8.9156350044875108</v>
      </c>
      <c r="AJ8" s="44">
        <f t="shared" si="6"/>
        <v>8.9156350044875108</v>
      </c>
      <c r="AK8" s="44">
        <f t="shared" si="6"/>
        <v>8.9156350044875108</v>
      </c>
      <c r="AL8" s="44">
        <f t="shared" si="6"/>
        <v>8.9156350044875108</v>
      </c>
      <c r="AM8" s="44">
        <f t="shared" si="6"/>
        <v>8.9156350044875108</v>
      </c>
      <c r="AN8" s="44">
        <f t="shared" si="6"/>
        <v>8.9156350044875108</v>
      </c>
      <c r="AO8" s="44">
        <f t="shared" si="6"/>
        <v>8.9156350044875108</v>
      </c>
      <c r="AP8" s="44">
        <f t="shared" si="6"/>
        <v>8.9156350044875108</v>
      </c>
      <c r="AQ8" s="44">
        <f t="shared" si="6"/>
        <v>8.9156350044875108</v>
      </c>
      <c r="AR8" s="44">
        <f t="shared" si="6"/>
        <v>8.9156350044875108</v>
      </c>
      <c r="AS8" s="44">
        <f t="shared" si="6"/>
        <v>8.9156350044875108</v>
      </c>
      <c r="AT8" s="44">
        <f t="shared" si="6"/>
        <v>8.9156350044875108</v>
      </c>
      <c r="AU8" s="44">
        <f t="shared" si="6"/>
        <v>8.9156350044875108</v>
      </c>
      <c r="AV8" s="44">
        <f t="shared" si="6"/>
        <v>8.9156350044875108</v>
      </c>
      <c r="AW8" s="44">
        <f t="shared" si="6"/>
        <v>8.9156350044875108</v>
      </c>
      <c r="AX8" s="44">
        <f t="shared" si="6"/>
        <v>8.9156350044875108</v>
      </c>
      <c r="AY8" s="44">
        <f t="shared" si="6"/>
        <v>8.9156350044875108</v>
      </c>
      <c r="AZ8" s="44">
        <f t="shared" si="6"/>
        <v>8.9156350044875108</v>
      </c>
      <c r="BA8" s="44">
        <f t="shared" si="6"/>
        <v>8.9156350044875108</v>
      </c>
      <c r="BB8" s="44">
        <f t="shared" si="6"/>
        <v>8.9156350044875108</v>
      </c>
      <c r="BC8" s="44">
        <f t="shared" si="6"/>
        <v>8.9156350044875108</v>
      </c>
      <c r="BD8" s="44">
        <f t="shared" si="6"/>
        <v>8.9156350044875108</v>
      </c>
      <c r="BE8" s="44">
        <f t="shared" si="6"/>
        <v>8.9156350044875108</v>
      </c>
      <c r="BF8" s="44">
        <f t="shared" si="6"/>
        <v>8.9156350044875108</v>
      </c>
      <c r="BG8" s="44">
        <f t="shared" si="6"/>
        <v>8.9156350044875108</v>
      </c>
      <c r="BH8" s="44">
        <f t="shared" si="6"/>
        <v>8.9156350044875108</v>
      </c>
      <c r="BI8" s="44">
        <f t="shared" si="6"/>
        <v>8.9156350044875108</v>
      </c>
      <c r="BJ8" s="44">
        <f t="shared" si="6"/>
        <v>8.9156350044875108</v>
      </c>
      <c r="BK8" s="44">
        <f t="shared" si="6"/>
        <v>8.9156350044875108</v>
      </c>
      <c r="BL8" s="44">
        <f t="shared" si="6"/>
        <v>8.9156350044875108</v>
      </c>
      <c r="BM8" s="44">
        <f t="shared" si="6"/>
        <v>8.9156350044875108</v>
      </c>
      <c r="BN8" s="44">
        <f t="shared" si="6"/>
        <v>8.9156350044875108</v>
      </c>
      <c r="BO8" s="44">
        <f t="shared" si="6"/>
        <v>8.9156350044875108</v>
      </c>
      <c r="BP8" s="44">
        <f t="shared" si="6"/>
        <v>8.9156350044875108</v>
      </c>
      <c r="BQ8" s="44">
        <f t="shared" si="6"/>
        <v>8.9156350044875108</v>
      </c>
      <c r="BR8" s="44">
        <f t="shared" si="6"/>
        <v>8.9156350044875108</v>
      </c>
      <c r="BS8" s="44">
        <f t="shared" si="6"/>
        <v>8.9156350044875108</v>
      </c>
      <c r="BT8" s="44">
        <f t="shared" si="6"/>
        <v>8.9156350044875108</v>
      </c>
      <c r="BU8" s="44">
        <f t="shared" si="6"/>
        <v>8.9156350044875108</v>
      </c>
      <c r="BV8" s="44">
        <f t="shared" si="6"/>
        <v>8.9156350044875108</v>
      </c>
      <c r="BW8" s="44">
        <f t="shared" si="6"/>
        <v>8.9156350044875108</v>
      </c>
      <c r="BX8" s="44">
        <f t="shared" si="6"/>
        <v>8.9156350044875108</v>
      </c>
      <c r="BY8" s="44">
        <f t="shared" si="6"/>
        <v>8.9156350044875108</v>
      </c>
      <c r="BZ8" s="44">
        <f t="shared" si="6"/>
        <v>8.9156350044875108</v>
      </c>
      <c r="CA8" s="44">
        <f t="shared" si="6"/>
        <v>8.9156350044875108</v>
      </c>
    </row>
    <row r="9" spans="1:79" x14ac:dyDescent="0.25">
      <c r="A9" s="33">
        <v>8</v>
      </c>
      <c r="B9" s="36" t="s">
        <v>47</v>
      </c>
      <c r="C9" s="34">
        <f>IFERROR(VLOOKUP($B9,'Ibri Tankers'!$D$2:$AG$138,C$28,FALSE),0)</f>
        <v>57.747534679668497</v>
      </c>
      <c r="D9" s="34">
        <f>IFERROR(VLOOKUP($B9,'Ibri Tankers'!$D$2:$AG$138,D$28,FALSE),0)</f>
        <v>57.747534679668497</v>
      </c>
      <c r="E9" s="34">
        <f>IFERROR(VLOOKUP($B9,'Ibri Tankers'!$D$2:$AG$138,E$28,FALSE),0)</f>
        <v>57.747534679668497</v>
      </c>
      <c r="F9" s="34">
        <f>IFERROR(VLOOKUP($B9,'Ibri Tankers'!$D$2:$AG$138,F$28,FALSE),0)</f>
        <v>57.747534679668497</v>
      </c>
      <c r="G9" s="34">
        <f>IFERROR(VLOOKUP($B9,'Ibri Tankers'!$D$2:$AG$138,G$28,FALSE),0)</f>
        <v>57.747534679668497</v>
      </c>
      <c r="H9" s="34">
        <f>IFERROR(VLOOKUP($B9,'Ibri Tankers'!$D$2:$AG$138,H$28,FALSE),0)</f>
        <v>57.747534679668497</v>
      </c>
      <c r="I9" s="34">
        <f>IFERROR(VLOOKUP($B9,'Ibri Tankers'!$D$2:$AG$138,I$28,FALSE),0)</f>
        <v>57.747534679668497</v>
      </c>
      <c r="J9" s="34">
        <f>IFERROR(VLOOKUP($B9,'Ibri Tankers'!$D$2:$AG$138,J$28,FALSE),0)</f>
        <v>57.747534679668497</v>
      </c>
      <c r="K9" s="34">
        <f>IFERROR(VLOOKUP($B9,'Ibri Tankers'!$D$2:$AG$138,K$28,FALSE),0)</f>
        <v>57.747534679668497</v>
      </c>
      <c r="L9" s="34">
        <f>IFERROR(VLOOKUP($B9,'Ibri Tankers'!$D$2:$AG$138,L$28,FALSE),0)</f>
        <v>57.747534679668497</v>
      </c>
      <c r="M9" s="34">
        <f>IFERROR(VLOOKUP($B9,'Ibri Tankers'!$D$2:$AG$138,M$28,FALSE),0)</f>
        <v>57.747534679668497</v>
      </c>
      <c r="N9" s="34">
        <f>IFERROR(VLOOKUP($B9,'Ibri Tankers'!$D$2:$AG$138,N$28,FALSE),0)</f>
        <v>57.747534679668497</v>
      </c>
      <c r="O9" s="34">
        <f>IFERROR(VLOOKUP($B9,'Ibri Tankers'!$D$2:$AG$138,O$28,FALSE),0)</f>
        <v>57.747534679668497</v>
      </c>
      <c r="P9" s="34">
        <f>IFERROR(VLOOKUP($B9,'Ibri Tankers'!$D$2:$AG$138,P$28,FALSE),0)</f>
        <v>57.747534679668497</v>
      </c>
      <c r="Q9" s="34">
        <f>IFERROR(VLOOKUP($B9,'Ibri Tankers'!$D$2:$AG$138,Q$28,FALSE),0)</f>
        <v>57.747534679668497</v>
      </c>
      <c r="R9" s="34">
        <f>IFERROR(VLOOKUP($B9,'Ibri Tankers'!$D$2:$AG$138,R$28,FALSE),0)</f>
        <v>57.747534679668497</v>
      </c>
      <c r="S9" s="34">
        <f>IFERROR(VLOOKUP($B9,'Ibri Tankers'!$D$2:$AG$138,S$28,FALSE),0)</f>
        <v>57.747534679668497</v>
      </c>
      <c r="T9" s="34">
        <f>IFERROR(VLOOKUP($B9,'Ibri Tankers'!$D$2:$AG$138,T$28,FALSE),0)</f>
        <v>57.747534679668497</v>
      </c>
      <c r="U9" s="34">
        <f>IFERROR(VLOOKUP($B9,'Ibri Tankers'!$D$2:$AG$138,U$28,FALSE),0)</f>
        <v>57.747534679668497</v>
      </c>
      <c r="V9" s="34">
        <f>IFERROR(VLOOKUP($B9,'Ibri Tankers'!$D$2:$AG$138,V$28,FALSE),0)</f>
        <v>57.747534679668497</v>
      </c>
      <c r="W9" s="34">
        <f>IFERROR(VLOOKUP($B9,'Ibri Tankers'!$D$2:$AG$138,W$28,FALSE),0)</f>
        <v>57.747534679668497</v>
      </c>
      <c r="X9" s="34">
        <f>IFERROR(VLOOKUP($B9,'Ibri Tankers'!$D$2:$AG$138,X$28,FALSE),0)</f>
        <v>57.747534679668497</v>
      </c>
      <c r="Y9" s="34">
        <f>IFERROR(VLOOKUP($B9,'Ibri Tankers'!$D$2:$AG$138,Y$28,FALSE),0)</f>
        <v>57.747534679668497</v>
      </c>
      <c r="Z9" s="34">
        <f>IFERROR(VLOOKUP($B9,'Ibri Tankers'!$D$2:$AG$138,Z$28,FALSE),0)</f>
        <v>57.747534679668497</v>
      </c>
      <c r="AA9" s="34">
        <f>IFERROR(VLOOKUP($B9,'Ibri Tankers'!$D$2:$AG$138,AA$28,FALSE),0)</f>
        <v>57.747534679668497</v>
      </c>
      <c r="AB9" s="34">
        <f>IFERROR(VLOOKUP($B9,'Ibri Tankers'!$D$2:$AG$138,AB$28,FALSE),0)</f>
        <v>57.747534679668497</v>
      </c>
      <c r="AC9" s="34">
        <f>IFERROR(VLOOKUP($B9,'Ibri Tankers'!$D$2:$AG$138,AC$28,FALSE),0)</f>
        <v>57.747534679668497</v>
      </c>
      <c r="AD9" s="44">
        <f t="shared" ref="AD9:CA9" si="7">AC9</f>
        <v>57.747534679668497</v>
      </c>
      <c r="AE9" s="44">
        <f t="shared" si="7"/>
        <v>57.747534679668497</v>
      </c>
      <c r="AF9" s="44">
        <f t="shared" si="7"/>
        <v>57.747534679668497</v>
      </c>
      <c r="AG9" s="44">
        <f t="shared" si="7"/>
        <v>57.747534679668497</v>
      </c>
      <c r="AH9" s="44">
        <f t="shared" si="7"/>
        <v>57.747534679668497</v>
      </c>
      <c r="AI9" s="44">
        <f t="shared" si="7"/>
        <v>57.747534679668497</v>
      </c>
      <c r="AJ9" s="44">
        <f t="shared" si="7"/>
        <v>57.747534679668497</v>
      </c>
      <c r="AK9" s="44">
        <f t="shared" si="7"/>
        <v>57.747534679668497</v>
      </c>
      <c r="AL9" s="44">
        <f t="shared" si="7"/>
        <v>57.747534679668497</v>
      </c>
      <c r="AM9" s="44">
        <f t="shared" si="7"/>
        <v>57.747534679668497</v>
      </c>
      <c r="AN9" s="44">
        <f t="shared" si="7"/>
        <v>57.747534679668497</v>
      </c>
      <c r="AO9" s="44">
        <f t="shared" si="7"/>
        <v>57.747534679668497</v>
      </c>
      <c r="AP9" s="44">
        <f t="shared" si="7"/>
        <v>57.747534679668497</v>
      </c>
      <c r="AQ9" s="44">
        <f t="shared" si="7"/>
        <v>57.747534679668497</v>
      </c>
      <c r="AR9" s="44">
        <f t="shared" si="7"/>
        <v>57.747534679668497</v>
      </c>
      <c r="AS9" s="44">
        <f t="shared" si="7"/>
        <v>57.747534679668497</v>
      </c>
      <c r="AT9" s="44">
        <f t="shared" si="7"/>
        <v>57.747534679668497</v>
      </c>
      <c r="AU9" s="44">
        <f t="shared" si="7"/>
        <v>57.747534679668497</v>
      </c>
      <c r="AV9" s="44">
        <f t="shared" si="7"/>
        <v>57.747534679668497</v>
      </c>
      <c r="AW9" s="44">
        <f t="shared" si="7"/>
        <v>57.747534679668497</v>
      </c>
      <c r="AX9" s="44">
        <f t="shared" si="7"/>
        <v>57.747534679668497</v>
      </c>
      <c r="AY9" s="44">
        <f t="shared" si="7"/>
        <v>57.747534679668497</v>
      </c>
      <c r="AZ9" s="44">
        <f t="shared" si="7"/>
        <v>57.747534679668497</v>
      </c>
      <c r="BA9" s="44">
        <f t="shared" si="7"/>
        <v>57.747534679668497</v>
      </c>
      <c r="BB9" s="44">
        <f t="shared" si="7"/>
        <v>57.747534679668497</v>
      </c>
      <c r="BC9" s="44">
        <f t="shared" si="7"/>
        <v>57.747534679668497</v>
      </c>
      <c r="BD9" s="44">
        <f t="shared" si="7"/>
        <v>57.747534679668497</v>
      </c>
      <c r="BE9" s="44">
        <f t="shared" si="7"/>
        <v>57.747534679668497</v>
      </c>
      <c r="BF9" s="44">
        <f t="shared" si="7"/>
        <v>57.747534679668497</v>
      </c>
      <c r="BG9" s="44">
        <f t="shared" si="7"/>
        <v>57.747534679668497</v>
      </c>
      <c r="BH9" s="44">
        <f t="shared" si="7"/>
        <v>57.747534679668497</v>
      </c>
      <c r="BI9" s="44">
        <f t="shared" si="7"/>
        <v>57.747534679668497</v>
      </c>
      <c r="BJ9" s="44">
        <f t="shared" si="7"/>
        <v>57.747534679668497</v>
      </c>
      <c r="BK9" s="44">
        <f t="shared" si="7"/>
        <v>57.747534679668497</v>
      </c>
      <c r="BL9" s="44">
        <f t="shared" si="7"/>
        <v>57.747534679668497</v>
      </c>
      <c r="BM9" s="44">
        <f t="shared" si="7"/>
        <v>57.747534679668497</v>
      </c>
      <c r="BN9" s="44">
        <f t="shared" si="7"/>
        <v>57.747534679668497</v>
      </c>
      <c r="BO9" s="44">
        <f t="shared" si="7"/>
        <v>57.747534679668497</v>
      </c>
      <c r="BP9" s="44">
        <f t="shared" si="7"/>
        <v>57.747534679668497</v>
      </c>
      <c r="BQ9" s="44">
        <f t="shared" si="7"/>
        <v>57.747534679668497</v>
      </c>
      <c r="BR9" s="44">
        <f t="shared" si="7"/>
        <v>57.747534679668497</v>
      </c>
      <c r="BS9" s="44">
        <f t="shared" si="7"/>
        <v>57.747534679668497</v>
      </c>
      <c r="BT9" s="44">
        <f t="shared" si="7"/>
        <v>57.747534679668497</v>
      </c>
      <c r="BU9" s="44">
        <f t="shared" si="7"/>
        <v>57.747534679668497</v>
      </c>
      <c r="BV9" s="44">
        <f t="shared" si="7"/>
        <v>57.747534679668497</v>
      </c>
      <c r="BW9" s="44">
        <f t="shared" si="7"/>
        <v>57.747534679668497</v>
      </c>
      <c r="BX9" s="44">
        <f t="shared" si="7"/>
        <v>57.747534679668497</v>
      </c>
      <c r="BY9" s="44">
        <f t="shared" si="7"/>
        <v>57.747534679668497</v>
      </c>
      <c r="BZ9" s="44">
        <f t="shared" si="7"/>
        <v>57.747534679668497</v>
      </c>
      <c r="CA9" s="44">
        <f t="shared" si="7"/>
        <v>57.747534679668497</v>
      </c>
    </row>
    <row r="10" spans="1:79" x14ac:dyDescent="0.25">
      <c r="A10" s="33">
        <v>9</v>
      </c>
      <c r="B10" s="36" t="s">
        <v>37</v>
      </c>
      <c r="C10" s="34">
        <f>IFERROR(VLOOKUP($B10,'Ibri Tankers'!$D$2:$AG$138,C$28,FALSE),0)</f>
        <v>2.6209818567409067</v>
      </c>
      <c r="D10" s="34">
        <f>IFERROR(VLOOKUP($B10,'Ibri Tankers'!$D$2:$AG$138,D$28,FALSE),0)</f>
        <v>2.6209818567409067</v>
      </c>
      <c r="E10" s="34">
        <f>IFERROR(VLOOKUP($B10,'Ibri Tankers'!$D$2:$AG$138,E$28,FALSE),0)</f>
        <v>2.6209818567409067</v>
      </c>
      <c r="F10" s="34">
        <f>IFERROR(VLOOKUP($B10,'Ibri Tankers'!$D$2:$AG$138,F$28,FALSE),0)</f>
        <v>2.6209818567409067</v>
      </c>
      <c r="G10" s="34">
        <f>IFERROR(VLOOKUP($B10,'Ibri Tankers'!$D$2:$AG$138,G$28,FALSE),0)</f>
        <v>2.6209818567409067</v>
      </c>
      <c r="H10" s="34">
        <f>IFERROR(VLOOKUP($B10,'Ibri Tankers'!$D$2:$AG$138,H$28,FALSE),0)</f>
        <v>2.6209818567409067</v>
      </c>
      <c r="I10" s="34">
        <f>IFERROR(VLOOKUP($B10,'Ibri Tankers'!$D$2:$AG$138,I$28,FALSE),0)</f>
        <v>2.6209818567409067</v>
      </c>
      <c r="J10" s="34">
        <f>IFERROR(VLOOKUP($B10,'Ibri Tankers'!$D$2:$AG$138,J$28,FALSE),0)</f>
        <v>2.6209818567409067</v>
      </c>
      <c r="K10" s="34">
        <f>IFERROR(VLOOKUP($B10,'Ibri Tankers'!$D$2:$AG$138,K$28,FALSE),0)</f>
        <v>2.6209818567409067</v>
      </c>
      <c r="L10" s="34">
        <f>IFERROR(VLOOKUP($B10,'Ibri Tankers'!$D$2:$AG$138,L$28,FALSE),0)</f>
        <v>2.6209818567409067</v>
      </c>
      <c r="M10" s="34">
        <f>IFERROR(VLOOKUP($B10,'Ibri Tankers'!$D$2:$AG$138,M$28,FALSE),0)</f>
        <v>2.6209818567409067</v>
      </c>
      <c r="N10" s="34">
        <f>IFERROR(VLOOKUP($B10,'Ibri Tankers'!$D$2:$AG$138,N$28,FALSE),0)</f>
        <v>2.6209818567409067</v>
      </c>
      <c r="O10" s="34">
        <f>IFERROR(VLOOKUP($B10,'Ibri Tankers'!$D$2:$AG$138,O$28,FALSE),0)</f>
        <v>2.6209818567409067</v>
      </c>
      <c r="P10" s="34">
        <f>IFERROR(VLOOKUP($B10,'Ibri Tankers'!$D$2:$AG$138,P$28,FALSE),0)</f>
        <v>2.6209818567409067</v>
      </c>
      <c r="Q10" s="34">
        <f>IFERROR(VLOOKUP($B10,'Ibri Tankers'!$D$2:$AG$138,Q$28,FALSE),0)</f>
        <v>2.6209818567409067</v>
      </c>
      <c r="R10" s="34">
        <f>IFERROR(VLOOKUP($B10,'Ibri Tankers'!$D$2:$AG$138,R$28,FALSE),0)</f>
        <v>2.6209818567409067</v>
      </c>
      <c r="S10" s="34">
        <f>IFERROR(VLOOKUP($B10,'Ibri Tankers'!$D$2:$AG$138,S$28,FALSE),0)</f>
        <v>2.6209818567409067</v>
      </c>
      <c r="T10" s="34">
        <f>IFERROR(VLOOKUP($B10,'Ibri Tankers'!$D$2:$AG$138,T$28,FALSE),0)</f>
        <v>2.6209818567409067</v>
      </c>
      <c r="U10" s="34">
        <f>IFERROR(VLOOKUP($B10,'Ibri Tankers'!$D$2:$AG$138,U$28,FALSE),0)</f>
        <v>2.6209818567409067</v>
      </c>
      <c r="V10" s="34">
        <f>IFERROR(VLOOKUP($B10,'Ibri Tankers'!$D$2:$AG$138,V$28,FALSE),0)</f>
        <v>2.6209818567409067</v>
      </c>
      <c r="W10" s="34">
        <f>IFERROR(VLOOKUP($B10,'Ibri Tankers'!$D$2:$AG$138,W$28,FALSE),0)</f>
        <v>2.6209818567409067</v>
      </c>
      <c r="X10" s="34">
        <f>IFERROR(VLOOKUP($B10,'Ibri Tankers'!$D$2:$AG$138,X$28,FALSE),0)</f>
        <v>2.6209818567409067</v>
      </c>
      <c r="Y10" s="34">
        <f>IFERROR(VLOOKUP($B10,'Ibri Tankers'!$D$2:$AG$138,Y$28,FALSE),0)</f>
        <v>2.6209818567409067</v>
      </c>
      <c r="Z10" s="34">
        <f>IFERROR(VLOOKUP($B10,'Ibri Tankers'!$D$2:$AG$138,Z$28,FALSE),0)</f>
        <v>2.6209818567409067</v>
      </c>
      <c r="AA10" s="34">
        <f>IFERROR(VLOOKUP($B10,'Ibri Tankers'!$D$2:$AG$138,AA$28,FALSE),0)</f>
        <v>2.6209818567409067</v>
      </c>
      <c r="AB10" s="34">
        <f>IFERROR(VLOOKUP($B10,'Ibri Tankers'!$D$2:$AG$138,AB$28,FALSE),0)</f>
        <v>2.6209818567409067</v>
      </c>
      <c r="AC10" s="34">
        <f>IFERROR(VLOOKUP($B10,'Ibri Tankers'!$D$2:$AG$138,AC$28,FALSE),0)</f>
        <v>2.6209818567409067</v>
      </c>
      <c r="AD10" s="44">
        <f t="shared" ref="AD10:CA10" si="8">AC10</f>
        <v>2.6209818567409067</v>
      </c>
      <c r="AE10" s="44">
        <f t="shared" si="8"/>
        <v>2.6209818567409067</v>
      </c>
      <c r="AF10" s="44">
        <f t="shared" si="8"/>
        <v>2.6209818567409067</v>
      </c>
      <c r="AG10" s="44">
        <f t="shared" si="8"/>
        <v>2.6209818567409067</v>
      </c>
      <c r="AH10" s="44">
        <f t="shared" si="8"/>
        <v>2.6209818567409067</v>
      </c>
      <c r="AI10" s="44">
        <f t="shared" si="8"/>
        <v>2.6209818567409067</v>
      </c>
      <c r="AJ10" s="44">
        <f t="shared" si="8"/>
        <v>2.6209818567409067</v>
      </c>
      <c r="AK10" s="44">
        <f t="shared" si="8"/>
        <v>2.6209818567409067</v>
      </c>
      <c r="AL10" s="44">
        <f t="shared" si="8"/>
        <v>2.6209818567409067</v>
      </c>
      <c r="AM10" s="44">
        <f t="shared" si="8"/>
        <v>2.6209818567409067</v>
      </c>
      <c r="AN10" s="44">
        <f t="shared" si="8"/>
        <v>2.6209818567409067</v>
      </c>
      <c r="AO10" s="44">
        <f t="shared" si="8"/>
        <v>2.6209818567409067</v>
      </c>
      <c r="AP10" s="44">
        <f t="shared" si="8"/>
        <v>2.6209818567409067</v>
      </c>
      <c r="AQ10" s="44">
        <f t="shared" si="8"/>
        <v>2.6209818567409067</v>
      </c>
      <c r="AR10" s="44">
        <f t="shared" si="8"/>
        <v>2.6209818567409067</v>
      </c>
      <c r="AS10" s="44">
        <f t="shared" si="8"/>
        <v>2.6209818567409067</v>
      </c>
      <c r="AT10" s="44">
        <f t="shared" si="8"/>
        <v>2.6209818567409067</v>
      </c>
      <c r="AU10" s="44">
        <f t="shared" si="8"/>
        <v>2.6209818567409067</v>
      </c>
      <c r="AV10" s="44">
        <f t="shared" si="8"/>
        <v>2.6209818567409067</v>
      </c>
      <c r="AW10" s="44">
        <f t="shared" si="8"/>
        <v>2.6209818567409067</v>
      </c>
      <c r="AX10" s="44">
        <f t="shared" si="8"/>
        <v>2.6209818567409067</v>
      </c>
      <c r="AY10" s="44">
        <f t="shared" si="8"/>
        <v>2.6209818567409067</v>
      </c>
      <c r="AZ10" s="44">
        <f t="shared" si="8"/>
        <v>2.6209818567409067</v>
      </c>
      <c r="BA10" s="44">
        <f t="shared" si="8"/>
        <v>2.6209818567409067</v>
      </c>
      <c r="BB10" s="44">
        <f t="shared" si="8"/>
        <v>2.6209818567409067</v>
      </c>
      <c r="BC10" s="44">
        <f t="shared" si="8"/>
        <v>2.6209818567409067</v>
      </c>
      <c r="BD10" s="44">
        <f t="shared" si="8"/>
        <v>2.6209818567409067</v>
      </c>
      <c r="BE10" s="44">
        <f t="shared" si="8"/>
        <v>2.6209818567409067</v>
      </c>
      <c r="BF10" s="44">
        <f t="shared" si="8"/>
        <v>2.6209818567409067</v>
      </c>
      <c r="BG10" s="44">
        <f t="shared" si="8"/>
        <v>2.6209818567409067</v>
      </c>
      <c r="BH10" s="44">
        <f t="shared" si="8"/>
        <v>2.6209818567409067</v>
      </c>
      <c r="BI10" s="44">
        <f t="shared" si="8"/>
        <v>2.6209818567409067</v>
      </c>
      <c r="BJ10" s="44">
        <f t="shared" si="8"/>
        <v>2.6209818567409067</v>
      </c>
      <c r="BK10" s="44">
        <f t="shared" si="8"/>
        <v>2.6209818567409067</v>
      </c>
      <c r="BL10" s="44">
        <f t="shared" si="8"/>
        <v>2.6209818567409067</v>
      </c>
      <c r="BM10" s="44">
        <f t="shared" si="8"/>
        <v>2.6209818567409067</v>
      </c>
      <c r="BN10" s="44">
        <f t="shared" si="8"/>
        <v>2.6209818567409067</v>
      </c>
      <c r="BO10" s="44">
        <f t="shared" si="8"/>
        <v>2.6209818567409067</v>
      </c>
      <c r="BP10" s="44">
        <f t="shared" si="8"/>
        <v>2.6209818567409067</v>
      </c>
      <c r="BQ10" s="44">
        <f t="shared" si="8"/>
        <v>2.6209818567409067</v>
      </c>
      <c r="BR10" s="44">
        <f t="shared" si="8"/>
        <v>2.6209818567409067</v>
      </c>
      <c r="BS10" s="44">
        <f t="shared" si="8"/>
        <v>2.6209818567409067</v>
      </c>
      <c r="BT10" s="44">
        <f t="shared" si="8"/>
        <v>2.6209818567409067</v>
      </c>
      <c r="BU10" s="44">
        <f t="shared" si="8"/>
        <v>2.6209818567409067</v>
      </c>
      <c r="BV10" s="44">
        <f t="shared" si="8"/>
        <v>2.6209818567409067</v>
      </c>
      <c r="BW10" s="44">
        <f t="shared" si="8"/>
        <v>2.6209818567409067</v>
      </c>
      <c r="BX10" s="44">
        <f t="shared" si="8"/>
        <v>2.6209818567409067</v>
      </c>
      <c r="BY10" s="44">
        <f t="shared" si="8"/>
        <v>2.6209818567409067</v>
      </c>
      <c r="BZ10" s="44">
        <f t="shared" si="8"/>
        <v>2.6209818567409067</v>
      </c>
      <c r="CA10" s="44">
        <f t="shared" si="8"/>
        <v>2.6209818567409067</v>
      </c>
    </row>
    <row r="11" spans="1:79" x14ac:dyDescent="0.25">
      <c r="A11" s="33">
        <v>10</v>
      </c>
      <c r="B11" s="36" t="s">
        <v>56</v>
      </c>
      <c r="C11" s="34">
        <f>IFERROR(VLOOKUP($B11,'Ibri Tankers'!$D$2:$AG$138,C$28,FALSE),0)</f>
        <v>4.1033404478484696</v>
      </c>
      <c r="D11" s="34">
        <f>IFERROR(VLOOKUP($B11,'Ibri Tankers'!$D$2:$AG$138,D$28,FALSE),0)</f>
        <v>4.1033404478484696</v>
      </c>
      <c r="E11" s="34">
        <f>IFERROR(VLOOKUP($B11,'Ibri Tankers'!$D$2:$AG$138,E$28,FALSE),0)</f>
        <v>4.1033404478484696</v>
      </c>
      <c r="F11" s="34">
        <f>IFERROR(VLOOKUP($B11,'Ibri Tankers'!$D$2:$AG$138,F$28,FALSE),0)</f>
        <v>4.1033404478484696</v>
      </c>
      <c r="G11" s="34">
        <f>IFERROR(VLOOKUP($B11,'Ibri Tankers'!$D$2:$AG$138,G$28,FALSE),0)</f>
        <v>4.1033404478484696</v>
      </c>
      <c r="H11" s="34">
        <f>IFERROR(VLOOKUP($B11,'Ibri Tankers'!$D$2:$AG$138,H$28,FALSE),0)</f>
        <v>4.1033404478484696</v>
      </c>
      <c r="I11" s="34">
        <f>IFERROR(VLOOKUP($B11,'Ibri Tankers'!$D$2:$AG$138,I$28,FALSE),0)</f>
        <v>4.1033404478484696</v>
      </c>
      <c r="J11" s="34">
        <f>IFERROR(VLOOKUP($B11,'Ibri Tankers'!$D$2:$AG$138,J$28,FALSE),0)</f>
        <v>4.1033404478484696</v>
      </c>
      <c r="K11" s="34">
        <f>IFERROR(VLOOKUP($B11,'Ibri Tankers'!$D$2:$AG$138,K$28,FALSE),0)</f>
        <v>4.1033404478484696</v>
      </c>
      <c r="L11" s="34">
        <f>IFERROR(VLOOKUP($B11,'Ibri Tankers'!$D$2:$AG$138,L$28,FALSE),0)</f>
        <v>4.1033404478484696</v>
      </c>
      <c r="M11" s="34">
        <f>IFERROR(VLOOKUP($B11,'Ibri Tankers'!$D$2:$AG$138,M$28,FALSE),0)</f>
        <v>4.1033404478484696</v>
      </c>
      <c r="N11" s="34">
        <f>IFERROR(VLOOKUP($B11,'Ibri Tankers'!$D$2:$AG$138,N$28,FALSE),0)</f>
        <v>4.1033404478484696</v>
      </c>
      <c r="O11" s="34">
        <f>IFERROR(VLOOKUP($B11,'Ibri Tankers'!$D$2:$AG$138,O$28,FALSE),0)</f>
        <v>4.1033404478484696</v>
      </c>
      <c r="P11" s="34">
        <f>IFERROR(VLOOKUP($B11,'Ibri Tankers'!$D$2:$AG$138,P$28,FALSE),0)</f>
        <v>4.1033404478484696</v>
      </c>
      <c r="Q11" s="34">
        <f>IFERROR(VLOOKUP($B11,'Ibri Tankers'!$D$2:$AG$138,Q$28,FALSE),0)</f>
        <v>4.1033404478484696</v>
      </c>
      <c r="R11" s="34">
        <f>IFERROR(VLOOKUP($B11,'Ibri Tankers'!$D$2:$AG$138,R$28,FALSE),0)</f>
        <v>4.1033404478484696</v>
      </c>
      <c r="S11" s="34">
        <f>IFERROR(VLOOKUP($B11,'Ibri Tankers'!$D$2:$AG$138,S$28,FALSE),0)</f>
        <v>4.1033404478484696</v>
      </c>
      <c r="T11" s="34">
        <f>IFERROR(VLOOKUP($B11,'Ibri Tankers'!$D$2:$AG$138,T$28,FALSE),0)</f>
        <v>4.1033404478484696</v>
      </c>
      <c r="U11" s="34">
        <f>IFERROR(VLOOKUP($B11,'Ibri Tankers'!$D$2:$AG$138,U$28,FALSE),0)</f>
        <v>4.1033404478484696</v>
      </c>
      <c r="V11" s="34">
        <f>IFERROR(VLOOKUP($B11,'Ibri Tankers'!$D$2:$AG$138,V$28,FALSE),0)</f>
        <v>4.1033404478484696</v>
      </c>
      <c r="W11" s="34">
        <f>IFERROR(VLOOKUP($B11,'Ibri Tankers'!$D$2:$AG$138,W$28,FALSE),0)</f>
        <v>4.1033404478484696</v>
      </c>
      <c r="X11" s="34">
        <f>IFERROR(VLOOKUP($B11,'Ibri Tankers'!$D$2:$AG$138,X$28,FALSE),0)</f>
        <v>4.1033404478484696</v>
      </c>
      <c r="Y11" s="34">
        <f>IFERROR(VLOOKUP($B11,'Ibri Tankers'!$D$2:$AG$138,Y$28,FALSE),0)</f>
        <v>4.1033404478484696</v>
      </c>
      <c r="Z11" s="34">
        <f>IFERROR(VLOOKUP($B11,'Ibri Tankers'!$D$2:$AG$138,Z$28,FALSE),0)</f>
        <v>4.1033404478484696</v>
      </c>
      <c r="AA11" s="34">
        <f>IFERROR(VLOOKUP($B11,'Ibri Tankers'!$D$2:$AG$138,AA$28,FALSE),0)</f>
        <v>4.1033404478484696</v>
      </c>
      <c r="AB11" s="34">
        <f>IFERROR(VLOOKUP($B11,'Ibri Tankers'!$D$2:$AG$138,AB$28,FALSE),0)</f>
        <v>4.1033404478484696</v>
      </c>
      <c r="AC11" s="34">
        <f>IFERROR(VLOOKUP($B11,'Ibri Tankers'!$D$2:$AG$138,AC$28,FALSE),0)</f>
        <v>4.1033404478484696</v>
      </c>
      <c r="AD11" s="44">
        <f t="shared" ref="AD11:CA11" si="9">AC11</f>
        <v>4.1033404478484696</v>
      </c>
      <c r="AE11" s="44">
        <f t="shared" si="9"/>
        <v>4.1033404478484696</v>
      </c>
      <c r="AF11" s="44">
        <f t="shared" si="9"/>
        <v>4.1033404478484696</v>
      </c>
      <c r="AG11" s="44">
        <f t="shared" si="9"/>
        <v>4.1033404478484696</v>
      </c>
      <c r="AH11" s="44">
        <f t="shared" si="9"/>
        <v>4.1033404478484696</v>
      </c>
      <c r="AI11" s="44">
        <f t="shared" si="9"/>
        <v>4.1033404478484696</v>
      </c>
      <c r="AJ11" s="44">
        <f t="shared" si="9"/>
        <v>4.1033404478484696</v>
      </c>
      <c r="AK11" s="44">
        <f t="shared" si="9"/>
        <v>4.1033404478484696</v>
      </c>
      <c r="AL11" s="44">
        <f t="shared" si="9"/>
        <v>4.1033404478484696</v>
      </c>
      <c r="AM11" s="44">
        <f t="shared" si="9"/>
        <v>4.1033404478484696</v>
      </c>
      <c r="AN11" s="44">
        <f t="shared" si="9"/>
        <v>4.1033404478484696</v>
      </c>
      <c r="AO11" s="44">
        <f t="shared" si="9"/>
        <v>4.1033404478484696</v>
      </c>
      <c r="AP11" s="44">
        <f t="shared" si="9"/>
        <v>4.1033404478484696</v>
      </c>
      <c r="AQ11" s="44">
        <f t="shared" si="9"/>
        <v>4.1033404478484696</v>
      </c>
      <c r="AR11" s="44">
        <f t="shared" si="9"/>
        <v>4.1033404478484696</v>
      </c>
      <c r="AS11" s="44">
        <f t="shared" si="9"/>
        <v>4.1033404478484696</v>
      </c>
      <c r="AT11" s="44">
        <f t="shared" si="9"/>
        <v>4.1033404478484696</v>
      </c>
      <c r="AU11" s="44">
        <f t="shared" si="9"/>
        <v>4.1033404478484696</v>
      </c>
      <c r="AV11" s="44">
        <f t="shared" si="9"/>
        <v>4.1033404478484696</v>
      </c>
      <c r="AW11" s="44">
        <f t="shared" si="9"/>
        <v>4.1033404478484696</v>
      </c>
      <c r="AX11" s="44">
        <f t="shared" si="9"/>
        <v>4.1033404478484696</v>
      </c>
      <c r="AY11" s="44">
        <f t="shared" si="9"/>
        <v>4.1033404478484696</v>
      </c>
      <c r="AZ11" s="44">
        <f t="shared" si="9"/>
        <v>4.1033404478484696</v>
      </c>
      <c r="BA11" s="44">
        <f t="shared" si="9"/>
        <v>4.1033404478484696</v>
      </c>
      <c r="BB11" s="44">
        <f t="shared" si="9"/>
        <v>4.1033404478484696</v>
      </c>
      <c r="BC11" s="44">
        <f t="shared" si="9"/>
        <v>4.1033404478484696</v>
      </c>
      <c r="BD11" s="44">
        <f t="shared" si="9"/>
        <v>4.1033404478484696</v>
      </c>
      <c r="BE11" s="44">
        <f t="shared" si="9"/>
        <v>4.1033404478484696</v>
      </c>
      <c r="BF11" s="44">
        <f t="shared" si="9"/>
        <v>4.1033404478484696</v>
      </c>
      <c r="BG11" s="44">
        <f t="shared" si="9"/>
        <v>4.1033404478484696</v>
      </c>
      <c r="BH11" s="44">
        <f t="shared" si="9"/>
        <v>4.1033404478484696</v>
      </c>
      <c r="BI11" s="44">
        <f t="shared" si="9"/>
        <v>4.1033404478484696</v>
      </c>
      <c r="BJ11" s="44">
        <f t="shared" si="9"/>
        <v>4.1033404478484696</v>
      </c>
      <c r="BK11" s="44">
        <f t="shared" si="9"/>
        <v>4.1033404478484696</v>
      </c>
      <c r="BL11" s="44">
        <f t="shared" si="9"/>
        <v>4.1033404478484696</v>
      </c>
      <c r="BM11" s="44">
        <f t="shared" si="9"/>
        <v>4.1033404478484696</v>
      </c>
      <c r="BN11" s="44">
        <f t="shared" si="9"/>
        <v>4.1033404478484696</v>
      </c>
      <c r="BO11" s="44">
        <f t="shared" si="9"/>
        <v>4.1033404478484696</v>
      </c>
      <c r="BP11" s="44">
        <f t="shared" si="9"/>
        <v>4.1033404478484696</v>
      </c>
      <c r="BQ11" s="44">
        <f t="shared" si="9"/>
        <v>4.1033404478484696</v>
      </c>
      <c r="BR11" s="44">
        <f t="shared" si="9"/>
        <v>4.1033404478484696</v>
      </c>
      <c r="BS11" s="44">
        <f t="shared" si="9"/>
        <v>4.1033404478484696</v>
      </c>
      <c r="BT11" s="44">
        <f t="shared" si="9"/>
        <v>4.1033404478484696</v>
      </c>
      <c r="BU11" s="44">
        <f t="shared" si="9"/>
        <v>4.1033404478484696</v>
      </c>
      <c r="BV11" s="44">
        <f t="shared" si="9"/>
        <v>4.1033404478484696</v>
      </c>
      <c r="BW11" s="44">
        <f t="shared" si="9"/>
        <v>4.1033404478484696</v>
      </c>
      <c r="BX11" s="44">
        <f t="shared" si="9"/>
        <v>4.1033404478484696</v>
      </c>
      <c r="BY11" s="44">
        <f t="shared" si="9"/>
        <v>4.1033404478484696</v>
      </c>
      <c r="BZ11" s="44">
        <f t="shared" si="9"/>
        <v>4.1033404478484696</v>
      </c>
      <c r="CA11" s="44">
        <f t="shared" si="9"/>
        <v>4.1033404478484696</v>
      </c>
    </row>
    <row r="12" spans="1:79" x14ac:dyDescent="0.25">
      <c r="A12" s="33">
        <v>11</v>
      </c>
      <c r="B12" s="36" t="s">
        <v>41</v>
      </c>
      <c r="C12" s="34">
        <f>IFERROR(VLOOKUP($B12,'Ibri Tankers'!$D$2:$AG$138,C$28,FALSE),0)</f>
        <v>11.794418355334079</v>
      </c>
      <c r="D12" s="34">
        <f>IFERROR(VLOOKUP($B12,'Ibri Tankers'!$D$2:$AG$138,D$28,FALSE),0)</f>
        <v>11.794418355334079</v>
      </c>
      <c r="E12" s="34">
        <f>IFERROR(VLOOKUP($B12,'Ibri Tankers'!$D$2:$AG$138,E$28,FALSE),0)</f>
        <v>11.794418355334079</v>
      </c>
      <c r="F12" s="34">
        <f>IFERROR(VLOOKUP($B12,'Ibri Tankers'!$D$2:$AG$138,F$28,FALSE),0)</f>
        <v>11.794418355334079</v>
      </c>
      <c r="G12" s="34">
        <f>IFERROR(VLOOKUP($B12,'Ibri Tankers'!$D$2:$AG$138,G$28,FALSE),0)</f>
        <v>11.794418355334079</v>
      </c>
      <c r="H12" s="34">
        <f>IFERROR(VLOOKUP($B12,'Ibri Tankers'!$D$2:$AG$138,H$28,FALSE),0)</f>
        <v>11.794418355334079</v>
      </c>
      <c r="I12" s="34">
        <f>IFERROR(VLOOKUP($B12,'Ibri Tankers'!$D$2:$AG$138,I$28,FALSE),0)</f>
        <v>11.794418355334079</v>
      </c>
      <c r="J12" s="34">
        <f>IFERROR(VLOOKUP($B12,'Ibri Tankers'!$D$2:$AG$138,J$28,FALSE),0)</f>
        <v>11.794418355334079</v>
      </c>
      <c r="K12" s="34">
        <f>IFERROR(VLOOKUP($B12,'Ibri Tankers'!$D$2:$AG$138,K$28,FALSE),0)</f>
        <v>11.794418355334079</v>
      </c>
      <c r="L12" s="34">
        <f>IFERROR(VLOOKUP($B12,'Ibri Tankers'!$D$2:$AG$138,L$28,FALSE),0)</f>
        <v>11.794418355334079</v>
      </c>
      <c r="M12" s="34">
        <f>IFERROR(VLOOKUP($B12,'Ibri Tankers'!$D$2:$AG$138,M$28,FALSE),0)</f>
        <v>11.794418355334079</v>
      </c>
      <c r="N12" s="34">
        <f>IFERROR(VLOOKUP($B12,'Ibri Tankers'!$D$2:$AG$138,N$28,FALSE),0)</f>
        <v>11.794418355334079</v>
      </c>
      <c r="O12" s="34">
        <f>IFERROR(VLOOKUP($B12,'Ibri Tankers'!$D$2:$AG$138,O$28,FALSE),0)</f>
        <v>11.794418355334079</v>
      </c>
      <c r="P12" s="34">
        <f>IFERROR(VLOOKUP($B12,'Ibri Tankers'!$D$2:$AG$138,P$28,FALSE),0)</f>
        <v>11.794418355334079</v>
      </c>
      <c r="Q12" s="34">
        <f>IFERROR(VLOOKUP($B12,'Ibri Tankers'!$D$2:$AG$138,Q$28,FALSE),0)</f>
        <v>11.794418355334079</v>
      </c>
      <c r="R12" s="34">
        <f>IFERROR(VLOOKUP($B12,'Ibri Tankers'!$D$2:$AG$138,R$28,FALSE),0)</f>
        <v>11.794418355334079</v>
      </c>
      <c r="S12" s="34">
        <f>IFERROR(VLOOKUP($B12,'Ibri Tankers'!$D$2:$AG$138,S$28,FALSE),0)</f>
        <v>11.794418355334079</v>
      </c>
      <c r="T12" s="34">
        <f>IFERROR(VLOOKUP($B12,'Ibri Tankers'!$D$2:$AG$138,T$28,FALSE),0)</f>
        <v>11.794418355334079</v>
      </c>
      <c r="U12" s="34">
        <f>IFERROR(VLOOKUP($B12,'Ibri Tankers'!$D$2:$AG$138,U$28,FALSE),0)</f>
        <v>11.794418355334079</v>
      </c>
      <c r="V12" s="34">
        <f>IFERROR(VLOOKUP($B12,'Ibri Tankers'!$D$2:$AG$138,V$28,FALSE),0)</f>
        <v>11.794418355334079</v>
      </c>
      <c r="W12" s="34">
        <f>IFERROR(VLOOKUP($B12,'Ibri Tankers'!$D$2:$AG$138,W$28,FALSE),0)</f>
        <v>11.794418355334079</v>
      </c>
      <c r="X12" s="34">
        <f>IFERROR(VLOOKUP($B12,'Ibri Tankers'!$D$2:$AG$138,X$28,FALSE),0)</f>
        <v>11.794418355334079</v>
      </c>
      <c r="Y12" s="34">
        <f>IFERROR(VLOOKUP($B12,'Ibri Tankers'!$D$2:$AG$138,Y$28,FALSE),0)</f>
        <v>11.794418355334079</v>
      </c>
      <c r="Z12" s="34">
        <f>IFERROR(VLOOKUP($B12,'Ibri Tankers'!$D$2:$AG$138,Z$28,FALSE),0)</f>
        <v>11.794418355334079</v>
      </c>
      <c r="AA12" s="34">
        <f>IFERROR(VLOOKUP($B12,'Ibri Tankers'!$D$2:$AG$138,AA$28,FALSE),0)</f>
        <v>11.794418355334079</v>
      </c>
      <c r="AB12" s="34">
        <f>IFERROR(VLOOKUP($B12,'Ibri Tankers'!$D$2:$AG$138,AB$28,FALSE),0)</f>
        <v>11.794418355334079</v>
      </c>
      <c r="AC12" s="34">
        <f>IFERROR(VLOOKUP($B12,'Ibri Tankers'!$D$2:$AG$138,AC$28,FALSE),0)</f>
        <v>11.794418355334079</v>
      </c>
      <c r="AD12" s="44">
        <f t="shared" ref="AD12:CA12" si="10">AC12</f>
        <v>11.794418355334079</v>
      </c>
      <c r="AE12" s="44">
        <f t="shared" si="10"/>
        <v>11.794418355334079</v>
      </c>
      <c r="AF12" s="44">
        <f t="shared" si="10"/>
        <v>11.794418355334079</v>
      </c>
      <c r="AG12" s="44">
        <f t="shared" si="10"/>
        <v>11.794418355334079</v>
      </c>
      <c r="AH12" s="44">
        <f t="shared" si="10"/>
        <v>11.794418355334079</v>
      </c>
      <c r="AI12" s="44">
        <f t="shared" si="10"/>
        <v>11.794418355334079</v>
      </c>
      <c r="AJ12" s="44">
        <f t="shared" si="10"/>
        <v>11.794418355334079</v>
      </c>
      <c r="AK12" s="44">
        <f t="shared" si="10"/>
        <v>11.794418355334079</v>
      </c>
      <c r="AL12" s="44">
        <f t="shared" si="10"/>
        <v>11.794418355334079</v>
      </c>
      <c r="AM12" s="44">
        <f t="shared" si="10"/>
        <v>11.794418355334079</v>
      </c>
      <c r="AN12" s="44">
        <f t="shared" si="10"/>
        <v>11.794418355334079</v>
      </c>
      <c r="AO12" s="44">
        <f t="shared" si="10"/>
        <v>11.794418355334079</v>
      </c>
      <c r="AP12" s="44">
        <f t="shared" si="10"/>
        <v>11.794418355334079</v>
      </c>
      <c r="AQ12" s="44">
        <f t="shared" si="10"/>
        <v>11.794418355334079</v>
      </c>
      <c r="AR12" s="44">
        <f t="shared" si="10"/>
        <v>11.794418355334079</v>
      </c>
      <c r="AS12" s="44">
        <f t="shared" si="10"/>
        <v>11.794418355334079</v>
      </c>
      <c r="AT12" s="44">
        <f t="shared" si="10"/>
        <v>11.794418355334079</v>
      </c>
      <c r="AU12" s="44">
        <f t="shared" si="10"/>
        <v>11.794418355334079</v>
      </c>
      <c r="AV12" s="44">
        <f t="shared" si="10"/>
        <v>11.794418355334079</v>
      </c>
      <c r="AW12" s="44">
        <f t="shared" si="10"/>
        <v>11.794418355334079</v>
      </c>
      <c r="AX12" s="44">
        <f t="shared" si="10"/>
        <v>11.794418355334079</v>
      </c>
      <c r="AY12" s="44">
        <f t="shared" si="10"/>
        <v>11.794418355334079</v>
      </c>
      <c r="AZ12" s="44">
        <f t="shared" si="10"/>
        <v>11.794418355334079</v>
      </c>
      <c r="BA12" s="44">
        <f t="shared" si="10"/>
        <v>11.794418355334079</v>
      </c>
      <c r="BB12" s="44">
        <f t="shared" si="10"/>
        <v>11.794418355334079</v>
      </c>
      <c r="BC12" s="44">
        <f t="shared" si="10"/>
        <v>11.794418355334079</v>
      </c>
      <c r="BD12" s="44">
        <f t="shared" si="10"/>
        <v>11.794418355334079</v>
      </c>
      <c r="BE12" s="44">
        <f t="shared" si="10"/>
        <v>11.794418355334079</v>
      </c>
      <c r="BF12" s="44">
        <f t="shared" si="10"/>
        <v>11.794418355334079</v>
      </c>
      <c r="BG12" s="44">
        <f t="shared" si="10"/>
        <v>11.794418355334079</v>
      </c>
      <c r="BH12" s="44">
        <f t="shared" si="10"/>
        <v>11.794418355334079</v>
      </c>
      <c r="BI12" s="44">
        <f t="shared" si="10"/>
        <v>11.794418355334079</v>
      </c>
      <c r="BJ12" s="44">
        <f t="shared" si="10"/>
        <v>11.794418355334079</v>
      </c>
      <c r="BK12" s="44">
        <f t="shared" si="10"/>
        <v>11.794418355334079</v>
      </c>
      <c r="BL12" s="44">
        <f t="shared" si="10"/>
        <v>11.794418355334079</v>
      </c>
      <c r="BM12" s="44">
        <f t="shared" si="10"/>
        <v>11.794418355334079</v>
      </c>
      <c r="BN12" s="44">
        <f t="shared" si="10"/>
        <v>11.794418355334079</v>
      </c>
      <c r="BO12" s="44">
        <f t="shared" si="10"/>
        <v>11.794418355334079</v>
      </c>
      <c r="BP12" s="44">
        <f t="shared" si="10"/>
        <v>11.794418355334079</v>
      </c>
      <c r="BQ12" s="44">
        <f t="shared" si="10"/>
        <v>11.794418355334079</v>
      </c>
      <c r="BR12" s="44">
        <f t="shared" si="10"/>
        <v>11.794418355334079</v>
      </c>
      <c r="BS12" s="44">
        <f t="shared" si="10"/>
        <v>11.794418355334079</v>
      </c>
      <c r="BT12" s="44">
        <f t="shared" si="10"/>
        <v>11.794418355334079</v>
      </c>
      <c r="BU12" s="44">
        <f t="shared" si="10"/>
        <v>11.794418355334079</v>
      </c>
      <c r="BV12" s="44">
        <f t="shared" si="10"/>
        <v>11.794418355334079</v>
      </c>
      <c r="BW12" s="44">
        <f t="shared" si="10"/>
        <v>11.794418355334079</v>
      </c>
      <c r="BX12" s="44">
        <f t="shared" si="10"/>
        <v>11.794418355334079</v>
      </c>
      <c r="BY12" s="44">
        <f t="shared" si="10"/>
        <v>11.794418355334079</v>
      </c>
      <c r="BZ12" s="44">
        <f t="shared" si="10"/>
        <v>11.794418355334079</v>
      </c>
      <c r="CA12" s="44">
        <f t="shared" si="10"/>
        <v>11.794418355334079</v>
      </c>
    </row>
    <row r="13" spans="1:79" x14ac:dyDescent="0.25">
      <c r="A13" s="33">
        <v>12</v>
      </c>
      <c r="B13" s="36" t="s">
        <v>38</v>
      </c>
      <c r="C13" s="34">
        <f>IFERROR(VLOOKUP($B13,'Ibri Tankers'!$D$2:$AG$138,C$28,FALSE),0)</f>
        <v>72.055517602532802</v>
      </c>
      <c r="D13" s="34">
        <f>IFERROR(VLOOKUP($B13,'Ibri Tankers'!$D$2:$AG$138,D$28,FALSE),0)</f>
        <v>72.055517602532802</v>
      </c>
      <c r="E13" s="34">
        <f>IFERROR(VLOOKUP($B13,'Ibri Tankers'!$D$2:$AG$138,E$28,FALSE),0)</f>
        <v>72.055517602532802</v>
      </c>
      <c r="F13" s="34">
        <f>IFERROR(VLOOKUP($B13,'Ibri Tankers'!$D$2:$AG$138,F$28,FALSE),0)</f>
        <v>72.055517602532802</v>
      </c>
      <c r="G13" s="34">
        <f>IFERROR(VLOOKUP($B13,'Ibri Tankers'!$D$2:$AG$138,G$28,FALSE),0)</f>
        <v>72.055517602532802</v>
      </c>
      <c r="H13" s="34">
        <f>IFERROR(VLOOKUP($B13,'Ibri Tankers'!$D$2:$AG$138,H$28,FALSE),0)</f>
        <v>72.055517602532802</v>
      </c>
      <c r="I13" s="34">
        <f>IFERROR(VLOOKUP($B13,'Ibri Tankers'!$D$2:$AG$138,I$28,FALSE),0)</f>
        <v>72.055517602532802</v>
      </c>
      <c r="J13" s="34">
        <f>IFERROR(VLOOKUP($B13,'Ibri Tankers'!$D$2:$AG$138,J$28,FALSE),0)</f>
        <v>72.055517602532802</v>
      </c>
      <c r="K13" s="34">
        <f>IFERROR(VLOOKUP($B13,'Ibri Tankers'!$D$2:$AG$138,K$28,FALSE),0)</f>
        <v>72.055517602532802</v>
      </c>
      <c r="L13" s="34">
        <f>IFERROR(VLOOKUP($B13,'Ibri Tankers'!$D$2:$AG$138,L$28,FALSE),0)</f>
        <v>72.055517602532802</v>
      </c>
      <c r="M13" s="34">
        <f>IFERROR(VLOOKUP($B13,'Ibri Tankers'!$D$2:$AG$138,M$28,FALSE),0)</f>
        <v>72.055517602532802</v>
      </c>
      <c r="N13" s="34">
        <f>IFERROR(VLOOKUP($B13,'Ibri Tankers'!$D$2:$AG$138,N$28,FALSE),0)</f>
        <v>72.055517602532802</v>
      </c>
      <c r="O13" s="34">
        <f>IFERROR(VLOOKUP($B13,'Ibri Tankers'!$D$2:$AG$138,O$28,FALSE),0)</f>
        <v>72.055517602532802</v>
      </c>
      <c r="P13" s="34">
        <f>IFERROR(VLOOKUP($B13,'Ibri Tankers'!$D$2:$AG$138,P$28,FALSE),0)</f>
        <v>72.055517602532802</v>
      </c>
      <c r="Q13" s="34">
        <f>IFERROR(VLOOKUP($B13,'Ibri Tankers'!$D$2:$AG$138,Q$28,FALSE),0)</f>
        <v>72.055517602532802</v>
      </c>
      <c r="R13" s="34">
        <f>IFERROR(VLOOKUP($B13,'Ibri Tankers'!$D$2:$AG$138,R$28,FALSE),0)</f>
        <v>72.055517602532802</v>
      </c>
      <c r="S13" s="34">
        <f>IFERROR(VLOOKUP($B13,'Ibri Tankers'!$D$2:$AG$138,S$28,FALSE),0)</f>
        <v>72.055517602532802</v>
      </c>
      <c r="T13" s="34">
        <f>IFERROR(VLOOKUP($B13,'Ibri Tankers'!$D$2:$AG$138,T$28,FALSE),0)</f>
        <v>72.055517602532802</v>
      </c>
      <c r="U13" s="34">
        <f>IFERROR(VLOOKUP($B13,'Ibri Tankers'!$D$2:$AG$138,U$28,FALSE),0)</f>
        <v>72.055517602532802</v>
      </c>
      <c r="V13" s="34">
        <f>IFERROR(VLOOKUP($B13,'Ibri Tankers'!$D$2:$AG$138,V$28,FALSE),0)</f>
        <v>72.055517602532802</v>
      </c>
      <c r="W13" s="34">
        <f>IFERROR(VLOOKUP($B13,'Ibri Tankers'!$D$2:$AG$138,W$28,FALSE),0)</f>
        <v>72.055517602532802</v>
      </c>
      <c r="X13" s="34">
        <f>IFERROR(VLOOKUP($B13,'Ibri Tankers'!$D$2:$AG$138,X$28,FALSE),0)</f>
        <v>72.055517602532802</v>
      </c>
      <c r="Y13" s="34">
        <f>IFERROR(VLOOKUP($B13,'Ibri Tankers'!$D$2:$AG$138,Y$28,FALSE),0)</f>
        <v>72.055517602532802</v>
      </c>
      <c r="Z13" s="34">
        <f>IFERROR(VLOOKUP($B13,'Ibri Tankers'!$D$2:$AG$138,Z$28,FALSE),0)</f>
        <v>72.055517602532802</v>
      </c>
      <c r="AA13" s="34">
        <f>IFERROR(VLOOKUP($B13,'Ibri Tankers'!$D$2:$AG$138,AA$28,FALSE),0)</f>
        <v>72.055517602532802</v>
      </c>
      <c r="AB13" s="34">
        <f>IFERROR(VLOOKUP($B13,'Ibri Tankers'!$D$2:$AG$138,AB$28,FALSE),0)</f>
        <v>72.055517602532802</v>
      </c>
      <c r="AC13" s="34">
        <f>IFERROR(VLOOKUP($B13,'Ibri Tankers'!$D$2:$AG$138,AC$28,FALSE),0)</f>
        <v>72.055517602532802</v>
      </c>
      <c r="AD13" s="44">
        <f t="shared" ref="AD13:CA13" si="11">AC13</f>
        <v>72.055517602532802</v>
      </c>
      <c r="AE13" s="44">
        <f t="shared" si="11"/>
        <v>72.055517602532802</v>
      </c>
      <c r="AF13" s="44">
        <f t="shared" si="11"/>
        <v>72.055517602532802</v>
      </c>
      <c r="AG13" s="44">
        <f t="shared" si="11"/>
        <v>72.055517602532802</v>
      </c>
      <c r="AH13" s="44">
        <f t="shared" si="11"/>
        <v>72.055517602532802</v>
      </c>
      <c r="AI13" s="44">
        <f t="shared" si="11"/>
        <v>72.055517602532802</v>
      </c>
      <c r="AJ13" s="44">
        <f t="shared" si="11"/>
        <v>72.055517602532802</v>
      </c>
      <c r="AK13" s="44">
        <f t="shared" si="11"/>
        <v>72.055517602532802</v>
      </c>
      <c r="AL13" s="44">
        <f t="shared" si="11"/>
        <v>72.055517602532802</v>
      </c>
      <c r="AM13" s="44">
        <f t="shared" si="11"/>
        <v>72.055517602532802</v>
      </c>
      <c r="AN13" s="44">
        <f t="shared" si="11"/>
        <v>72.055517602532802</v>
      </c>
      <c r="AO13" s="44">
        <f t="shared" si="11"/>
        <v>72.055517602532802</v>
      </c>
      <c r="AP13" s="44">
        <f t="shared" si="11"/>
        <v>72.055517602532802</v>
      </c>
      <c r="AQ13" s="44">
        <f t="shared" si="11"/>
        <v>72.055517602532802</v>
      </c>
      <c r="AR13" s="44">
        <f t="shared" si="11"/>
        <v>72.055517602532802</v>
      </c>
      <c r="AS13" s="44">
        <f t="shared" si="11"/>
        <v>72.055517602532802</v>
      </c>
      <c r="AT13" s="44">
        <f t="shared" si="11"/>
        <v>72.055517602532802</v>
      </c>
      <c r="AU13" s="44">
        <f t="shared" si="11"/>
        <v>72.055517602532802</v>
      </c>
      <c r="AV13" s="44">
        <f t="shared" si="11"/>
        <v>72.055517602532802</v>
      </c>
      <c r="AW13" s="44">
        <f t="shared" si="11"/>
        <v>72.055517602532802</v>
      </c>
      <c r="AX13" s="44">
        <f t="shared" si="11"/>
        <v>72.055517602532802</v>
      </c>
      <c r="AY13" s="44">
        <f t="shared" si="11"/>
        <v>72.055517602532802</v>
      </c>
      <c r="AZ13" s="44">
        <f t="shared" si="11"/>
        <v>72.055517602532802</v>
      </c>
      <c r="BA13" s="44">
        <f t="shared" si="11"/>
        <v>72.055517602532802</v>
      </c>
      <c r="BB13" s="44">
        <f t="shared" si="11"/>
        <v>72.055517602532802</v>
      </c>
      <c r="BC13" s="44">
        <f t="shared" si="11"/>
        <v>72.055517602532802</v>
      </c>
      <c r="BD13" s="44">
        <f t="shared" si="11"/>
        <v>72.055517602532802</v>
      </c>
      <c r="BE13" s="44">
        <f t="shared" si="11"/>
        <v>72.055517602532802</v>
      </c>
      <c r="BF13" s="44">
        <f t="shared" si="11"/>
        <v>72.055517602532802</v>
      </c>
      <c r="BG13" s="44">
        <f t="shared" si="11"/>
        <v>72.055517602532802</v>
      </c>
      <c r="BH13" s="44">
        <f t="shared" si="11"/>
        <v>72.055517602532802</v>
      </c>
      <c r="BI13" s="44">
        <f t="shared" si="11"/>
        <v>72.055517602532802</v>
      </c>
      <c r="BJ13" s="44">
        <f t="shared" si="11"/>
        <v>72.055517602532802</v>
      </c>
      <c r="BK13" s="44">
        <f t="shared" si="11"/>
        <v>72.055517602532802</v>
      </c>
      <c r="BL13" s="44">
        <f t="shared" si="11"/>
        <v>72.055517602532802</v>
      </c>
      <c r="BM13" s="44">
        <f t="shared" si="11"/>
        <v>72.055517602532802</v>
      </c>
      <c r="BN13" s="44">
        <f t="shared" si="11"/>
        <v>72.055517602532802</v>
      </c>
      <c r="BO13" s="44">
        <f t="shared" si="11"/>
        <v>72.055517602532802</v>
      </c>
      <c r="BP13" s="44">
        <f t="shared" si="11"/>
        <v>72.055517602532802</v>
      </c>
      <c r="BQ13" s="44">
        <f t="shared" si="11"/>
        <v>72.055517602532802</v>
      </c>
      <c r="BR13" s="44">
        <f t="shared" si="11"/>
        <v>72.055517602532802</v>
      </c>
      <c r="BS13" s="44">
        <f t="shared" si="11"/>
        <v>72.055517602532802</v>
      </c>
      <c r="BT13" s="44">
        <f t="shared" si="11"/>
        <v>72.055517602532802</v>
      </c>
      <c r="BU13" s="44">
        <f t="shared" si="11"/>
        <v>72.055517602532802</v>
      </c>
      <c r="BV13" s="44">
        <f t="shared" si="11"/>
        <v>72.055517602532802</v>
      </c>
      <c r="BW13" s="44">
        <f t="shared" si="11"/>
        <v>72.055517602532802</v>
      </c>
      <c r="BX13" s="44">
        <f t="shared" si="11"/>
        <v>72.055517602532802</v>
      </c>
      <c r="BY13" s="44">
        <f t="shared" si="11"/>
        <v>72.055517602532802</v>
      </c>
      <c r="BZ13" s="44">
        <f t="shared" si="11"/>
        <v>72.055517602532802</v>
      </c>
      <c r="CA13" s="44">
        <f t="shared" si="11"/>
        <v>72.055517602532802</v>
      </c>
    </row>
    <row r="14" spans="1:79" x14ac:dyDescent="0.25">
      <c r="A14" s="33">
        <v>13</v>
      </c>
      <c r="B14" s="36" t="s">
        <v>45</v>
      </c>
      <c r="C14" s="34">
        <f>IFERROR(VLOOKUP($B14,'Ibri Tankers'!$D$2:$AG$138,C$28,FALSE),0)</f>
        <v>1.0097225185805132</v>
      </c>
      <c r="D14" s="34">
        <f>IFERROR(VLOOKUP($B14,'Ibri Tankers'!$D$2:$AG$138,D$28,FALSE),0)</f>
        <v>1.0097225185805132</v>
      </c>
      <c r="E14" s="34">
        <f>IFERROR(VLOOKUP($B14,'Ibri Tankers'!$D$2:$AG$138,E$28,FALSE),0)</f>
        <v>1.0097225185805132</v>
      </c>
      <c r="F14" s="34">
        <f>IFERROR(VLOOKUP($B14,'Ibri Tankers'!$D$2:$AG$138,F$28,FALSE),0)</f>
        <v>1.0097225185805132</v>
      </c>
      <c r="G14" s="34">
        <f>IFERROR(VLOOKUP($B14,'Ibri Tankers'!$D$2:$AG$138,G$28,FALSE),0)</f>
        <v>1.0097225185805132</v>
      </c>
      <c r="H14" s="34">
        <f>IFERROR(VLOOKUP($B14,'Ibri Tankers'!$D$2:$AG$138,H$28,FALSE),0)</f>
        <v>1.0097225185805132</v>
      </c>
      <c r="I14" s="34">
        <f>IFERROR(VLOOKUP($B14,'Ibri Tankers'!$D$2:$AG$138,I$28,FALSE),0)</f>
        <v>1.0097225185805132</v>
      </c>
      <c r="J14" s="34">
        <f>IFERROR(VLOOKUP($B14,'Ibri Tankers'!$D$2:$AG$138,J$28,FALSE),0)</f>
        <v>1.0097225185805132</v>
      </c>
      <c r="K14" s="34">
        <f>IFERROR(VLOOKUP($B14,'Ibri Tankers'!$D$2:$AG$138,K$28,FALSE),0)</f>
        <v>1.0097225185805132</v>
      </c>
      <c r="L14" s="34">
        <f>IFERROR(VLOOKUP($B14,'Ibri Tankers'!$D$2:$AG$138,L$28,FALSE),0)</f>
        <v>1.0097225185805132</v>
      </c>
      <c r="M14" s="34">
        <f>IFERROR(VLOOKUP($B14,'Ibri Tankers'!$D$2:$AG$138,M$28,FALSE),0)</f>
        <v>1.0097225185805132</v>
      </c>
      <c r="N14" s="34">
        <f>IFERROR(VLOOKUP($B14,'Ibri Tankers'!$D$2:$AG$138,N$28,FALSE),0)</f>
        <v>1.0097225185805132</v>
      </c>
      <c r="O14" s="34">
        <f>IFERROR(VLOOKUP($B14,'Ibri Tankers'!$D$2:$AG$138,O$28,FALSE),0)</f>
        <v>1.0097225185805132</v>
      </c>
      <c r="P14" s="34">
        <f>IFERROR(VLOOKUP($B14,'Ibri Tankers'!$D$2:$AG$138,P$28,FALSE),0)</f>
        <v>1.0097225185805132</v>
      </c>
      <c r="Q14" s="34">
        <f>IFERROR(VLOOKUP($B14,'Ibri Tankers'!$D$2:$AG$138,Q$28,FALSE),0)</f>
        <v>1.0097225185805132</v>
      </c>
      <c r="R14" s="34">
        <f>IFERROR(VLOOKUP($B14,'Ibri Tankers'!$D$2:$AG$138,R$28,FALSE),0)</f>
        <v>1.0097225185805132</v>
      </c>
      <c r="S14" s="34">
        <f>IFERROR(VLOOKUP($B14,'Ibri Tankers'!$D$2:$AG$138,S$28,FALSE),0)</f>
        <v>1.0097225185805132</v>
      </c>
      <c r="T14" s="34">
        <f>IFERROR(VLOOKUP($B14,'Ibri Tankers'!$D$2:$AG$138,T$28,FALSE),0)</f>
        <v>1.0097225185805132</v>
      </c>
      <c r="U14" s="34">
        <f>IFERROR(VLOOKUP($B14,'Ibri Tankers'!$D$2:$AG$138,U$28,FALSE),0)</f>
        <v>1.0097225185805132</v>
      </c>
      <c r="V14" s="34">
        <f>IFERROR(VLOOKUP($B14,'Ibri Tankers'!$D$2:$AG$138,V$28,FALSE),0)</f>
        <v>1.0097225185805132</v>
      </c>
      <c r="W14" s="34">
        <f>IFERROR(VLOOKUP($B14,'Ibri Tankers'!$D$2:$AG$138,W$28,FALSE),0)</f>
        <v>1.0097225185805132</v>
      </c>
      <c r="X14" s="34">
        <f>IFERROR(VLOOKUP($B14,'Ibri Tankers'!$D$2:$AG$138,X$28,FALSE),0)</f>
        <v>1.0097225185805132</v>
      </c>
      <c r="Y14" s="34">
        <f>IFERROR(VLOOKUP($B14,'Ibri Tankers'!$D$2:$AG$138,Y$28,FALSE),0)</f>
        <v>1.0097225185805132</v>
      </c>
      <c r="Z14" s="34">
        <f>IFERROR(VLOOKUP($B14,'Ibri Tankers'!$D$2:$AG$138,Z$28,FALSE),0)</f>
        <v>1.0097225185805132</v>
      </c>
      <c r="AA14" s="34">
        <f>IFERROR(VLOOKUP($B14,'Ibri Tankers'!$D$2:$AG$138,AA$28,FALSE),0)</f>
        <v>1.0097225185805132</v>
      </c>
      <c r="AB14" s="34">
        <f>IFERROR(VLOOKUP($B14,'Ibri Tankers'!$D$2:$AG$138,AB$28,FALSE),0)</f>
        <v>1.0097225185805132</v>
      </c>
      <c r="AC14" s="34">
        <f>IFERROR(VLOOKUP($B14,'Ibri Tankers'!$D$2:$AG$138,AC$28,FALSE),0)</f>
        <v>1.0097225185805132</v>
      </c>
      <c r="AD14" s="44">
        <f t="shared" ref="AD14:CA14" si="12">AC14</f>
        <v>1.0097225185805132</v>
      </c>
      <c r="AE14" s="44">
        <f t="shared" si="12"/>
        <v>1.0097225185805132</v>
      </c>
      <c r="AF14" s="44">
        <f t="shared" si="12"/>
        <v>1.0097225185805132</v>
      </c>
      <c r="AG14" s="44">
        <f t="shared" si="12"/>
        <v>1.0097225185805132</v>
      </c>
      <c r="AH14" s="44">
        <f t="shared" si="12"/>
        <v>1.0097225185805132</v>
      </c>
      <c r="AI14" s="44">
        <f t="shared" si="12"/>
        <v>1.0097225185805132</v>
      </c>
      <c r="AJ14" s="44">
        <f t="shared" si="12"/>
        <v>1.0097225185805132</v>
      </c>
      <c r="AK14" s="44">
        <f t="shared" si="12"/>
        <v>1.0097225185805132</v>
      </c>
      <c r="AL14" s="44">
        <f t="shared" si="12"/>
        <v>1.0097225185805132</v>
      </c>
      <c r="AM14" s="44">
        <f t="shared" si="12"/>
        <v>1.0097225185805132</v>
      </c>
      <c r="AN14" s="44">
        <f t="shared" si="12"/>
        <v>1.0097225185805132</v>
      </c>
      <c r="AO14" s="44">
        <f t="shared" si="12"/>
        <v>1.0097225185805132</v>
      </c>
      <c r="AP14" s="44">
        <f t="shared" si="12"/>
        <v>1.0097225185805132</v>
      </c>
      <c r="AQ14" s="44">
        <f t="shared" si="12"/>
        <v>1.0097225185805132</v>
      </c>
      <c r="AR14" s="44">
        <f t="shared" si="12"/>
        <v>1.0097225185805132</v>
      </c>
      <c r="AS14" s="44">
        <f t="shared" si="12"/>
        <v>1.0097225185805132</v>
      </c>
      <c r="AT14" s="44">
        <f t="shared" si="12"/>
        <v>1.0097225185805132</v>
      </c>
      <c r="AU14" s="44">
        <f t="shared" si="12"/>
        <v>1.0097225185805132</v>
      </c>
      <c r="AV14" s="44">
        <f t="shared" si="12"/>
        <v>1.0097225185805132</v>
      </c>
      <c r="AW14" s="44">
        <f t="shared" si="12"/>
        <v>1.0097225185805132</v>
      </c>
      <c r="AX14" s="44">
        <f t="shared" si="12"/>
        <v>1.0097225185805132</v>
      </c>
      <c r="AY14" s="44">
        <f t="shared" si="12"/>
        <v>1.0097225185805132</v>
      </c>
      <c r="AZ14" s="44">
        <f t="shared" si="12"/>
        <v>1.0097225185805132</v>
      </c>
      <c r="BA14" s="44">
        <f t="shared" si="12"/>
        <v>1.0097225185805132</v>
      </c>
      <c r="BB14" s="44">
        <f t="shared" si="12"/>
        <v>1.0097225185805132</v>
      </c>
      <c r="BC14" s="44">
        <f t="shared" si="12"/>
        <v>1.0097225185805132</v>
      </c>
      <c r="BD14" s="44">
        <f t="shared" si="12"/>
        <v>1.0097225185805132</v>
      </c>
      <c r="BE14" s="44">
        <f t="shared" si="12"/>
        <v>1.0097225185805132</v>
      </c>
      <c r="BF14" s="44">
        <f t="shared" si="12"/>
        <v>1.0097225185805132</v>
      </c>
      <c r="BG14" s="44">
        <f t="shared" si="12"/>
        <v>1.0097225185805132</v>
      </c>
      <c r="BH14" s="44">
        <f t="shared" si="12"/>
        <v>1.0097225185805132</v>
      </c>
      <c r="BI14" s="44">
        <f t="shared" si="12"/>
        <v>1.0097225185805132</v>
      </c>
      <c r="BJ14" s="44">
        <f t="shared" si="12"/>
        <v>1.0097225185805132</v>
      </c>
      <c r="BK14" s="44">
        <f t="shared" si="12"/>
        <v>1.0097225185805132</v>
      </c>
      <c r="BL14" s="44">
        <f t="shared" si="12"/>
        <v>1.0097225185805132</v>
      </c>
      <c r="BM14" s="44">
        <f t="shared" si="12"/>
        <v>1.0097225185805132</v>
      </c>
      <c r="BN14" s="44">
        <f t="shared" si="12"/>
        <v>1.0097225185805132</v>
      </c>
      <c r="BO14" s="44">
        <f t="shared" si="12"/>
        <v>1.0097225185805132</v>
      </c>
      <c r="BP14" s="44">
        <f t="shared" si="12"/>
        <v>1.0097225185805132</v>
      </c>
      <c r="BQ14" s="44">
        <f t="shared" si="12"/>
        <v>1.0097225185805132</v>
      </c>
      <c r="BR14" s="44">
        <f t="shared" si="12"/>
        <v>1.0097225185805132</v>
      </c>
      <c r="BS14" s="44">
        <f t="shared" si="12"/>
        <v>1.0097225185805132</v>
      </c>
      <c r="BT14" s="44">
        <f t="shared" si="12"/>
        <v>1.0097225185805132</v>
      </c>
      <c r="BU14" s="44">
        <f t="shared" si="12"/>
        <v>1.0097225185805132</v>
      </c>
      <c r="BV14" s="44">
        <f t="shared" si="12"/>
        <v>1.0097225185805132</v>
      </c>
      <c r="BW14" s="44">
        <f t="shared" si="12"/>
        <v>1.0097225185805132</v>
      </c>
      <c r="BX14" s="44">
        <f t="shared" si="12"/>
        <v>1.0097225185805132</v>
      </c>
      <c r="BY14" s="44">
        <f t="shared" si="12"/>
        <v>1.0097225185805132</v>
      </c>
      <c r="BZ14" s="44">
        <f t="shared" si="12"/>
        <v>1.0097225185805132</v>
      </c>
      <c r="CA14" s="44">
        <f t="shared" si="12"/>
        <v>1.0097225185805132</v>
      </c>
    </row>
    <row r="15" spans="1:79" x14ac:dyDescent="0.25">
      <c r="A15" s="33">
        <v>14</v>
      </c>
      <c r="B15" s="36" t="s">
        <v>46</v>
      </c>
      <c r="C15" s="34">
        <f>IFERROR(VLOOKUP($B15,'Ibri Tankers'!$D$2:$AG$138,C$28,FALSE),0)</f>
        <v>71.991067229006376</v>
      </c>
      <c r="D15" s="34">
        <f>IFERROR(VLOOKUP($B15,'Ibri Tankers'!$D$2:$AG$138,D$28,FALSE),0)</f>
        <v>71.991067229006376</v>
      </c>
      <c r="E15" s="34">
        <f>IFERROR(VLOOKUP($B15,'Ibri Tankers'!$D$2:$AG$138,E$28,FALSE),0)</f>
        <v>71.991067229006376</v>
      </c>
      <c r="F15" s="34">
        <f>IFERROR(VLOOKUP($B15,'Ibri Tankers'!$D$2:$AG$138,F$28,FALSE),0)</f>
        <v>71.991067229006376</v>
      </c>
      <c r="G15" s="34">
        <f>IFERROR(VLOOKUP($B15,'Ibri Tankers'!$D$2:$AG$138,G$28,FALSE),0)</f>
        <v>71.991067229006376</v>
      </c>
      <c r="H15" s="34">
        <f>IFERROR(VLOOKUP($B15,'Ibri Tankers'!$D$2:$AG$138,H$28,FALSE),0)</f>
        <v>71.991067229006376</v>
      </c>
      <c r="I15" s="34">
        <f>IFERROR(VLOOKUP($B15,'Ibri Tankers'!$D$2:$AG$138,I$28,FALSE),0)</f>
        <v>71.991067229006376</v>
      </c>
      <c r="J15" s="34">
        <f>IFERROR(VLOOKUP($B15,'Ibri Tankers'!$D$2:$AG$138,J$28,FALSE),0)</f>
        <v>71.991067229006376</v>
      </c>
      <c r="K15" s="34">
        <f>IFERROR(VLOOKUP($B15,'Ibri Tankers'!$D$2:$AG$138,K$28,FALSE),0)</f>
        <v>71.991067229006376</v>
      </c>
      <c r="L15" s="34">
        <f>IFERROR(VLOOKUP($B15,'Ibri Tankers'!$D$2:$AG$138,L$28,FALSE),0)</f>
        <v>71.991067229006376</v>
      </c>
      <c r="M15" s="34">
        <f>IFERROR(VLOOKUP($B15,'Ibri Tankers'!$D$2:$AG$138,M$28,FALSE),0)</f>
        <v>71.991067229006376</v>
      </c>
      <c r="N15" s="34">
        <f>IFERROR(VLOOKUP($B15,'Ibri Tankers'!$D$2:$AG$138,N$28,FALSE),0)</f>
        <v>71.991067229006376</v>
      </c>
      <c r="O15" s="34">
        <f>IFERROR(VLOOKUP($B15,'Ibri Tankers'!$D$2:$AG$138,O$28,FALSE),0)</f>
        <v>71.991067229006376</v>
      </c>
      <c r="P15" s="34">
        <f>IFERROR(VLOOKUP($B15,'Ibri Tankers'!$D$2:$AG$138,P$28,FALSE),0)</f>
        <v>71.991067229006376</v>
      </c>
      <c r="Q15" s="34">
        <f>IFERROR(VLOOKUP($B15,'Ibri Tankers'!$D$2:$AG$138,Q$28,FALSE),0)</f>
        <v>71.991067229006376</v>
      </c>
      <c r="R15" s="34">
        <f>IFERROR(VLOOKUP($B15,'Ibri Tankers'!$D$2:$AG$138,R$28,FALSE),0)</f>
        <v>71.991067229006376</v>
      </c>
      <c r="S15" s="34">
        <f>IFERROR(VLOOKUP($B15,'Ibri Tankers'!$D$2:$AG$138,S$28,FALSE),0)</f>
        <v>71.991067229006376</v>
      </c>
      <c r="T15" s="34">
        <f>IFERROR(VLOOKUP($B15,'Ibri Tankers'!$D$2:$AG$138,T$28,FALSE),0)</f>
        <v>71.991067229006376</v>
      </c>
      <c r="U15" s="34">
        <f>IFERROR(VLOOKUP($B15,'Ibri Tankers'!$D$2:$AG$138,U$28,FALSE),0)</f>
        <v>71.991067229006376</v>
      </c>
      <c r="V15" s="34">
        <f>IFERROR(VLOOKUP($B15,'Ibri Tankers'!$D$2:$AG$138,V$28,FALSE),0)</f>
        <v>71.991067229006376</v>
      </c>
      <c r="W15" s="34">
        <f>IFERROR(VLOOKUP($B15,'Ibri Tankers'!$D$2:$AG$138,W$28,FALSE),0)</f>
        <v>71.991067229006376</v>
      </c>
      <c r="X15" s="34">
        <f>IFERROR(VLOOKUP($B15,'Ibri Tankers'!$D$2:$AG$138,X$28,FALSE),0)</f>
        <v>71.991067229006376</v>
      </c>
      <c r="Y15" s="34">
        <f>IFERROR(VLOOKUP($B15,'Ibri Tankers'!$D$2:$AG$138,Y$28,FALSE),0)</f>
        <v>71.991067229006376</v>
      </c>
      <c r="Z15" s="34">
        <f>IFERROR(VLOOKUP($B15,'Ibri Tankers'!$D$2:$AG$138,Z$28,FALSE),0)</f>
        <v>71.991067229006376</v>
      </c>
      <c r="AA15" s="34">
        <f>IFERROR(VLOOKUP($B15,'Ibri Tankers'!$D$2:$AG$138,AA$28,FALSE),0)</f>
        <v>71.991067229006376</v>
      </c>
      <c r="AB15" s="34">
        <f>IFERROR(VLOOKUP($B15,'Ibri Tankers'!$D$2:$AG$138,AB$28,FALSE),0)</f>
        <v>71.991067229006376</v>
      </c>
      <c r="AC15" s="34">
        <f>IFERROR(VLOOKUP($B15,'Ibri Tankers'!$D$2:$AG$138,AC$28,FALSE),0)</f>
        <v>71.991067229006376</v>
      </c>
      <c r="AD15" s="44">
        <f t="shared" ref="AD15:CA15" si="13">AC15</f>
        <v>71.991067229006376</v>
      </c>
      <c r="AE15" s="44">
        <f t="shared" si="13"/>
        <v>71.991067229006376</v>
      </c>
      <c r="AF15" s="44">
        <f t="shared" si="13"/>
        <v>71.991067229006376</v>
      </c>
      <c r="AG15" s="44">
        <f t="shared" si="13"/>
        <v>71.991067229006376</v>
      </c>
      <c r="AH15" s="44">
        <f t="shared" si="13"/>
        <v>71.991067229006376</v>
      </c>
      <c r="AI15" s="44">
        <f t="shared" si="13"/>
        <v>71.991067229006376</v>
      </c>
      <c r="AJ15" s="44">
        <f t="shared" si="13"/>
        <v>71.991067229006376</v>
      </c>
      <c r="AK15" s="44">
        <f t="shared" si="13"/>
        <v>71.991067229006376</v>
      </c>
      <c r="AL15" s="44">
        <f t="shared" si="13"/>
        <v>71.991067229006376</v>
      </c>
      <c r="AM15" s="44">
        <f t="shared" si="13"/>
        <v>71.991067229006376</v>
      </c>
      <c r="AN15" s="44">
        <f t="shared" si="13"/>
        <v>71.991067229006376</v>
      </c>
      <c r="AO15" s="44">
        <f t="shared" si="13"/>
        <v>71.991067229006376</v>
      </c>
      <c r="AP15" s="44">
        <f t="shared" si="13"/>
        <v>71.991067229006376</v>
      </c>
      <c r="AQ15" s="44">
        <f t="shared" si="13"/>
        <v>71.991067229006376</v>
      </c>
      <c r="AR15" s="44">
        <f t="shared" si="13"/>
        <v>71.991067229006376</v>
      </c>
      <c r="AS15" s="44">
        <f t="shared" si="13"/>
        <v>71.991067229006376</v>
      </c>
      <c r="AT15" s="44">
        <f t="shared" si="13"/>
        <v>71.991067229006376</v>
      </c>
      <c r="AU15" s="44">
        <f t="shared" si="13"/>
        <v>71.991067229006376</v>
      </c>
      <c r="AV15" s="44">
        <f t="shared" si="13"/>
        <v>71.991067229006376</v>
      </c>
      <c r="AW15" s="44">
        <f t="shared" si="13"/>
        <v>71.991067229006376</v>
      </c>
      <c r="AX15" s="44">
        <f t="shared" si="13"/>
        <v>71.991067229006376</v>
      </c>
      <c r="AY15" s="44">
        <f t="shared" si="13"/>
        <v>71.991067229006376</v>
      </c>
      <c r="AZ15" s="44">
        <f t="shared" si="13"/>
        <v>71.991067229006376</v>
      </c>
      <c r="BA15" s="44">
        <f t="shared" si="13"/>
        <v>71.991067229006376</v>
      </c>
      <c r="BB15" s="44">
        <f t="shared" si="13"/>
        <v>71.991067229006376</v>
      </c>
      <c r="BC15" s="44">
        <f t="shared" si="13"/>
        <v>71.991067229006376</v>
      </c>
      <c r="BD15" s="44">
        <f t="shared" si="13"/>
        <v>71.991067229006376</v>
      </c>
      <c r="BE15" s="44">
        <f t="shared" si="13"/>
        <v>71.991067229006376</v>
      </c>
      <c r="BF15" s="44">
        <f t="shared" si="13"/>
        <v>71.991067229006376</v>
      </c>
      <c r="BG15" s="44">
        <f t="shared" si="13"/>
        <v>71.991067229006376</v>
      </c>
      <c r="BH15" s="44">
        <f t="shared" si="13"/>
        <v>71.991067229006376</v>
      </c>
      <c r="BI15" s="44">
        <f t="shared" si="13"/>
        <v>71.991067229006376</v>
      </c>
      <c r="BJ15" s="44">
        <f t="shared" si="13"/>
        <v>71.991067229006376</v>
      </c>
      <c r="BK15" s="44">
        <f t="shared" si="13"/>
        <v>71.991067229006376</v>
      </c>
      <c r="BL15" s="44">
        <f t="shared" si="13"/>
        <v>71.991067229006376</v>
      </c>
      <c r="BM15" s="44">
        <f t="shared" si="13"/>
        <v>71.991067229006376</v>
      </c>
      <c r="BN15" s="44">
        <f t="shared" si="13"/>
        <v>71.991067229006376</v>
      </c>
      <c r="BO15" s="44">
        <f t="shared" si="13"/>
        <v>71.991067229006376</v>
      </c>
      <c r="BP15" s="44">
        <f t="shared" si="13"/>
        <v>71.991067229006376</v>
      </c>
      <c r="BQ15" s="44">
        <f t="shared" si="13"/>
        <v>71.991067229006376</v>
      </c>
      <c r="BR15" s="44">
        <f t="shared" si="13"/>
        <v>71.991067229006376</v>
      </c>
      <c r="BS15" s="44">
        <f t="shared" si="13"/>
        <v>71.991067229006376</v>
      </c>
      <c r="BT15" s="44">
        <f t="shared" si="13"/>
        <v>71.991067229006376</v>
      </c>
      <c r="BU15" s="44">
        <f t="shared" si="13"/>
        <v>71.991067229006376</v>
      </c>
      <c r="BV15" s="44">
        <f t="shared" si="13"/>
        <v>71.991067229006376</v>
      </c>
      <c r="BW15" s="44">
        <f t="shared" si="13"/>
        <v>71.991067229006376</v>
      </c>
      <c r="BX15" s="44">
        <f t="shared" si="13"/>
        <v>71.991067229006376</v>
      </c>
      <c r="BY15" s="44">
        <f t="shared" si="13"/>
        <v>71.991067229006376</v>
      </c>
      <c r="BZ15" s="44">
        <f t="shared" si="13"/>
        <v>71.991067229006376</v>
      </c>
      <c r="CA15" s="44">
        <f t="shared" si="13"/>
        <v>71.991067229006376</v>
      </c>
    </row>
    <row r="16" spans="1:79" x14ac:dyDescent="0.25">
      <c r="A16" s="33">
        <v>15</v>
      </c>
      <c r="B16" s="36" t="s">
        <v>54</v>
      </c>
      <c r="C16" s="34">
        <f>IFERROR(VLOOKUP($B16,'Ibri Tankers'!$D$2:$AG$138,C$28,FALSE),0)</f>
        <v>54.976168618032624</v>
      </c>
      <c r="D16" s="34">
        <f>IFERROR(VLOOKUP($B16,'Ibri Tankers'!$D$2:$AG$138,D$28,FALSE),0)</f>
        <v>54.976168618032624</v>
      </c>
      <c r="E16" s="34">
        <f>IFERROR(VLOOKUP($B16,'Ibri Tankers'!$D$2:$AG$138,E$28,FALSE),0)</f>
        <v>54.976168618032624</v>
      </c>
      <c r="F16" s="34">
        <f>IFERROR(VLOOKUP($B16,'Ibri Tankers'!$D$2:$AG$138,F$28,FALSE),0)</f>
        <v>54.976168618032624</v>
      </c>
      <c r="G16" s="34">
        <f>IFERROR(VLOOKUP($B16,'Ibri Tankers'!$D$2:$AG$138,G$28,FALSE),0)</f>
        <v>54.976168618032624</v>
      </c>
      <c r="H16" s="34">
        <f>IFERROR(VLOOKUP($B16,'Ibri Tankers'!$D$2:$AG$138,H$28,FALSE),0)</f>
        <v>54.976168618032624</v>
      </c>
      <c r="I16" s="34">
        <f>IFERROR(VLOOKUP($B16,'Ibri Tankers'!$D$2:$AG$138,I$28,FALSE),0)</f>
        <v>54.976168618032624</v>
      </c>
      <c r="J16" s="34">
        <f>IFERROR(VLOOKUP($B16,'Ibri Tankers'!$D$2:$AG$138,J$28,FALSE),0)</f>
        <v>54.976168618032624</v>
      </c>
      <c r="K16" s="34">
        <f>IFERROR(VLOOKUP($B16,'Ibri Tankers'!$D$2:$AG$138,K$28,FALSE),0)</f>
        <v>54.976168618032624</v>
      </c>
      <c r="L16" s="34">
        <f>IFERROR(VLOOKUP($B16,'Ibri Tankers'!$D$2:$AG$138,L$28,FALSE),0)</f>
        <v>54.976168618032624</v>
      </c>
      <c r="M16" s="34">
        <f>IFERROR(VLOOKUP($B16,'Ibri Tankers'!$D$2:$AG$138,M$28,FALSE),0)</f>
        <v>54.976168618032624</v>
      </c>
      <c r="N16" s="34">
        <f>IFERROR(VLOOKUP($B16,'Ibri Tankers'!$D$2:$AG$138,N$28,FALSE),0)</f>
        <v>54.976168618032624</v>
      </c>
      <c r="O16" s="34">
        <f>IFERROR(VLOOKUP($B16,'Ibri Tankers'!$D$2:$AG$138,O$28,FALSE),0)</f>
        <v>54.976168618032624</v>
      </c>
      <c r="P16" s="34">
        <f>IFERROR(VLOOKUP($B16,'Ibri Tankers'!$D$2:$AG$138,P$28,FALSE),0)</f>
        <v>54.976168618032624</v>
      </c>
      <c r="Q16" s="34">
        <f>IFERROR(VLOOKUP($B16,'Ibri Tankers'!$D$2:$AG$138,Q$28,FALSE),0)</f>
        <v>54.976168618032624</v>
      </c>
      <c r="R16" s="34">
        <f>IFERROR(VLOOKUP($B16,'Ibri Tankers'!$D$2:$AG$138,R$28,FALSE),0)</f>
        <v>54.976168618032624</v>
      </c>
      <c r="S16" s="34">
        <f>IFERROR(VLOOKUP($B16,'Ibri Tankers'!$D$2:$AG$138,S$28,FALSE),0)</f>
        <v>54.976168618032624</v>
      </c>
      <c r="T16" s="34">
        <f>IFERROR(VLOOKUP($B16,'Ibri Tankers'!$D$2:$AG$138,T$28,FALSE),0)</f>
        <v>54.976168618032624</v>
      </c>
      <c r="U16" s="34">
        <f>IFERROR(VLOOKUP($B16,'Ibri Tankers'!$D$2:$AG$138,U$28,FALSE),0)</f>
        <v>54.976168618032624</v>
      </c>
      <c r="V16" s="34">
        <f>IFERROR(VLOOKUP($B16,'Ibri Tankers'!$D$2:$AG$138,V$28,FALSE),0)</f>
        <v>54.976168618032624</v>
      </c>
      <c r="W16" s="34">
        <f>IFERROR(VLOOKUP($B16,'Ibri Tankers'!$D$2:$AG$138,W$28,FALSE),0)</f>
        <v>54.976168618032624</v>
      </c>
      <c r="X16" s="34">
        <f>IFERROR(VLOOKUP($B16,'Ibri Tankers'!$D$2:$AG$138,X$28,FALSE),0)</f>
        <v>54.976168618032624</v>
      </c>
      <c r="Y16" s="34">
        <f>IFERROR(VLOOKUP($B16,'Ibri Tankers'!$D$2:$AG$138,Y$28,FALSE),0)</f>
        <v>54.976168618032624</v>
      </c>
      <c r="Z16" s="34">
        <f>IFERROR(VLOOKUP($B16,'Ibri Tankers'!$D$2:$AG$138,Z$28,FALSE),0)</f>
        <v>54.976168618032624</v>
      </c>
      <c r="AA16" s="34">
        <f>IFERROR(VLOOKUP($B16,'Ibri Tankers'!$D$2:$AG$138,AA$28,FALSE),0)</f>
        <v>54.976168618032624</v>
      </c>
      <c r="AB16" s="34">
        <f>IFERROR(VLOOKUP($B16,'Ibri Tankers'!$D$2:$AG$138,AB$28,FALSE),0)</f>
        <v>54.976168618032624</v>
      </c>
      <c r="AC16" s="34">
        <f>IFERROR(VLOOKUP($B16,'Ibri Tankers'!$D$2:$AG$138,AC$28,FALSE),0)</f>
        <v>54.976168618032624</v>
      </c>
      <c r="AD16" s="44">
        <f t="shared" ref="AD16:CA16" si="14">AC16</f>
        <v>54.976168618032624</v>
      </c>
      <c r="AE16" s="44">
        <f t="shared" si="14"/>
        <v>54.976168618032624</v>
      </c>
      <c r="AF16" s="44">
        <f t="shared" si="14"/>
        <v>54.976168618032624</v>
      </c>
      <c r="AG16" s="44">
        <f t="shared" si="14"/>
        <v>54.976168618032624</v>
      </c>
      <c r="AH16" s="44">
        <f t="shared" si="14"/>
        <v>54.976168618032624</v>
      </c>
      <c r="AI16" s="44">
        <f t="shared" si="14"/>
        <v>54.976168618032624</v>
      </c>
      <c r="AJ16" s="44">
        <f t="shared" si="14"/>
        <v>54.976168618032624</v>
      </c>
      <c r="AK16" s="44">
        <f t="shared" si="14"/>
        <v>54.976168618032624</v>
      </c>
      <c r="AL16" s="44">
        <f t="shared" si="14"/>
        <v>54.976168618032624</v>
      </c>
      <c r="AM16" s="44">
        <f t="shared" si="14"/>
        <v>54.976168618032624</v>
      </c>
      <c r="AN16" s="44">
        <f t="shared" si="14"/>
        <v>54.976168618032624</v>
      </c>
      <c r="AO16" s="44">
        <f t="shared" si="14"/>
        <v>54.976168618032624</v>
      </c>
      <c r="AP16" s="44">
        <f t="shared" si="14"/>
        <v>54.976168618032624</v>
      </c>
      <c r="AQ16" s="44">
        <f t="shared" si="14"/>
        <v>54.976168618032624</v>
      </c>
      <c r="AR16" s="44">
        <f t="shared" si="14"/>
        <v>54.976168618032624</v>
      </c>
      <c r="AS16" s="44">
        <f t="shared" si="14"/>
        <v>54.976168618032624</v>
      </c>
      <c r="AT16" s="44">
        <f t="shared" si="14"/>
        <v>54.976168618032624</v>
      </c>
      <c r="AU16" s="44">
        <f t="shared" si="14"/>
        <v>54.976168618032624</v>
      </c>
      <c r="AV16" s="44">
        <f t="shared" si="14"/>
        <v>54.976168618032624</v>
      </c>
      <c r="AW16" s="44">
        <f t="shared" si="14"/>
        <v>54.976168618032624</v>
      </c>
      <c r="AX16" s="44">
        <f t="shared" si="14"/>
        <v>54.976168618032624</v>
      </c>
      <c r="AY16" s="44">
        <f t="shared" si="14"/>
        <v>54.976168618032624</v>
      </c>
      <c r="AZ16" s="44">
        <f t="shared" si="14"/>
        <v>54.976168618032624</v>
      </c>
      <c r="BA16" s="44">
        <f t="shared" si="14"/>
        <v>54.976168618032624</v>
      </c>
      <c r="BB16" s="44">
        <f t="shared" si="14"/>
        <v>54.976168618032624</v>
      </c>
      <c r="BC16" s="44">
        <f t="shared" si="14"/>
        <v>54.976168618032624</v>
      </c>
      <c r="BD16" s="44">
        <f t="shared" si="14"/>
        <v>54.976168618032624</v>
      </c>
      <c r="BE16" s="44">
        <f t="shared" si="14"/>
        <v>54.976168618032624</v>
      </c>
      <c r="BF16" s="44">
        <f t="shared" si="14"/>
        <v>54.976168618032624</v>
      </c>
      <c r="BG16" s="44">
        <f t="shared" si="14"/>
        <v>54.976168618032624</v>
      </c>
      <c r="BH16" s="44">
        <f t="shared" si="14"/>
        <v>54.976168618032624</v>
      </c>
      <c r="BI16" s="44">
        <f t="shared" si="14"/>
        <v>54.976168618032624</v>
      </c>
      <c r="BJ16" s="44">
        <f t="shared" si="14"/>
        <v>54.976168618032624</v>
      </c>
      <c r="BK16" s="44">
        <f t="shared" si="14"/>
        <v>54.976168618032624</v>
      </c>
      <c r="BL16" s="44">
        <f t="shared" si="14"/>
        <v>54.976168618032624</v>
      </c>
      <c r="BM16" s="44">
        <f t="shared" si="14"/>
        <v>54.976168618032624</v>
      </c>
      <c r="BN16" s="44">
        <f t="shared" si="14"/>
        <v>54.976168618032624</v>
      </c>
      <c r="BO16" s="44">
        <f t="shared" si="14"/>
        <v>54.976168618032624</v>
      </c>
      <c r="BP16" s="44">
        <f t="shared" si="14"/>
        <v>54.976168618032624</v>
      </c>
      <c r="BQ16" s="44">
        <f t="shared" si="14"/>
        <v>54.976168618032624</v>
      </c>
      <c r="BR16" s="44">
        <f t="shared" si="14"/>
        <v>54.976168618032624</v>
      </c>
      <c r="BS16" s="44">
        <f t="shared" si="14"/>
        <v>54.976168618032624</v>
      </c>
      <c r="BT16" s="44">
        <f t="shared" si="14"/>
        <v>54.976168618032624</v>
      </c>
      <c r="BU16" s="44">
        <f t="shared" si="14"/>
        <v>54.976168618032624</v>
      </c>
      <c r="BV16" s="44">
        <f t="shared" si="14"/>
        <v>54.976168618032624</v>
      </c>
      <c r="BW16" s="44">
        <f t="shared" si="14"/>
        <v>54.976168618032624</v>
      </c>
      <c r="BX16" s="44">
        <f t="shared" si="14"/>
        <v>54.976168618032624</v>
      </c>
      <c r="BY16" s="44">
        <f t="shared" si="14"/>
        <v>54.976168618032624</v>
      </c>
      <c r="BZ16" s="44">
        <f t="shared" si="14"/>
        <v>54.976168618032624</v>
      </c>
      <c r="CA16" s="44">
        <f t="shared" si="14"/>
        <v>54.976168618032624</v>
      </c>
    </row>
    <row r="17" spans="1:79" x14ac:dyDescent="0.25">
      <c r="A17" s="33">
        <v>16</v>
      </c>
      <c r="B17" s="36" t="s">
        <v>49</v>
      </c>
      <c r="C17" s="34">
        <f>IFERROR(VLOOKUP($B17,'Ibri Tankers'!$D$2:$AG$138,C$28,FALSE),0)</f>
        <v>0</v>
      </c>
      <c r="D17" s="34">
        <f>IFERROR(VLOOKUP($B17,'Ibri Tankers'!$D$2:$AG$138,D$28,FALSE),0)</f>
        <v>0</v>
      </c>
      <c r="E17" s="34">
        <f>IFERROR(VLOOKUP($B17,'Ibri Tankers'!$D$2:$AG$138,E$28,FALSE),0)</f>
        <v>0</v>
      </c>
      <c r="F17" s="34">
        <f>IFERROR(VLOOKUP($B17,'Ibri Tankers'!$D$2:$AG$138,F$28,FALSE),0)</f>
        <v>0</v>
      </c>
      <c r="G17" s="34">
        <f>IFERROR(VLOOKUP($B17,'Ibri Tankers'!$D$2:$AG$138,G$28,FALSE),0)</f>
        <v>0</v>
      </c>
      <c r="H17" s="34">
        <f>IFERROR(VLOOKUP($B17,'Ibri Tankers'!$D$2:$AG$138,H$28,FALSE),0)</f>
        <v>0</v>
      </c>
      <c r="I17" s="34">
        <f>IFERROR(VLOOKUP($B17,'Ibri Tankers'!$D$2:$AG$138,I$28,FALSE),0)</f>
        <v>0</v>
      </c>
      <c r="J17" s="34">
        <f>IFERROR(VLOOKUP($B17,'Ibri Tankers'!$D$2:$AG$138,J$28,FALSE),0)</f>
        <v>0</v>
      </c>
      <c r="K17" s="34">
        <f>IFERROR(VLOOKUP($B17,'Ibri Tankers'!$D$2:$AG$138,K$28,FALSE),0)</f>
        <v>0</v>
      </c>
      <c r="L17" s="34">
        <f>IFERROR(VLOOKUP($B17,'Ibri Tankers'!$D$2:$AG$138,L$28,FALSE),0)</f>
        <v>0</v>
      </c>
      <c r="M17" s="34">
        <f>IFERROR(VLOOKUP($B17,'Ibri Tankers'!$D$2:$AG$138,M$28,FALSE),0)</f>
        <v>0</v>
      </c>
      <c r="N17" s="34">
        <f>IFERROR(VLOOKUP($B17,'Ibri Tankers'!$D$2:$AG$138,N$28,FALSE),0)</f>
        <v>0</v>
      </c>
      <c r="O17" s="34">
        <f>IFERROR(VLOOKUP($B17,'Ibri Tankers'!$D$2:$AG$138,O$28,FALSE),0)</f>
        <v>0</v>
      </c>
      <c r="P17" s="34">
        <f>IFERROR(VLOOKUP($B17,'Ibri Tankers'!$D$2:$AG$138,P$28,FALSE),0)</f>
        <v>0</v>
      </c>
      <c r="Q17" s="34">
        <f>IFERROR(VLOOKUP($B17,'Ibri Tankers'!$D$2:$AG$138,Q$28,FALSE),0)</f>
        <v>0</v>
      </c>
      <c r="R17" s="34">
        <f>IFERROR(VLOOKUP($B17,'Ibri Tankers'!$D$2:$AG$138,R$28,FALSE),0)</f>
        <v>0</v>
      </c>
      <c r="S17" s="34">
        <f>IFERROR(VLOOKUP($B17,'Ibri Tankers'!$D$2:$AG$138,S$28,FALSE),0)</f>
        <v>0</v>
      </c>
      <c r="T17" s="34">
        <f>IFERROR(VLOOKUP($B17,'Ibri Tankers'!$D$2:$AG$138,T$28,FALSE),0)</f>
        <v>0</v>
      </c>
      <c r="U17" s="34">
        <f>IFERROR(VLOOKUP($B17,'Ibri Tankers'!$D$2:$AG$138,U$28,FALSE),0)</f>
        <v>0</v>
      </c>
      <c r="V17" s="34">
        <f>IFERROR(VLOOKUP($B17,'Ibri Tankers'!$D$2:$AG$138,V$28,FALSE),0)</f>
        <v>0</v>
      </c>
      <c r="W17" s="34">
        <f>IFERROR(VLOOKUP($B17,'Ibri Tankers'!$D$2:$AG$138,W$28,FALSE),0)</f>
        <v>0</v>
      </c>
      <c r="X17" s="34">
        <f>IFERROR(VLOOKUP($B17,'Ibri Tankers'!$D$2:$AG$138,X$28,FALSE),0)</f>
        <v>0</v>
      </c>
      <c r="Y17" s="34">
        <f>IFERROR(VLOOKUP($B17,'Ibri Tankers'!$D$2:$AG$138,Y$28,FALSE),0)</f>
        <v>0</v>
      </c>
      <c r="Z17" s="34">
        <f>IFERROR(VLOOKUP($B17,'Ibri Tankers'!$D$2:$AG$138,Z$28,FALSE),0)</f>
        <v>0</v>
      </c>
      <c r="AA17" s="34">
        <f>IFERROR(VLOOKUP($B17,'Ibri Tankers'!$D$2:$AG$138,AA$28,FALSE),0)</f>
        <v>0</v>
      </c>
      <c r="AB17" s="34">
        <f>IFERROR(VLOOKUP($B17,'Ibri Tankers'!$D$2:$AG$138,AB$28,FALSE),0)</f>
        <v>0</v>
      </c>
      <c r="AC17" s="34">
        <f>IFERROR(VLOOKUP($B17,'Ibri Tankers'!$D$2:$AG$138,AC$28,FALSE),0)</f>
        <v>0</v>
      </c>
      <c r="AD17" s="44">
        <f t="shared" ref="AD17:CA17" si="15">AC17</f>
        <v>0</v>
      </c>
      <c r="AE17" s="44">
        <f t="shared" si="15"/>
        <v>0</v>
      </c>
      <c r="AF17" s="44">
        <f t="shared" si="15"/>
        <v>0</v>
      </c>
      <c r="AG17" s="44">
        <f t="shared" si="15"/>
        <v>0</v>
      </c>
      <c r="AH17" s="44">
        <f t="shared" si="15"/>
        <v>0</v>
      </c>
      <c r="AI17" s="44">
        <f t="shared" si="15"/>
        <v>0</v>
      </c>
      <c r="AJ17" s="44">
        <f t="shared" si="15"/>
        <v>0</v>
      </c>
      <c r="AK17" s="44">
        <f t="shared" si="15"/>
        <v>0</v>
      </c>
      <c r="AL17" s="44">
        <f t="shared" si="15"/>
        <v>0</v>
      </c>
      <c r="AM17" s="44">
        <f t="shared" si="15"/>
        <v>0</v>
      </c>
      <c r="AN17" s="44">
        <f t="shared" si="15"/>
        <v>0</v>
      </c>
      <c r="AO17" s="44">
        <f t="shared" si="15"/>
        <v>0</v>
      </c>
      <c r="AP17" s="44">
        <f t="shared" si="15"/>
        <v>0</v>
      </c>
      <c r="AQ17" s="44">
        <f t="shared" si="15"/>
        <v>0</v>
      </c>
      <c r="AR17" s="44">
        <f t="shared" si="15"/>
        <v>0</v>
      </c>
      <c r="AS17" s="44">
        <f t="shared" si="15"/>
        <v>0</v>
      </c>
      <c r="AT17" s="44">
        <f t="shared" si="15"/>
        <v>0</v>
      </c>
      <c r="AU17" s="44">
        <f t="shared" si="15"/>
        <v>0</v>
      </c>
      <c r="AV17" s="44">
        <f t="shared" si="15"/>
        <v>0</v>
      </c>
      <c r="AW17" s="44">
        <f t="shared" si="15"/>
        <v>0</v>
      </c>
      <c r="AX17" s="44">
        <f t="shared" si="15"/>
        <v>0</v>
      </c>
      <c r="AY17" s="44">
        <f t="shared" si="15"/>
        <v>0</v>
      </c>
      <c r="AZ17" s="44">
        <f t="shared" si="15"/>
        <v>0</v>
      </c>
      <c r="BA17" s="44">
        <f t="shared" si="15"/>
        <v>0</v>
      </c>
      <c r="BB17" s="44">
        <f t="shared" si="15"/>
        <v>0</v>
      </c>
      <c r="BC17" s="44">
        <f t="shared" si="15"/>
        <v>0</v>
      </c>
      <c r="BD17" s="44">
        <f t="shared" si="15"/>
        <v>0</v>
      </c>
      <c r="BE17" s="44">
        <f t="shared" si="15"/>
        <v>0</v>
      </c>
      <c r="BF17" s="44">
        <f t="shared" si="15"/>
        <v>0</v>
      </c>
      <c r="BG17" s="44">
        <f t="shared" si="15"/>
        <v>0</v>
      </c>
      <c r="BH17" s="44">
        <f t="shared" si="15"/>
        <v>0</v>
      </c>
      <c r="BI17" s="44">
        <f t="shared" si="15"/>
        <v>0</v>
      </c>
      <c r="BJ17" s="44">
        <f t="shared" si="15"/>
        <v>0</v>
      </c>
      <c r="BK17" s="44">
        <f t="shared" si="15"/>
        <v>0</v>
      </c>
      <c r="BL17" s="44">
        <f t="shared" si="15"/>
        <v>0</v>
      </c>
      <c r="BM17" s="44">
        <f t="shared" si="15"/>
        <v>0</v>
      </c>
      <c r="BN17" s="44">
        <f t="shared" si="15"/>
        <v>0</v>
      </c>
      <c r="BO17" s="44">
        <f t="shared" si="15"/>
        <v>0</v>
      </c>
      <c r="BP17" s="44">
        <f t="shared" si="15"/>
        <v>0</v>
      </c>
      <c r="BQ17" s="44">
        <f t="shared" si="15"/>
        <v>0</v>
      </c>
      <c r="BR17" s="44">
        <f t="shared" si="15"/>
        <v>0</v>
      </c>
      <c r="BS17" s="44">
        <f t="shared" si="15"/>
        <v>0</v>
      </c>
      <c r="BT17" s="44">
        <f t="shared" si="15"/>
        <v>0</v>
      </c>
      <c r="BU17" s="44">
        <f t="shared" si="15"/>
        <v>0</v>
      </c>
      <c r="BV17" s="44">
        <f t="shared" si="15"/>
        <v>0</v>
      </c>
      <c r="BW17" s="44">
        <f t="shared" si="15"/>
        <v>0</v>
      </c>
      <c r="BX17" s="44">
        <f t="shared" si="15"/>
        <v>0</v>
      </c>
      <c r="BY17" s="44">
        <f t="shared" si="15"/>
        <v>0</v>
      </c>
      <c r="BZ17" s="44">
        <f t="shared" si="15"/>
        <v>0</v>
      </c>
      <c r="CA17" s="44">
        <f t="shared" si="15"/>
        <v>0</v>
      </c>
    </row>
    <row r="18" spans="1:79" x14ac:dyDescent="0.25">
      <c r="A18" s="33">
        <v>17</v>
      </c>
      <c r="B18" s="36" t="s">
        <v>18</v>
      </c>
      <c r="C18" s="34">
        <f>IFERROR(VLOOKUP($B18,'Ibri Tankers'!$D$2:$AG$138,C$28,FALSE),0)</f>
        <v>0</v>
      </c>
      <c r="D18" s="34">
        <f>IFERROR(VLOOKUP($B18,'Ibri Tankers'!$D$2:$AG$138,D$28,FALSE),0)</f>
        <v>0</v>
      </c>
      <c r="E18" s="34">
        <f>IFERROR(VLOOKUP($B18,'Ibri Tankers'!$D$2:$AG$138,E$28,FALSE),0)</f>
        <v>0</v>
      </c>
      <c r="F18" s="34">
        <f>IFERROR(VLOOKUP($B18,'Ibri Tankers'!$D$2:$AG$138,F$28,FALSE),0)</f>
        <v>0</v>
      </c>
      <c r="G18" s="34">
        <f>IFERROR(VLOOKUP($B18,'Ibri Tankers'!$D$2:$AG$138,G$28,FALSE),0)</f>
        <v>0</v>
      </c>
      <c r="H18" s="34">
        <f>IFERROR(VLOOKUP($B18,'Ibri Tankers'!$D$2:$AG$138,H$28,FALSE),0)</f>
        <v>0</v>
      </c>
      <c r="I18" s="34">
        <f>IFERROR(VLOOKUP($B18,'Ibri Tankers'!$D$2:$AG$138,I$28,FALSE),0)</f>
        <v>0</v>
      </c>
      <c r="J18" s="34">
        <f>IFERROR(VLOOKUP($B18,'Ibri Tankers'!$D$2:$AG$138,J$28,FALSE),0)</f>
        <v>0</v>
      </c>
      <c r="K18" s="34">
        <f>IFERROR(VLOOKUP($B18,'Ibri Tankers'!$D$2:$AG$138,K$28,FALSE),0)</f>
        <v>0</v>
      </c>
      <c r="L18" s="34">
        <f>IFERROR(VLOOKUP($B18,'Ibri Tankers'!$D$2:$AG$138,L$28,FALSE),0)</f>
        <v>0</v>
      </c>
      <c r="M18" s="34">
        <f>IFERROR(VLOOKUP($B18,'Ibri Tankers'!$D$2:$AG$138,M$28,FALSE),0)</f>
        <v>0</v>
      </c>
      <c r="N18" s="34">
        <f>IFERROR(VLOOKUP($B18,'Ibri Tankers'!$D$2:$AG$138,N$28,FALSE),0)</f>
        <v>0</v>
      </c>
      <c r="O18" s="34">
        <f>IFERROR(VLOOKUP($B18,'Ibri Tankers'!$D$2:$AG$138,O$28,FALSE),0)</f>
        <v>0</v>
      </c>
      <c r="P18" s="34">
        <f>IFERROR(VLOOKUP($B18,'Ibri Tankers'!$D$2:$AG$138,P$28,FALSE),0)</f>
        <v>0</v>
      </c>
      <c r="Q18" s="34">
        <f>IFERROR(VLOOKUP($B18,'Ibri Tankers'!$D$2:$AG$138,Q$28,FALSE),0)</f>
        <v>0</v>
      </c>
      <c r="R18" s="34">
        <f>IFERROR(VLOOKUP($B18,'Ibri Tankers'!$D$2:$AG$138,R$28,FALSE),0)</f>
        <v>0</v>
      </c>
      <c r="S18" s="34">
        <f>IFERROR(VLOOKUP($B18,'Ibri Tankers'!$D$2:$AG$138,S$28,FALSE),0)</f>
        <v>0</v>
      </c>
      <c r="T18" s="34">
        <f>IFERROR(VLOOKUP($B18,'Ibri Tankers'!$D$2:$AG$138,T$28,FALSE),0)</f>
        <v>0</v>
      </c>
      <c r="U18" s="34">
        <f>IFERROR(VLOOKUP($B18,'Ibri Tankers'!$D$2:$AG$138,U$28,FALSE),0)</f>
        <v>0</v>
      </c>
      <c r="V18" s="34">
        <f>IFERROR(VLOOKUP($B18,'Ibri Tankers'!$D$2:$AG$138,V$28,FALSE),0)</f>
        <v>0</v>
      </c>
      <c r="W18" s="34">
        <f>IFERROR(VLOOKUP($B18,'Ibri Tankers'!$D$2:$AG$138,W$28,FALSE),0)</f>
        <v>0</v>
      </c>
      <c r="X18" s="34">
        <f>IFERROR(VLOOKUP($B18,'Ibri Tankers'!$D$2:$AG$138,X$28,FALSE),0)</f>
        <v>0</v>
      </c>
      <c r="Y18" s="34">
        <f>IFERROR(VLOOKUP($B18,'Ibri Tankers'!$D$2:$AG$138,Y$28,FALSE),0)</f>
        <v>0</v>
      </c>
      <c r="Z18" s="34">
        <f>IFERROR(VLOOKUP($B18,'Ibri Tankers'!$D$2:$AG$138,Z$28,FALSE),0)</f>
        <v>0</v>
      </c>
      <c r="AA18" s="34">
        <f>IFERROR(VLOOKUP($B18,'Ibri Tankers'!$D$2:$AG$138,AA$28,FALSE),0)</f>
        <v>0</v>
      </c>
      <c r="AB18" s="34">
        <f>IFERROR(VLOOKUP($B18,'Ibri Tankers'!$D$2:$AG$138,AB$28,FALSE),0)</f>
        <v>0</v>
      </c>
      <c r="AC18" s="34">
        <f>IFERROR(VLOOKUP($B18,'Ibri Tankers'!$D$2:$AG$138,AC$28,FALSE),0)</f>
        <v>0</v>
      </c>
      <c r="AD18" s="44">
        <f t="shared" ref="AD18:CA18" si="16">AC18</f>
        <v>0</v>
      </c>
      <c r="AE18" s="44">
        <f t="shared" si="16"/>
        <v>0</v>
      </c>
      <c r="AF18" s="44">
        <f t="shared" si="16"/>
        <v>0</v>
      </c>
      <c r="AG18" s="44">
        <f t="shared" si="16"/>
        <v>0</v>
      </c>
      <c r="AH18" s="44">
        <f t="shared" si="16"/>
        <v>0</v>
      </c>
      <c r="AI18" s="44">
        <f t="shared" si="16"/>
        <v>0</v>
      </c>
      <c r="AJ18" s="44">
        <f t="shared" si="16"/>
        <v>0</v>
      </c>
      <c r="AK18" s="44">
        <f t="shared" si="16"/>
        <v>0</v>
      </c>
      <c r="AL18" s="44">
        <f t="shared" si="16"/>
        <v>0</v>
      </c>
      <c r="AM18" s="44">
        <f t="shared" si="16"/>
        <v>0</v>
      </c>
      <c r="AN18" s="44">
        <f t="shared" si="16"/>
        <v>0</v>
      </c>
      <c r="AO18" s="44">
        <f t="shared" si="16"/>
        <v>0</v>
      </c>
      <c r="AP18" s="44">
        <f t="shared" si="16"/>
        <v>0</v>
      </c>
      <c r="AQ18" s="44">
        <f t="shared" si="16"/>
        <v>0</v>
      </c>
      <c r="AR18" s="44">
        <f t="shared" si="16"/>
        <v>0</v>
      </c>
      <c r="AS18" s="44">
        <f t="shared" si="16"/>
        <v>0</v>
      </c>
      <c r="AT18" s="44">
        <f t="shared" si="16"/>
        <v>0</v>
      </c>
      <c r="AU18" s="44">
        <f t="shared" si="16"/>
        <v>0</v>
      </c>
      <c r="AV18" s="44">
        <f t="shared" si="16"/>
        <v>0</v>
      </c>
      <c r="AW18" s="44">
        <f t="shared" si="16"/>
        <v>0</v>
      </c>
      <c r="AX18" s="44">
        <f t="shared" si="16"/>
        <v>0</v>
      </c>
      <c r="AY18" s="44">
        <f t="shared" si="16"/>
        <v>0</v>
      </c>
      <c r="AZ18" s="44">
        <f t="shared" si="16"/>
        <v>0</v>
      </c>
      <c r="BA18" s="44">
        <f t="shared" si="16"/>
        <v>0</v>
      </c>
      <c r="BB18" s="44">
        <f t="shared" si="16"/>
        <v>0</v>
      </c>
      <c r="BC18" s="44">
        <f t="shared" si="16"/>
        <v>0</v>
      </c>
      <c r="BD18" s="44">
        <f t="shared" si="16"/>
        <v>0</v>
      </c>
      <c r="BE18" s="44">
        <f t="shared" si="16"/>
        <v>0</v>
      </c>
      <c r="BF18" s="44">
        <f t="shared" si="16"/>
        <v>0</v>
      </c>
      <c r="BG18" s="44">
        <f t="shared" si="16"/>
        <v>0</v>
      </c>
      <c r="BH18" s="44">
        <f t="shared" si="16"/>
        <v>0</v>
      </c>
      <c r="BI18" s="44">
        <f t="shared" si="16"/>
        <v>0</v>
      </c>
      <c r="BJ18" s="44">
        <f t="shared" si="16"/>
        <v>0</v>
      </c>
      <c r="BK18" s="44">
        <f t="shared" si="16"/>
        <v>0</v>
      </c>
      <c r="BL18" s="44">
        <f t="shared" si="16"/>
        <v>0</v>
      </c>
      <c r="BM18" s="44">
        <f t="shared" si="16"/>
        <v>0</v>
      </c>
      <c r="BN18" s="44">
        <f t="shared" si="16"/>
        <v>0</v>
      </c>
      <c r="BO18" s="44">
        <f t="shared" si="16"/>
        <v>0</v>
      </c>
      <c r="BP18" s="44">
        <f t="shared" si="16"/>
        <v>0</v>
      </c>
      <c r="BQ18" s="44">
        <f t="shared" si="16"/>
        <v>0</v>
      </c>
      <c r="BR18" s="44">
        <f t="shared" si="16"/>
        <v>0</v>
      </c>
      <c r="BS18" s="44">
        <f t="shared" si="16"/>
        <v>0</v>
      </c>
      <c r="BT18" s="44">
        <f t="shared" si="16"/>
        <v>0</v>
      </c>
      <c r="BU18" s="44">
        <f t="shared" si="16"/>
        <v>0</v>
      </c>
      <c r="BV18" s="44">
        <f t="shared" si="16"/>
        <v>0</v>
      </c>
      <c r="BW18" s="44">
        <f t="shared" si="16"/>
        <v>0</v>
      </c>
      <c r="BX18" s="44">
        <f t="shared" si="16"/>
        <v>0</v>
      </c>
      <c r="BY18" s="44">
        <f t="shared" si="16"/>
        <v>0</v>
      </c>
      <c r="BZ18" s="44">
        <f t="shared" si="16"/>
        <v>0</v>
      </c>
      <c r="CA18" s="44">
        <f t="shared" si="16"/>
        <v>0</v>
      </c>
    </row>
    <row r="19" spans="1:79" x14ac:dyDescent="0.25">
      <c r="A19" s="33">
        <v>18</v>
      </c>
      <c r="B19" s="36" t="s">
        <v>58</v>
      </c>
      <c r="C19" s="34">
        <f>IFERROR(VLOOKUP($B19,'Ibri Tankers'!$D$2:$AG$138,C$28,FALSE),0)</f>
        <v>0</v>
      </c>
      <c r="D19" s="34">
        <f>IFERROR(VLOOKUP($B19,'Ibri Tankers'!$D$2:$AG$138,D$28,FALSE),0)</f>
        <v>0</v>
      </c>
      <c r="E19" s="34">
        <f>IFERROR(VLOOKUP($B19,'Ibri Tankers'!$D$2:$AG$138,E$28,FALSE),0)</f>
        <v>0</v>
      </c>
      <c r="F19" s="34">
        <f>IFERROR(VLOOKUP($B19,'Ibri Tankers'!$D$2:$AG$138,F$28,FALSE),0)</f>
        <v>0</v>
      </c>
      <c r="G19" s="34">
        <f>IFERROR(VLOOKUP($B19,'Ibri Tankers'!$D$2:$AG$138,G$28,FALSE),0)</f>
        <v>0</v>
      </c>
      <c r="H19" s="34">
        <f>IFERROR(VLOOKUP($B19,'Ibri Tankers'!$D$2:$AG$138,H$28,FALSE),0)</f>
        <v>0</v>
      </c>
      <c r="I19" s="34">
        <f>IFERROR(VLOOKUP($B19,'Ibri Tankers'!$D$2:$AG$138,I$28,FALSE),0)</f>
        <v>0</v>
      </c>
      <c r="J19" s="34">
        <f>IFERROR(VLOOKUP($B19,'Ibri Tankers'!$D$2:$AG$138,J$28,FALSE),0)</f>
        <v>0</v>
      </c>
      <c r="K19" s="34">
        <f>IFERROR(VLOOKUP($B19,'Ibri Tankers'!$D$2:$AG$138,K$28,FALSE),0)</f>
        <v>0</v>
      </c>
      <c r="L19" s="34">
        <f>IFERROR(VLOOKUP($B19,'Ibri Tankers'!$D$2:$AG$138,L$28,FALSE),0)</f>
        <v>0</v>
      </c>
      <c r="M19" s="34">
        <f>IFERROR(VLOOKUP($B19,'Ibri Tankers'!$D$2:$AG$138,M$28,FALSE),0)</f>
        <v>0</v>
      </c>
      <c r="N19" s="34">
        <f>IFERROR(VLOOKUP($B19,'Ibri Tankers'!$D$2:$AG$138,N$28,FALSE),0)</f>
        <v>0</v>
      </c>
      <c r="O19" s="34">
        <f>IFERROR(VLOOKUP($B19,'Ibri Tankers'!$D$2:$AG$138,O$28,FALSE),0)</f>
        <v>0</v>
      </c>
      <c r="P19" s="34">
        <f>IFERROR(VLOOKUP($B19,'Ibri Tankers'!$D$2:$AG$138,P$28,FALSE),0)</f>
        <v>0</v>
      </c>
      <c r="Q19" s="34">
        <f>IFERROR(VLOOKUP($B19,'Ibri Tankers'!$D$2:$AG$138,Q$28,FALSE),0)</f>
        <v>0</v>
      </c>
      <c r="R19" s="34">
        <f>IFERROR(VLOOKUP($B19,'Ibri Tankers'!$D$2:$AG$138,R$28,FALSE),0)</f>
        <v>0</v>
      </c>
      <c r="S19" s="34">
        <f>IFERROR(VLOOKUP($B19,'Ibri Tankers'!$D$2:$AG$138,S$28,FALSE),0)</f>
        <v>0</v>
      </c>
      <c r="T19" s="34">
        <f>IFERROR(VLOOKUP($B19,'Ibri Tankers'!$D$2:$AG$138,T$28,FALSE),0)</f>
        <v>0</v>
      </c>
      <c r="U19" s="34">
        <f>IFERROR(VLOOKUP($B19,'Ibri Tankers'!$D$2:$AG$138,U$28,FALSE),0)</f>
        <v>0</v>
      </c>
      <c r="V19" s="34">
        <f>IFERROR(VLOOKUP($B19,'Ibri Tankers'!$D$2:$AG$138,V$28,FALSE),0)</f>
        <v>0</v>
      </c>
      <c r="W19" s="34">
        <f>IFERROR(VLOOKUP($B19,'Ibri Tankers'!$D$2:$AG$138,W$28,FALSE),0)</f>
        <v>0</v>
      </c>
      <c r="X19" s="34">
        <f>IFERROR(VLOOKUP($B19,'Ibri Tankers'!$D$2:$AG$138,X$28,FALSE),0)</f>
        <v>0</v>
      </c>
      <c r="Y19" s="34">
        <f>IFERROR(VLOOKUP($B19,'Ibri Tankers'!$D$2:$AG$138,Y$28,FALSE),0)</f>
        <v>0</v>
      </c>
      <c r="Z19" s="34">
        <f>IFERROR(VLOOKUP($B19,'Ibri Tankers'!$D$2:$AG$138,Z$28,FALSE),0)</f>
        <v>0</v>
      </c>
      <c r="AA19" s="34">
        <f>IFERROR(VLOOKUP($B19,'Ibri Tankers'!$D$2:$AG$138,AA$28,FALSE),0)</f>
        <v>0</v>
      </c>
      <c r="AB19" s="34">
        <f>IFERROR(VLOOKUP($B19,'Ibri Tankers'!$D$2:$AG$138,AB$28,FALSE),0)</f>
        <v>0</v>
      </c>
      <c r="AC19" s="34">
        <f>IFERROR(VLOOKUP($B19,'Ibri Tankers'!$D$2:$AG$138,AC$28,FALSE),0)</f>
        <v>0</v>
      </c>
      <c r="AD19" s="44">
        <f t="shared" ref="AD19:CA19" si="17">AC19</f>
        <v>0</v>
      </c>
      <c r="AE19" s="44">
        <f t="shared" si="17"/>
        <v>0</v>
      </c>
      <c r="AF19" s="44">
        <f t="shared" si="17"/>
        <v>0</v>
      </c>
      <c r="AG19" s="44">
        <f t="shared" si="17"/>
        <v>0</v>
      </c>
      <c r="AH19" s="44">
        <f t="shared" si="17"/>
        <v>0</v>
      </c>
      <c r="AI19" s="44">
        <f t="shared" si="17"/>
        <v>0</v>
      </c>
      <c r="AJ19" s="44">
        <f t="shared" si="17"/>
        <v>0</v>
      </c>
      <c r="AK19" s="44">
        <f t="shared" si="17"/>
        <v>0</v>
      </c>
      <c r="AL19" s="44">
        <f t="shared" si="17"/>
        <v>0</v>
      </c>
      <c r="AM19" s="44">
        <f t="shared" si="17"/>
        <v>0</v>
      </c>
      <c r="AN19" s="44">
        <f t="shared" si="17"/>
        <v>0</v>
      </c>
      <c r="AO19" s="44">
        <f t="shared" si="17"/>
        <v>0</v>
      </c>
      <c r="AP19" s="44">
        <f t="shared" si="17"/>
        <v>0</v>
      </c>
      <c r="AQ19" s="44">
        <f t="shared" si="17"/>
        <v>0</v>
      </c>
      <c r="AR19" s="44">
        <f t="shared" si="17"/>
        <v>0</v>
      </c>
      <c r="AS19" s="44">
        <f t="shared" si="17"/>
        <v>0</v>
      </c>
      <c r="AT19" s="44">
        <f t="shared" si="17"/>
        <v>0</v>
      </c>
      <c r="AU19" s="44">
        <f t="shared" si="17"/>
        <v>0</v>
      </c>
      <c r="AV19" s="44">
        <f t="shared" si="17"/>
        <v>0</v>
      </c>
      <c r="AW19" s="44">
        <f t="shared" si="17"/>
        <v>0</v>
      </c>
      <c r="AX19" s="44">
        <f t="shared" si="17"/>
        <v>0</v>
      </c>
      <c r="AY19" s="44">
        <f t="shared" si="17"/>
        <v>0</v>
      </c>
      <c r="AZ19" s="44">
        <f t="shared" si="17"/>
        <v>0</v>
      </c>
      <c r="BA19" s="44">
        <f t="shared" si="17"/>
        <v>0</v>
      </c>
      <c r="BB19" s="44">
        <f t="shared" si="17"/>
        <v>0</v>
      </c>
      <c r="BC19" s="44">
        <f t="shared" si="17"/>
        <v>0</v>
      </c>
      <c r="BD19" s="44">
        <f t="shared" si="17"/>
        <v>0</v>
      </c>
      <c r="BE19" s="44">
        <f t="shared" si="17"/>
        <v>0</v>
      </c>
      <c r="BF19" s="44">
        <f t="shared" si="17"/>
        <v>0</v>
      </c>
      <c r="BG19" s="44">
        <f t="shared" si="17"/>
        <v>0</v>
      </c>
      <c r="BH19" s="44">
        <f t="shared" si="17"/>
        <v>0</v>
      </c>
      <c r="BI19" s="44">
        <f t="shared" si="17"/>
        <v>0</v>
      </c>
      <c r="BJ19" s="44">
        <f t="shared" si="17"/>
        <v>0</v>
      </c>
      <c r="BK19" s="44">
        <f t="shared" si="17"/>
        <v>0</v>
      </c>
      <c r="BL19" s="44">
        <f t="shared" si="17"/>
        <v>0</v>
      </c>
      <c r="BM19" s="44">
        <f t="shared" si="17"/>
        <v>0</v>
      </c>
      <c r="BN19" s="44">
        <f t="shared" si="17"/>
        <v>0</v>
      </c>
      <c r="BO19" s="44">
        <f t="shared" si="17"/>
        <v>0</v>
      </c>
      <c r="BP19" s="44">
        <f t="shared" si="17"/>
        <v>0</v>
      </c>
      <c r="BQ19" s="44">
        <f t="shared" si="17"/>
        <v>0</v>
      </c>
      <c r="BR19" s="44">
        <f t="shared" si="17"/>
        <v>0</v>
      </c>
      <c r="BS19" s="44">
        <f t="shared" si="17"/>
        <v>0</v>
      </c>
      <c r="BT19" s="44">
        <f t="shared" si="17"/>
        <v>0</v>
      </c>
      <c r="BU19" s="44">
        <f t="shared" si="17"/>
        <v>0</v>
      </c>
      <c r="BV19" s="44">
        <f t="shared" si="17"/>
        <v>0</v>
      </c>
      <c r="BW19" s="44">
        <f t="shared" si="17"/>
        <v>0</v>
      </c>
      <c r="BX19" s="44">
        <f t="shared" si="17"/>
        <v>0</v>
      </c>
      <c r="BY19" s="44">
        <f t="shared" si="17"/>
        <v>0</v>
      </c>
      <c r="BZ19" s="44">
        <f t="shared" si="17"/>
        <v>0</v>
      </c>
      <c r="CA19" s="44">
        <f t="shared" si="17"/>
        <v>0</v>
      </c>
    </row>
    <row r="20" spans="1:79" x14ac:dyDescent="0.25">
      <c r="A20" s="33">
        <v>19</v>
      </c>
      <c r="B20" s="36" t="s">
        <v>44</v>
      </c>
      <c r="C20" s="34">
        <f>IFERROR(VLOOKUP($B20,'Ibri Tankers'!$D$2:$AG$138,C$28,FALSE),0)</f>
        <v>0</v>
      </c>
      <c r="D20" s="34">
        <f>IFERROR(VLOOKUP($B20,'Ibri Tankers'!$D$2:$AG$138,D$28,FALSE),0)</f>
        <v>0</v>
      </c>
      <c r="E20" s="34">
        <f>IFERROR(VLOOKUP($B20,'Ibri Tankers'!$D$2:$AG$138,E$28,FALSE),0)</f>
        <v>0</v>
      </c>
      <c r="F20" s="34">
        <f>IFERROR(VLOOKUP($B20,'Ibri Tankers'!$D$2:$AG$138,F$28,FALSE),0)</f>
        <v>0</v>
      </c>
      <c r="G20" s="34">
        <f>IFERROR(VLOOKUP($B20,'Ibri Tankers'!$D$2:$AG$138,G$28,FALSE),0)</f>
        <v>0</v>
      </c>
      <c r="H20" s="34">
        <f>IFERROR(VLOOKUP($B20,'Ibri Tankers'!$D$2:$AG$138,H$28,FALSE),0)</f>
        <v>0</v>
      </c>
      <c r="I20" s="34">
        <f>IFERROR(VLOOKUP($B20,'Ibri Tankers'!$D$2:$AG$138,I$28,FALSE),0)</f>
        <v>0</v>
      </c>
      <c r="J20" s="34">
        <f>IFERROR(VLOOKUP($B20,'Ibri Tankers'!$D$2:$AG$138,J$28,FALSE),0)</f>
        <v>0</v>
      </c>
      <c r="K20" s="34">
        <f>IFERROR(VLOOKUP($B20,'Ibri Tankers'!$D$2:$AG$138,K$28,FALSE),0)</f>
        <v>0</v>
      </c>
      <c r="L20" s="34">
        <f>IFERROR(VLOOKUP($B20,'Ibri Tankers'!$D$2:$AG$138,L$28,FALSE),0)</f>
        <v>0</v>
      </c>
      <c r="M20" s="34">
        <f>IFERROR(VLOOKUP($B20,'Ibri Tankers'!$D$2:$AG$138,M$28,FALSE),0)</f>
        <v>0</v>
      </c>
      <c r="N20" s="34">
        <f>IFERROR(VLOOKUP($B20,'Ibri Tankers'!$D$2:$AG$138,N$28,FALSE),0)</f>
        <v>0</v>
      </c>
      <c r="O20" s="34">
        <f>IFERROR(VLOOKUP($B20,'Ibri Tankers'!$D$2:$AG$138,O$28,FALSE),0)</f>
        <v>0</v>
      </c>
      <c r="P20" s="34">
        <f>IFERROR(VLOOKUP($B20,'Ibri Tankers'!$D$2:$AG$138,P$28,FALSE),0)</f>
        <v>0</v>
      </c>
      <c r="Q20" s="34">
        <f>IFERROR(VLOOKUP($B20,'Ibri Tankers'!$D$2:$AG$138,Q$28,FALSE),0)</f>
        <v>0</v>
      </c>
      <c r="R20" s="34">
        <f>IFERROR(VLOOKUP($B20,'Ibri Tankers'!$D$2:$AG$138,R$28,FALSE),0)</f>
        <v>0</v>
      </c>
      <c r="S20" s="34">
        <f>IFERROR(VLOOKUP($B20,'Ibri Tankers'!$D$2:$AG$138,S$28,FALSE),0)</f>
        <v>0</v>
      </c>
      <c r="T20" s="34">
        <f>IFERROR(VLOOKUP($B20,'Ibri Tankers'!$D$2:$AG$138,T$28,FALSE),0)</f>
        <v>0</v>
      </c>
      <c r="U20" s="34">
        <f>IFERROR(VLOOKUP($B20,'Ibri Tankers'!$D$2:$AG$138,U$28,FALSE),0)</f>
        <v>0</v>
      </c>
      <c r="V20" s="34">
        <f>IFERROR(VLOOKUP($B20,'Ibri Tankers'!$D$2:$AG$138,V$28,FALSE),0)</f>
        <v>0</v>
      </c>
      <c r="W20" s="34">
        <f>IFERROR(VLOOKUP($B20,'Ibri Tankers'!$D$2:$AG$138,W$28,FALSE),0)</f>
        <v>0</v>
      </c>
      <c r="X20" s="34">
        <f>IFERROR(VLOOKUP($B20,'Ibri Tankers'!$D$2:$AG$138,X$28,FALSE),0)</f>
        <v>0</v>
      </c>
      <c r="Y20" s="34">
        <f>IFERROR(VLOOKUP($B20,'Ibri Tankers'!$D$2:$AG$138,Y$28,FALSE),0)</f>
        <v>0</v>
      </c>
      <c r="Z20" s="34">
        <f>IFERROR(VLOOKUP($B20,'Ibri Tankers'!$D$2:$AG$138,Z$28,FALSE),0)</f>
        <v>0</v>
      </c>
      <c r="AA20" s="34">
        <f>IFERROR(VLOOKUP($B20,'Ibri Tankers'!$D$2:$AG$138,AA$28,FALSE),0)</f>
        <v>0</v>
      </c>
      <c r="AB20" s="34">
        <f>IFERROR(VLOOKUP($B20,'Ibri Tankers'!$D$2:$AG$138,AB$28,FALSE),0)</f>
        <v>0</v>
      </c>
      <c r="AC20" s="34">
        <f>IFERROR(VLOOKUP($B20,'Ibri Tankers'!$D$2:$AG$138,AC$28,FALSE),0)</f>
        <v>0</v>
      </c>
      <c r="AD20" s="44">
        <f t="shared" ref="AD20:CA20" si="18">AC20</f>
        <v>0</v>
      </c>
      <c r="AE20" s="44">
        <f t="shared" si="18"/>
        <v>0</v>
      </c>
      <c r="AF20" s="44">
        <f t="shared" si="18"/>
        <v>0</v>
      </c>
      <c r="AG20" s="44">
        <f t="shared" si="18"/>
        <v>0</v>
      </c>
      <c r="AH20" s="44">
        <f t="shared" si="18"/>
        <v>0</v>
      </c>
      <c r="AI20" s="44">
        <f t="shared" si="18"/>
        <v>0</v>
      </c>
      <c r="AJ20" s="44">
        <f t="shared" si="18"/>
        <v>0</v>
      </c>
      <c r="AK20" s="44">
        <f t="shared" si="18"/>
        <v>0</v>
      </c>
      <c r="AL20" s="44">
        <f t="shared" si="18"/>
        <v>0</v>
      </c>
      <c r="AM20" s="44">
        <f t="shared" si="18"/>
        <v>0</v>
      </c>
      <c r="AN20" s="44">
        <f t="shared" si="18"/>
        <v>0</v>
      </c>
      <c r="AO20" s="44">
        <f t="shared" si="18"/>
        <v>0</v>
      </c>
      <c r="AP20" s="44">
        <f t="shared" si="18"/>
        <v>0</v>
      </c>
      <c r="AQ20" s="44">
        <f t="shared" si="18"/>
        <v>0</v>
      </c>
      <c r="AR20" s="44">
        <f t="shared" si="18"/>
        <v>0</v>
      </c>
      <c r="AS20" s="44">
        <f t="shared" si="18"/>
        <v>0</v>
      </c>
      <c r="AT20" s="44">
        <f t="shared" si="18"/>
        <v>0</v>
      </c>
      <c r="AU20" s="44">
        <f t="shared" si="18"/>
        <v>0</v>
      </c>
      <c r="AV20" s="44">
        <f t="shared" si="18"/>
        <v>0</v>
      </c>
      <c r="AW20" s="44">
        <f t="shared" si="18"/>
        <v>0</v>
      </c>
      <c r="AX20" s="44">
        <f t="shared" si="18"/>
        <v>0</v>
      </c>
      <c r="AY20" s="44">
        <f t="shared" si="18"/>
        <v>0</v>
      </c>
      <c r="AZ20" s="44">
        <f t="shared" si="18"/>
        <v>0</v>
      </c>
      <c r="BA20" s="44">
        <f t="shared" si="18"/>
        <v>0</v>
      </c>
      <c r="BB20" s="44">
        <f t="shared" si="18"/>
        <v>0</v>
      </c>
      <c r="BC20" s="44">
        <f t="shared" si="18"/>
        <v>0</v>
      </c>
      <c r="BD20" s="44">
        <f t="shared" si="18"/>
        <v>0</v>
      </c>
      <c r="BE20" s="44">
        <f t="shared" si="18"/>
        <v>0</v>
      </c>
      <c r="BF20" s="44">
        <f t="shared" si="18"/>
        <v>0</v>
      </c>
      <c r="BG20" s="44">
        <f t="shared" si="18"/>
        <v>0</v>
      </c>
      <c r="BH20" s="44">
        <f t="shared" si="18"/>
        <v>0</v>
      </c>
      <c r="BI20" s="44">
        <f t="shared" si="18"/>
        <v>0</v>
      </c>
      <c r="BJ20" s="44">
        <f t="shared" si="18"/>
        <v>0</v>
      </c>
      <c r="BK20" s="44">
        <f t="shared" si="18"/>
        <v>0</v>
      </c>
      <c r="BL20" s="44">
        <f t="shared" si="18"/>
        <v>0</v>
      </c>
      <c r="BM20" s="44">
        <f t="shared" si="18"/>
        <v>0</v>
      </c>
      <c r="BN20" s="44">
        <f t="shared" si="18"/>
        <v>0</v>
      </c>
      <c r="BO20" s="44">
        <f t="shared" si="18"/>
        <v>0</v>
      </c>
      <c r="BP20" s="44">
        <f t="shared" si="18"/>
        <v>0</v>
      </c>
      <c r="BQ20" s="44">
        <f t="shared" si="18"/>
        <v>0</v>
      </c>
      <c r="BR20" s="44">
        <f t="shared" si="18"/>
        <v>0</v>
      </c>
      <c r="BS20" s="44">
        <f t="shared" si="18"/>
        <v>0</v>
      </c>
      <c r="BT20" s="44">
        <f t="shared" si="18"/>
        <v>0</v>
      </c>
      <c r="BU20" s="44">
        <f t="shared" si="18"/>
        <v>0</v>
      </c>
      <c r="BV20" s="44">
        <f t="shared" si="18"/>
        <v>0</v>
      </c>
      <c r="BW20" s="44">
        <f t="shared" si="18"/>
        <v>0</v>
      </c>
      <c r="BX20" s="44">
        <f t="shared" si="18"/>
        <v>0</v>
      </c>
      <c r="BY20" s="44">
        <f t="shared" si="18"/>
        <v>0</v>
      </c>
      <c r="BZ20" s="44">
        <f t="shared" si="18"/>
        <v>0</v>
      </c>
      <c r="CA20" s="44">
        <f t="shared" si="18"/>
        <v>0</v>
      </c>
    </row>
    <row r="21" spans="1:79" x14ac:dyDescent="0.25">
      <c r="A21" s="33">
        <v>20</v>
      </c>
      <c r="B21" s="36" t="s">
        <v>53</v>
      </c>
      <c r="C21" s="34">
        <f>IFERROR(VLOOKUP($B21,'Ibri Tankers'!$D$2:$AG$138,C$28,FALSE),0)</f>
        <v>0</v>
      </c>
      <c r="D21" s="34">
        <f>IFERROR(VLOOKUP($B21,'Ibri Tankers'!$D$2:$AG$138,D$28,FALSE),0)</f>
        <v>0</v>
      </c>
      <c r="E21" s="34">
        <f>IFERROR(VLOOKUP($B21,'Ibri Tankers'!$D$2:$AG$138,E$28,FALSE),0)</f>
        <v>0</v>
      </c>
      <c r="F21" s="34">
        <f>IFERROR(VLOOKUP($B21,'Ibri Tankers'!$D$2:$AG$138,F$28,FALSE),0)</f>
        <v>0</v>
      </c>
      <c r="G21" s="34">
        <f>IFERROR(VLOOKUP($B21,'Ibri Tankers'!$D$2:$AG$138,G$28,FALSE),0)</f>
        <v>0</v>
      </c>
      <c r="H21" s="34">
        <f>IFERROR(VLOOKUP($B21,'Ibri Tankers'!$D$2:$AG$138,H$28,FALSE),0)</f>
        <v>0</v>
      </c>
      <c r="I21" s="34">
        <f>IFERROR(VLOOKUP($B21,'Ibri Tankers'!$D$2:$AG$138,I$28,FALSE),0)</f>
        <v>0</v>
      </c>
      <c r="J21" s="34">
        <f>IFERROR(VLOOKUP($B21,'Ibri Tankers'!$D$2:$AG$138,J$28,FALSE),0)</f>
        <v>0</v>
      </c>
      <c r="K21" s="34">
        <f>IFERROR(VLOOKUP($B21,'Ibri Tankers'!$D$2:$AG$138,K$28,FALSE),0)</f>
        <v>0</v>
      </c>
      <c r="L21" s="34">
        <f>IFERROR(VLOOKUP($B21,'Ibri Tankers'!$D$2:$AG$138,L$28,FALSE),0)</f>
        <v>0</v>
      </c>
      <c r="M21" s="34">
        <f>IFERROR(VLOOKUP($B21,'Ibri Tankers'!$D$2:$AG$138,M$28,FALSE),0)</f>
        <v>0</v>
      </c>
      <c r="N21" s="34">
        <f>IFERROR(VLOOKUP($B21,'Ibri Tankers'!$D$2:$AG$138,N$28,FALSE),0)</f>
        <v>0</v>
      </c>
      <c r="O21" s="34">
        <f>IFERROR(VLOOKUP($B21,'Ibri Tankers'!$D$2:$AG$138,O$28,FALSE),0)</f>
        <v>0</v>
      </c>
      <c r="P21" s="34">
        <f>IFERROR(VLOOKUP($B21,'Ibri Tankers'!$D$2:$AG$138,P$28,FALSE),0)</f>
        <v>0</v>
      </c>
      <c r="Q21" s="34">
        <f>IFERROR(VLOOKUP($B21,'Ibri Tankers'!$D$2:$AG$138,Q$28,FALSE),0)</f>
        <v>0</v>
      </c>
      <c r="R21" s="34">
        <f>IFERROR(VLOOKUP($B21,'Ibri Tankers'!$D$2:$AG$138,R$28,FALSE),0)</f>
        <v>0</v>
      </c>
      <c r="S21" s="34">
        <f>IFERROR(VLOOKUP($B21,'Ibri Tankers'!$D$2:$AG$138,S$28,FALSE),0)</f>
        <v>0</v>
      </c>
      <c r="T21" s="34">
        <f>IFERROR(VLOOKUP($B21,'Ibri Tankers'!$D$2:$AG$138,T$28,FALSE),0)</f>
        <v>0</v>
      </c>
      <c r="U21" s="34">
        <f>IFERROR(VLOOKUP($B21,'Ibri Tankers'!$D$2:$AG$138,U$28,FALSE),0)</f>
        <v>0</v>
      </c>
      <c r="V21" s="34">
        <f>IFERROR(VLOOKUP($B21,'Ibri Tankers'!$D$2:$AG$138,V$28,FALSE),0)</f>
        <v>0</v>
      </c>
      <c r="W21" s="34">
        <f>IFERROR(VLOOKUP($B21,'Ibri Tankers'!$D$2:$AG$138,W$28,FALSE),0)</f>
        <v>0</v>
      </c>
      <c r="X21" s="34">
        <f>IFERROR(VLOOKUP($B21,'Ibri Tankers'!$D$2:$AG$138,X$28,FALSE),0)</f>
        <v>0</v>
      </c>
      <c r="Y21" s="34">
        <f>IFERROR(VLOOKUP($B21,'Ibri Tankers'!$D$2:$AG$138,Y$28,FALSE),0)</f>
        <v>0</v>
      </c>
      <c r="Z21" s="34">
        <f>IFERROR(VLOOKUP($B21,'Ibri Tankers'!$D$2:$AG$138,Z$28,FALSE),0)</f>
        <v>0</v>
      </c>
      <c r="AA21" s="34">
        <f>IFERROR(VLOOKUP($B21,'Ibri Tankers'!$D$2:$AG$138,AA$28,FALSE),0)</f>
        <v>0</v>
      </c>
      <c r="AB21" s="34">
        <f>IFERROR(VLOOKUP($B21,'Ibri Tankers'!$D$2:$AG$138,AB$28,FALSE),0)</f>
        <v>0</v>
      </c>
      <c r="AC21" s="34">
        <f>IFERROR(VLOOKUP($B21,'Ibri Tankers'!$D$2:$AG$138,AC$28,FALSE),0)</f>
        <v>0</v>
      </c>
      <c r="AD21" s="44">
        <f t="shared" ref="AD21:CA21" si="19">AC21</f>
        <v>0</v>
      </c>
      <c r="AE21" s="44">
        <f t="shared" si="19"/>
        <v>0</v>
      </c>
      <c r="AF21" s="44">
        <f t="shared" si="19"/>
        <v>0</v>
      </c>
      <c r="AG21" s="44">
        <f t="shared" si="19"/>
        <v>0</v>
      </c>
      <c r="AH21" s="44">
        <f t="shared" si="19"/>
        <v>0</v>
      </c>
      <c r="AI21" s="44">
        <f t="shared" si="19"/>
        <v>0</v>
      </c>
      <c r="AJ21" s="44">
        <f t="shared" si="19"/>
        <v>0</v>
      </c>
      <c r="AK21" s="44">
        <f t="shared" si="19"/>
        <v>0</v>
      </c>
      <c r="AL21" s="44">
        <f t="shared" si="19"/>
        <v>0</v>
      </c>
      <c r="AM21" s="44">
        <f t="shared" si="19"/>
        <v>0</v>
      </c>
      <c r="AN21" s="44">
        <f t="shared" si="19"/>
        <v>0</v>
      </c>
      <c r="AO21" s="44">
        <f t="shared" si="19"/>
        <v>0</v>
      </c>
      <c r="AP21" s="44">
        <f t="shared" si="19"/>
        <v>0</v>
      </c>
      <c r="AQ21" s="44">
        <f t="shared" si="19"/>
        <v>0</v>
      </c>
      <c r="AR21" s="44">
        <f t="shared" si="19"/>
        <v>0</v>
      </c>
      <c r="AS21" s="44">
        <f t="shared" si="19"/>
        <v>0</v>
      </c>
      <c r="AT21" s="44">
        <f t="shared" si="19"/>
        <v>0</v>
      </c>
      <c r="AU21" s="44">
        <f t="shared" si="19"/>
        <v>0</v>
      </c>
      <c r="AV21" s="44">
        <f t="shared" si="19"/>
        <v>0</v>
      </c>
      <c r="AW21" s="44">
        <f t="shared" si="19"/>
        <v>0</v>
      </c>
      <c r="AX21" s="44">
        <f t="shared" si="19"/>
        <v>0</v>
      </c>
      <c r="AY21" s="44">
        <f t="shared" si="19"/>
        <v>0</v>
      </c>
      <c r="AZ21" s="44">
        <f t="shared" si="19"/>
        <v>0</v>
      </c>
      <c r="BA21" s="44">
        <f t="shared" si="19"/>
        <v>0</v>
      </c>
      <c r="BB21" s="44">
        <f t="shared" si="19"/>
        <v>0</v>
      </c>
      <c r="BC21" s="44">
        <f t="shared" si="19"/>
        <v>0</v>
      </c>
      <c r="BD21" s="44">
        <f t="shared" si="19"/>
        <v>0</v>
      </c>
      <c r="BE21" s="44">
        <f t="shared" si="19"/>
        <v>0</v>
      </c>
      <c r="BF21" s="44">
        <f t="shared" si="19"/>
        <v>0</v>
      </c>
      <c r="BG21" s="44">
        <f t="shared" si="19"/>
        <v>0</v>
      </c>
      <c r="BH21" s="44">
        <f t="shared" si="19"/>
        <v>0</v>
      </c>
      <c r="BI21" s="44">
        <f t="shared" si="19"/>
        <v>0</v>
      </c>
      <c r="BJ21" s="44">
        <f t="shared" si="19"/>
        <v>0</v>
      </c>
      <c r="BK21" s="44">
        <f t="shared" si="19"/>
        <v>0</v>
      </c>
      <c r="BL21" s="44">
        <f t="shared" si="19"/>
        <v>0</v>
      </c>
      <c r="BM21" s="44">
        <f t="shared" si="19"/>
        <v>0</v>
      </c>
      <c r="BN21" s="44">
        <f t="shared" si="19"/>
        <v>0</v>
      </c>
      <c r="BO21" s="44">
        <f t="shared" si="19"/>
        <v>0</v>
      </c>
      <c r="BP21" s="44">
        <f t="shared" si="19"/>
        <v>0</v>
      </c>
      <c r="BQ21" s="44">
        <f t="shared" si="19"/>
        <v>0</v>
      </c>
      <c r="BR21" s="44">
        <f t="shared" si="19"/>
        <v>0</v>
      </c>
      <c r="BS21" s="44">
        <f t="shared" si="19"/>
        <v>0</v>
      </c>
      <c r="BT21" s="44">
        <f t="shared" si="19"/>
        <v>0</v>
      </c>
      <c r="BU21" s="44">
        <f t="shared" si="19"/>
        <v>0</v>
      </c>
      <c r="BV21" s="44">
        <f t="shared" si="19"/>
        <v>0</v>
      </c>
      <c r="BW21" s="44">
        <f t="shared" si="19"/>
        <v>0</v>
      </c>
      <c r="BX21" s="44">
        <f t="shared" si="19"/>
        <v>0</v>
      </c>
      <c r="BY21" s="44">
        <f t="shared" si="19"/>
        <v>0</v>
      </c>
      <c r="BZ21" s="44">
        <f t="shared" si="19"/>
        <v>0</v>
      </c>
      <c r="CA21" s="44">
        <f t="shared" si="19"/>
        <v>0</v>
      </c>
    </row>
    <row r="22" spans="1:79" x14ac:dyDescent="0.25">
      <c r="A22" s="33">
        <v>21</v>
      </c>
      <c r="B22" s="36" t="s">
        <v>48</v>
      </c>
      <c r="C22" s="34">
        <f>IFERROR(VLOOKUP($B22,'Ibri Tankers'!$D$2:$AG$138,C$28,FALSE),0)</f>
        <v>0</v>
      </c>
      <c r="D22" s="34">
        <f>IFERROR(VLOOKUP($B22,'Ibri Tankers'!$D$2:$AG$138,D$28,FALSE),0)</f>
        <v>0</v>
      </c>
      <c r="E22" s="34">
        <f>IFERROR(VLOOKUP($B22,'Ibri Tankers'!$D$2:$AG$138,E$28,FALSE),0)</f>
        <v>0</v>
      </c>
      <c r="F22" s="34">
        <f>IFERROR(VLOOKUP($B22,'Ibri Tankers'!$D$2:$AG$138,F$28,FALSE),0)</f>
        <v>0</v>
      </c>
      <c r="G22" s="34">
        <f>IFERROR(VLOOKUP($B22,'Ibri Tankers'!$D$2:$AG$138,G$28,FALSE),0)</f>
        <v>0</v>
      </c>
      <c r="H22" s="34">
        <f>IFERROR(VLOOKUP($B22,'Ibri Tankers'!$D$2:$AG$138,H$28,FALSE),0)</f>
        <v>0</v>
      </c>
      <c r="I22" s="34">
        <f>IFERROR(VLOOKUP($B22,'Ibri Tankers'!$D$2:$AG$138,I$28,FALSE),0)</f>
        <v>0</v>
      </c>
      <c r="J22" s="34">
        <f>IFERROR(VLOOKUP($B22,'Ibri Tankers'!$D$2:$AG$138,J$28,FALSE),0)</f>
        <v>0</v>
      </c>
      <c r="K22" s="34">
        <f>IFERROR(VLOOKUP($B22,'Ibri Tankers'!$D$2:$AG$138,K$28,FALSE),0)</f>
        <v>0</v>
      </c>
      <c r="L22" s="34">
        <f>IFERROR(VLOOKUP($B22,'Ibri Tankers'!$D$2:$AG$138,L$28,FALSE),0)</f>
        <v>0</v>
      </c>
      <c r="M22" s="34">
        <f>IFERROR(VLOOKUP($B22,'Ibri Tankers'!$D$2:$AG$138,M$28,FALSE),0)</f>
        <v>0</v>
      </c>
      <c r="N22" s="34">
        <f>IFERROR(VLOOKUP($B22,'Ibri Tankers'!$D$2:$AG$138,N$28,FALSE),0)</f>
        <v>0</v>
      </c>
      <c r="O22" s="34">
        <f>IFERROR(VLOOKUP($B22,'Ibri Tankers'!$D$2:$AG$138,O$28,FALSE),0)</f>
        <v>0</v>
      </c>
      <c r="P22" s="34">
        <f>IFERROR(VLOOKUP($B22,'Ibri Tankers'!$D$2:$AG$138,P$28,FALSE),0)</f>
        <v>0</v>
      </c>
      <c r="Q22" s="34">
        <f>IFERROR(VLOOKUP($B22,'Ibri Tankers'!$D$2:$AG$138,Q$28,FALSE),0)</f>
        <v>0</v>
      </c>
      <c r="R22" s="34">
        <f>IFERROR(VLOOKUP($B22,'Ibri Tankers'!$D$2:$AG$138,R$28,FALSE),0)</f>
        <v>0</v>
      </c>
      <c r="S22" s="34">
        <f>IFERROR(VLOOKUP($B22,'Ibri Tankers'!$D$2:$AG$138,S$28,FALSE),0)</f>
        <v>0</v>
      </c>
      <c r="T22" s="34">
        <f>IFERROR(VLOOKUP($B22,'Ibri Tankers'!$D$2:$AG$138,T$28,FALSE),0)</f>
        <v>0</v>
      </c>
      <c r="U22" s="34">
        <f>IFERROR(VLOOKUP($B22,'Ibri Tankers'!$D$2:$AG$138,U$28,FALSE),0)</f>
        <v>0</v>
      </c>
      <c r="V22" s="34">
        <f>IFERROR(VLOOKUP($B22,'Ibri Tankers'!$D$2:$AG$138,V$28,FALSE),0)</f>
        <v>0</v>
      </c>
      <c r="W22" s="34">
        <f>IFERROR(VLOOKUP($B22,'Ibri Tankers'!$D$2:$AG$138,W$28,FALSE),0)</f>
        <v>0</v>
      </c>
      <c r="X22" s="34">
        <f>IFERROR(VLOOKUP($B22,'Ibri Tankers'!$D$2:$AG$138,X$28,FALSE),0)</f>
        <v>0</v>
      </c>
      <c r="Y22" s="34">
        <f>IFERROR(VLOOKUP($B22,'Ibri Tankers'!$D$2:$AG$138,Y$28,FALSE),0)</f>
        <v>0</v>
      </c>
      <c r="Z22" s="34">
        <f>IFERROR(VLOOKUP($B22,'Ibri Tankers'!$D$2:$AG$138,Z$28,FALSE),0)</f>
        <v>0</v>
      </c>
      <c r="AA22" s="34">
        <f>IFERROR(VLOOKUP($B22,'Ibri Tankers'!$D$2:$AG$138,AA$28,FALSE),0)</f>
        <v>0</v>
      </c>
      <c r="AB22" s="34">
        <f>IFERROR(VLOOKUP($B22,'Ibri Tankers'!$D$2:$AG$138,AB$28,FALSE),0)</f>
        <v>0</v>
      </c>
      <c r="AC22" s="34">
        <f>IFERROR(VLOOKUP($B22,'Ibri Tankers'!$D$2:$AG$138,AC$28,FALSE),0)</f>
        <v>0</v>
      </c>
      <c r="AD22" s="44">
        <f t="shared" ref="AD22:CA22" si="20">AC22</f>
        <v>0</v>
      </c>
      <c r="AE22" s="44">
        <f t="shared" si="20"/>
        <v>0</v>
      </c>
      <c r="AF22" s="44">
        <f t="shared" si="20"/>
        <v>0</v>
      </c>
      <c r="AG22" s="44">
        <f t="shared" si="20"/>
        <v>0</v>
      </c>
      <c r="AH22" s="44">
        <f t="shared" si="20"/>
        <v>0</v>
      </c>
      <c r="AI22" s="44">
        <f t="shared" si="20"/>
        <v>0</v>
      </c>
      <c r="AJ22" s="44">
        <f t="shared" si="20"/>
        <v>0</v>
      </c>
      <c r="AK22" s="44">
        <f t="shared" si="20"/>
        <v>0</v>
      </c>
      <c r="AL22" s="44">
        <f t="shared" si="20"/>
        <v>0</v>
      </c>
      <c r="AM22" s="44">
        <f t="shared" si="20"/>
        <v>0</v>
      </c>
      <c r="AN22" s="44">
        <f t="shared" si="20"/>
        <v>0</v>
      </c>
      <c r="AO22" s="44">
        <f t="shared" si="20"/>
        <v>0</v>
      </c>
      <c r="AP22" s="44">
        <f t="shared" si="20"/>
        <v>0</v>
      </c>
      <c r="AQ22" s="44">
        <f t="shared" si="20"/>
        <v>0</v>
      </c>
      <c r="AR22" s="44">
        <f t="shared" si="20"/>
        <v>0</v>
      </c>
      <c r="AS22" s="44">
        <f t="shared" si="20"/>
        <v>0</v>
      </c>
      <c r="AT22" s="44">
        <f t="shared" si="20"/>
        <v>0</v>
      </c>
      <c r="AU22" s="44">
        <f t="shared" si="20"/>
        <v>0</v>
      </c>
      <c r="AV22" s="44">
        <f t="shared" si="20"/>
        <v>0</v>
      </c>
      <c r="AW22" s="44">
        <f t="shared" si="20"/>
        <v>0</v>
      </c>
      <c r="AX22" s="44">
        <f t="shared" si="20"/>
        <v>0</v>
      </c>
      <c r="AY22" s="44">
        <f t="shared" si="20"/>
        <v>0</v>
      </c>
      <c r="AZ22" s="44">
        <f t="shared" si="20"/>
        <v>0</v>
      </c>
      <c r="BA22" s="44">
        <f t="shared" si="20"/>
        <v>0</v>
      </c>
      <c r="BB22" s="44">
        <f t="shared" si="20"/>
        <v>0</v>
      </c>
      <c r="BC22" s="44">
        <f t="shared" si="20"/>
        <v>0</v>
      </c>
      <c r="BD22" s="44">
        <f t="shared" si="20"/>
        <v>0</v>
      </c>
      <c r="BE22" s="44">
        <f t="shared" si="20"/>
        <v>0</v>
      </c>
      <c r="BF22" s="44">
        <f t="shared" si="20"/>
        <v>0</v>
      </c>
      <c r="BG22" s="44">
        <f t="shared" si="20"/>
        <v>0</v>
      </c>
      <c r="BH22" s="44">
        <f t="shared" si="20"/>
        <v>0</v>
      </c>
      <c r="BI22" s="44">
        <f t="shared" si="20"/>
        <v>0</v>
      </c>
      <c r="BJ22" s="44">
        <f t="shared" si="20"/>
        <v>0</v>
      </c>
      <c r="BK22" s="44">
        <f t="shared" si="20"/>
        <v>0</v>
      </c>
      <c r="BL22" s="44">
        <f t="shared" si="20"/>
        <v>0</v>
      </c>
      <c r="BM22" s="44">
        <f t="shared" si="20"/>
        <v>0</v>
      </c>
      <c r="BN22" s="44">
        <f t="shared" si="20"/>
        <v>0</v>
      </c>
      <c r="BO22" s="44">
        <f t="shared" si="20"/>
        <v>0</v>
      </c>
      <c r="BP22" s="44">
        <f t="shared" si="20"/>
        <v>0</v>
      </c>
      <c r="BQ22" s="44">
        <f t="shared" si="20"/>
        <v>0</v>
      </c>
      <c r="BR22" s="44">
        <f t="shared" si="20"/>
        <v>0</v>
      </c>
      <c r="BS22" s="44">
        <f t="shared" si="20"/>
        <v>0</v>
      </c>
      <c r="BT22" s="44">
        <f t="shared" si="20"/>
        <v>0</v>
      </c>
      <c r="BU22" s="44">
        <f t="shared" si="20"/>
        <v>0</v>
      </c>
      <c r="BV22" s="44">
        <f t="shared" si="20"/>
        <v>0</v>
      </c>
      <c r="BW22" s="44">
        <f t="shared" si="20"/>
        <v>0</v>
      </c>
      <c r="BX22" s="44">
        <f t="shared" si="20"/>
        <v>0</v>
      </c>
      <c r="BY22" s="44">
        <f t="shared" si="20"/>
        <v>0</v>
      </c>
      <c r="BZ22" s="44">
        <f t="shared" si="20"/>
        <v>0</v>
      </c>
      <c r="CA22" s="44">
        <f t="shared" si="20"/>
        <v>0</v>
      </c>
    </row>
    <row r="23" spans="1:79" x14ac:dyDescent="0.25">
      <c r="A23" s="33">
        <v>22</v>
      </c>
      <c r="B23" s="36" t="s">
        <v>52</v>
      </c>
      <c r="C23" s="34">
        <f>IFERROR(VLOOKUP($B23,'Ibri Tankers'!$D$2:$AG$138,C$28,FALSE),0)</f>
        <v>0</v>
      </c>
      <c r="D23" s="34">
        <f>IFERROR(VLOOKUP($B23,'Ibri Tankers'!$D$2:$AG$138,D$28,FALSE),0)</f>
        <v>0</v>
      </c>
      <c r="E23" s="34">
        <f>IFERROR(VLOOKUP($B23,'Ibri Tankers'!$D$2:$AG$138,E$28,FALSE),0)</f>
        <v>0</v>
      </c>
      <c r="F23" s="34">
        <f>IFERROR(VLOOKUP($B23,'Ibri Tankers'!$D$2:$AG$138,F$28,FALSE),0)</f>
        <v>0</v>
      </c>
      <c r="G23" s="34">
        <f>IFERROR(VLOOKUP($B23,'Ibri Tankers'!$D$2:$AG$138,G$28,FALSE),0)</f>
        <v>0</v>
      </c>
      <c r="H23" s="34">
        <f>IFERROR(VLOOKUP($B23,'Ibri Tankers'!$D$2:$AG$138,H$28,FALSE),0)</f>
        <v>0</v>
      </c>
      <c r="I23" s="34">
        <f>IFERROR(VLOOKUP($B23,'Ibri Tankers'!$D$2:$AG$138,I$28,FALSE),0)</f>
        <v>0</v>
      </c>
      <c r="J23" s="34">
        <f>IFERROR(VLOOKUP($B23,'Ibri Tankers'!$D$2:$AG$138,J$28,FALSE),0)</f>
        <v>0</v>
      </c>
      <c r="K23" s="34">
        <f>IFERROR(VLOOKUP($B23,'Ibri Tankers'!$D$2:$AG$138,K$28,FALSE),0)</f>
        <v>0</v>
      </c>
      <c r="L23" s="34">
        <f>IFERROR(VLOOKUP($B23,'Ibri Tankers'!$D$2:$AG$138,L$28,FALSE),0)</f>
        <v>0</v>
      </c>
      <c r="M23" s="34">
        <f>IFERROR(VLOOKUP($B23,'Ibri Tankers'!$D$2:$AG$138,M$28,FALSE),0)</f>
        <v>0</v>
      </c>
      <c r="N23" s="34">
        <f>IFERROR(VLOOKUP($B23,'Ibri Tankers'!$D$2:$AG$138,N$28,FALSE),0)</f>
        <v>0</v>
      </c>
      <c r="O23" s="34">
        <f>IFERROR(VLOOKUP($B23,'Ibri Tankers'!$D$2:$AG$138,O$28,FALSE),0)</f>
        <v>0</v>
      </c>
      <c r="P23" s="34">
        <f>IFERROR(VLOOKUP($B23,'Ibri Tankers'!$D$2:$AG$138,P$28,FALSE),0)</f>
        <v>0</v>
      </c>
      <c r="Q23" s="34">
        <f>IFERROR(VLOOKUP($B23,'Ibri Tankers'!$D$2:$AG$138,Q$28,FALSE),0)</f>
        <v>0</v>
      </c>
      <c r="R23" s="34">
        <f>IFERROR(VLOOKUP($B23,'Ibri Tankers'!$D$2:$AG$138,R$28,FALSE),0)</f>
        <v>0</v>
      </c>
      <c r="S23" s="34">
        <f>IFERROR(VLOOKUP($B23,'Ibri Tankers'!$D$2:$AG$138,S$28,FALSE),0)</f>
        <v>0</v>
      </c>
      <c r="T23" s="34">
        <f>IFERROR(VLOOKUP($B23,'Ibri Tankers'!$D$2:$AG$138,T$28,FALSE),0)</f>
        <v>0</v>
      </c>
      <c r="U23" s="34">
        <f>IFERROR(VLOOKUP($B23,'Ibri Tankers'!$D$2:$AG$138,U$28,FALSE),0)</f>
        <v>0</v>
      </c>
      <c r="V23" s="34">
        <f>IFERROR(VLOOKUP($B23,'Ibri Tankers'!$D$2:$AG$138,V$28,FALSE),0)</f>
        <v>0</v>
      </c>
      <c r="W23" s="34">
        <f>IFERROR(VLOOKUP($B23,'Ibri Tankers'!$D$2:$AG$138,W$28,FALSE),0)</f>
        <v>0</v>
      </c>
      <c r="X23" s="34">
        <f>IFERROR(VLOOKUP($B23,'Ibri Tankers'!$D$2:$AG$138,X$28,FALSE),0)</f>
        <v>0</v>
      </c>
      <c r="Y23" s="34">
        <f>IFERROR(VLOOKUP($B23,'Ibri Tankers'!$D$2:$AG$138,Y$28,FALSE),0)</f>
        <v>0</v>
      </c>
      <c r="Z23" s="34">
        <f>IFERROR(VLOOKUP($B23,'Ibri Tankers'!$D$2:$AG$138,Z$28,FALSE),0)</f>
        <v>0</v>
      </c>
      <c r="AA23" s="34">
        <f>IFERROR(VLOOKUP($B23,'Ibri Tankers'!$D$2:$AG$138,AA$28,FALSE),0)</f>
        <v>0</v>
      </c>
      <c r="AB23" s="34">
        <f>IFERROR(VLOOKUP($B23,'Ibri Tankers'!$D$2:$AG$138,AB$28,FALSE),0)</f>
        <v>0</v>
      </c>
      <c r="AC23" s="34">
        <f>IFERROR(VLOOKUP($B23,'Ibri Tankers'!$D$2:$AG$138,AC$28,FALSE),0)</f>
        <v>0</v>
      </c>
      <c r="AD23" s="44">
        <f t="shared" ref="AD23:CA23" si="21">AC23</f>
        <v>0</v>
      </c>
      <c r="AE23" s="44">
        <f t="shared" si="21"/>
        <v>0</v>
      </c>
      <c r="AF23" s="44">
        <f t="shared" si="21"/>
        <v>0</v>
      </c>
      <c r="AG23" s="44">
        <f t="shared" si="21"/>
        <v>0</v>
      </c>
      <c r="AH23" s="44">
        <f t="shared" si="21"/>
        <v>0</v>
      </c>
      <c r="AI23" s="44">
        <f t="shared" si="21"/>
        <v>0</v>
      </c>
      <c r="AJ23" s="44">
        <f t="shared" si="21"/>
        <v>0</v>
      </c>
      <c r="AK23" s="44">
        <f t="shared" si="21"/>
        <v>0</v>
      </c>
      <c r="AL23" s="44">
        <f t="shared" si="21"/>
        <v>0</v>
      </c>
      <c r="AM23" s="44">
        <f t="shared" si="21"/>
        <v>0</v>
      </c>
      <c r="AN23" s="44">
        <f t="shared" si="21"/>
        <v>0</v>
      </c>
      <c r="AO23" s="44">
        <f t="shared" si="21"/>
        <v>0</v>
      </c>
      <c r="AP23" s="44">
        <f t="shared" si="21"/>
        <v>0</v>
      </c>
      <c r="AQ23" s="44">
        <f t="shared" si="21"/>
        <v>0</v>
      </c>
      <c r="AR23" s="44">
        <f t="shared" si="21"/>
        <v>0</v>
      </c>
      <c r="AS23" s="44">
        <f t="shared" si="21"/>
        <v>0</v>
      </c>
      <c r="AT23" s="44">
        <f t="shared" si="21"/>
        <v>0</v>
      </c>
      <c r="AU23" s="44">
        <f t="shared" si="21"/>
        <v>0</v>
      </c>
      <c r="AV23" s="44">
        <f t="shared" si="21"/>
        <v>0</v>
      </c>
      <c r="AW23" s="44">
        <f t="shared" si="21"/>
        <v>0</v>
      </c>
      <c r="AX23" s="44">
        <f t="shared" si="21"/>
        <v>0</v>
      </c>
      <c r="AY23" s="44">
        <f t="shared" si="21"/>
        <v>0</v>
      </c>
      <c r="AZ23" s="44">
        <f t="shared" si="21"/>
        <v>0</v>
      </c>
      <c r="BA23" s="44">
        <f t="shared" si="21"/>
        <v>0</v>
      </c>
      <c r="BB23" s="44">
        <f t="shared" si="21"/>
        <v>0</v>
      </c>
      <c r="BC23" s="44">
        <f t="shared" si="21"/>
        <v>0</v>
      </c>
      <c r="BD23" s="44">
        <f t="shared" si="21"/>
        <v>0</v>
      </c>
      <c r="BE23" s="44">
        <f t="shared" si="21"/>
        <v>0</v>
      </c>
      <c r="BF23" s="44">
        <f t="shared" si="21"/>
        <v>0</v>
      </c>
      <c r="BG23" s="44">
        <f t="shared" si="21"/>
        <v>0</v>
      </c>
      <c r="BH23" s="44">
        <f t="shared" si="21"/>
        <v>0</v>
      </c>
      <c r="BI23" s="44">
        <f t="shared" si="21"/>
        <v>0</v>
      </c>
      <c r="BJ23" s="44">
        <f t="shared" si="21"/>
        <v>0</v>
      </c>
      <c r="BK23" s="44">
        <f t="shared" si="21"/>
        <v>0</v>
      </c>
      <c r="BL23" s="44">
        <f t="shared" si="21"/>
        <v>0</v>
      </c>
      <c r="BM23" s="44">
        <f t="shared" si="21"/>
        <v>0</v>
      </c>
      <c r="BN23" s="44">
        <f t="shared" si="21"/>
        <v>0</v>
      </c>
      <c r="BO23" s="44">
        <f t="shared" si="21"/>
        <v>0</v>
      </c>
      <c r="BP23" s="44">
        <f t="shared" si="21"/>
        <v>0</v>
      </c>
      <c r="BQ23" s="44">
        <f t="shared" si="21"/>
        <v>0</v>
      </c>
      <c r="BR23" s="44">
        <f t="shared" si="21"/>
        <v>0</v>
      </c>
      <c r="BS23" s="44">
        <f t="shared" si="21"/>
        <v>0</v>
      </c>
      <c r="BT23" s="44">
        <f t="shared" si="21"/>
        <v>0</v>
      </c>
      <c r="BU23" s="44">
        <f t="shared" si="21"/>
        <v>0</v>
      </c>
      <c r="BV23" s="44">
        <f t="shared" si="21"/>
        <v>0</v>
      </c>
      <c r="BW23" s="44">
        <f t="shared" si="21"/>
        <v>0</v>
      </c>
      <c r="BX23" s="44">
        <f t="shared" si="21"/>
        <v>0</v>
      </c>
      <c r="BY23" s="44">
        <f t="shared" si="21"/>
        <v>0</v>
      </c>
      <c r="BZ23" s="44">
        <f t="shared" si="21"/>
        <v>0</v>
      </c>
      <c r="CA23" s="44">
        <f t="shared" si="21"/>
        <v>0</v>
      </c>
    </row>
    <row r="24" spans="1:79" x14ac:dyDescent="0.25">
      <c r="A24" s="33">
        <v>23</v>
      </c>
      <c r="B24" s="36" t="s">
        <v>36</v>
      </c>
      <c r="C24" s="34">
        <f>IFERROR(VLOOKUP($B24,'Ibri Tankers'!$D$2:$AG$138,C$28,FALSE),0)</f>
        <v>0</v>
      </c>
      <c r="D24" s="34">
        <f>IFERROR(VLOOKUP($B24,'Ibri Tankers'!$D$2:$AG$138,D$28,FALSE),0)</f>
        <v>0</v>
      </c>
      <c r="E24" s="34">
        <f>IFERROR(VLOOKUP($B24,'Ibri Tankers'!$D$2:$AG$138,E$28,FALSE),0)</f>
        <v>0</v>
      </c>
      <c r="F24" s="34">
        <f>IFERROR(VLOOKUP($B24,'Ibri Tankers'!$D$2:$AG$138,F$28,FALSE),0)</f>
        <v>0</v>
      </c>
      <c r="G24" s="34">
        <f>IFERROR(VLOOKUP($B24,'Ibri Tankers'!$D$2:$AG$138,G$28,FALSE),0)</f>
        <v>0</v>
      </c>
      <c r="H24" s="34">
        <f>IFERROR(VLOOKUP($B24,'Ibri Tankers'!$D$2:$AG$138,H$28,FALSE),0)</f>
        <v>0</v>
      </c>
      <c r="I24" s="34">
        <f>IFERROR(VLOOKUP($B24,'Ibri Tankers'!$D$2:$AG$138,I$28,FALSE),0)</f>
        <v>0</v>
      </c>
      <c r="J24" s="34">
        <f>IFERROR(VLOOKUP($B24,'Ibri Tankers'!$D$2:$AG$138,J$28,FALSE),0)</f>
        <v>0</v>
      </c>
      <c r="K24" s="34">
        <f>IFERROR(VLOOKUP($B24,'Ibri Tankers'!$D$2:$AG$138,K$28,FALSE),0)</f>
        <v>0</v>
      </c>
      <c r="L24" s="34">
        <f>IFERROR(VLOOKUP($B24,'Ibri Tankers'!$D$2:$AG$138,L$28,FALSE),0)</f>
        <v>0</v>
      </c>
      <c r="M24" s="34">
        <f>IFERROR(VLOOKUP($B24,'Ibri Tankers'!$D$2:$AG$138,M$28,FALSE),0)</f>
        <v>0</v>
      </c>
      <c r="N24" s="34">
        <f>IFERROR(VLOOKUP($B24,'Ibri Tankers'!$D$2:$AG$138,N$28,FALSE),0)</f>
        <v>0</v>
      </c>
      <c r="O24" s="34">
        <f>IFERROR(VLOOKUP($B24,'Ibri Tankers'!$D$2:$AG$138,O$28,FALSE),0)</f>
        <v>0</v>
      </c>
      <c r="P24" s="34">
        <f>IFERROR(VLOOKUP($B24,'Ibri Tankers'!$D$2:$AG$138,P$28,FALSE),0)</f>
        <v>0</v>
      </c>
      <c r="Q24" s="34">
        <f>IFERROR(VLOOKUP($B24,'Ibri Tankers'!$D$2:$AG$138,Q$28,FALSE),0)</f>
        <v>0</v>
      </c>
      <c r="R24" s="34">
        <f>IFERROR(VLOOKUP($B24,'Ibri Tankers'!$D$2:$AG$138,R$28,FALSE),0)</f>
        <v>0</v>
      </c>
      <c r="S24" s="34">
        <f>IFERROR(VLOOKUP($B24,'Ibri Tankers'!$D$2:$AG$138,S$28,FALSE),0)</f>
        <v>0</v>
      </c>
      <c r="T24" s="34">
        <f>IFERROR(VLOOKUP($B24,'Ibri Tankers'!$D$2:$AG$138,T$28,FALSE),0)</f>
        <v>0</v>
      </c>
      <c r="U24" s="34">
        <f>IFERROR(VLOOKUP($B24,'Ibri Tankers'!$D$2:$AG$138,U$28,FALSE),0)</f>
        <v>0</v>
      </c>
      <c r="V24" s="34">
        <f>IFERROR(VLOOKUP($B24,'Ibri Tankers'!$D$2:$AG$138,V$28,FALSE),0)</f>
        <v>0</v>
      </c>
      <c r="W24" s="34">
        <f>IFERROR(VLOOKUP($B24,'Ibri Tankers'!$D$2:$AG$138,W$28,FALSE),0)</f>
        <v>0</v>
      </c>
      <c r="X24" s="34">
        <f>IFERROR(VLOOKUP($B24,'Ibri Tankers'!$D$2:$AG$138,X$28,FALSE),0)</f>
        <v>0</v>
      </c>
      <c r="Y24" s="34">
        <f>IFERROR(VLOOKUP($B24,'Ibri Tankers'!$D$2:$AG$138,Y$28,FALSE),0)</f>
        <v>0</v>
      </c>
      <c r="Z24" s="34">
        <f>IFERROR(VLOOKUP($B24,'Ibri Tankers'!$D$2:$AG$138,Z$28,FALSE),0)</f>
        <v>0</v>
      </c>
      <c r="AA24" s="34">
        <f>IFERROR(VLOOKUP($B24,'Ibri Tankers'!$D$2:$AG$138,AA$28,FALSE),0)</f>
        <v>0</v>
      </c>
      <c r="AB24" s="34">
        <f>IFERROR(VLOOKUP($B24,'Ibri Tankers'!$D$2:$AG$138,AB$28,FALSE),0)</f>
        <v>0</v>
      </c>
      <c r="AC24" s="34">
        <f>IFERROR(VLOOKUP($B24,'Ibri Tankers'!$D$2:$AG$138,AC$28,FALSE),0)</f>
        <v>0</v>
      </c>
      <c r="AD24" s="44">
        <f t="shared" ref="AD24:CA24" si="22">AC24</f>
        <v>0</v>
      </c>
      <c r="AE24" s="44">
        <f t="shared" si="22"/>
        <v>0</v>
      </c>
      <c r="AF24" s="44">
        <f t="shared" si="22"/>
        <v>0</v>
      </c>
      <c r="AG24" s="44">
        <f t="shared" si="22"/>
        <v>0</v>
      </c>
      <c r="AH24" s="44">
        <f t="shared" si="22"/>
        <v>0</v>
      </c>
      <c r="AI24" s="44">
        <f t="shared" si="22"/>
        <v>0</v>
      </c>
      <c r="AJ24" s="44">
        <f t="shared" si="22"/>
        <v>0</v>
      </c>
      <c r="AK24" s="44">
        <f t="shared" si="22"/>
        <v>0</v>
      </c>
      <c r="AL24" s="44">
        <f t="shared" si="22"/>
        <v>0</v>
      </c>
      <c r="AM24" s="44">
        <f t="shared" si="22"/>
        <v>0</v>
      </c>
      <c r="AN24" s="44">
        <f t="shared" si="22"/>
        <v>0</v>
      </c>
      <c r="AO24" s="44">
        <f t="shared" si="22"/>
        <v>0</v>
      </c>
      <c r="AP24" s="44">
        <f t="shared" si="22"/>
        <v>0</v>
      </c>
      <c r="AQ24" s="44">
        <f t="shared" si="22"/>
        <v>0</v>
      </c>
      <c r="AR24" s="44">
        <f t="shared" si="22"/>
        <v>0</v>
      </c>
      <c r="AS24" s="44">
        <f t="shared" si="22"/>
        <v>0</v>
      </c>
      <c r="AT24" s="44">
        <f t="shared" si="22"/>
        <v>0</v>
      </c>
      <c r="AU24" s="44">
        <f t="shared" si="22"/>
        <v>0</v>
      </c>
      <c r="AV24" s="44">
        <f t="shared" si="22"/>
        <v>0</v>
      </c>
      <c r="AW24" s="44">
        <f t="shared" si="22"/>
        <v>0</v>
      </c>
      <c r="AX24" s="44">
        <f t="shared" si="22"/>
        <v>0</v>
      </c>
      <c r="AY24" s="44">
        <f t="shared" si="22"/>
        <v>0</v>
      </c>
      <c r="AZ24" s="44">
        <f t="shared" si="22"/>
        <v>0</v>
      </c>
      <c r="BA24" s="44">
        <f t="shared" si="22"/>
        <v>0</v>
      </c>
      <c r="BB24" s="44">
        <f t="shared" si="22"/>
        <v>0</v>
      </c>
      <c r="BC24" s="44">
        <f t="shared" si="22"/>
        <v>0</v>
      </c>
      <c r="BD24" s="44">
        <f t="shared" si="22"/>
        <v>0</v>
      </c>
      <c r="BE24" s="44">
        <f t="shared" si="22"/>
        <v>0</v>
      </c>
      <c r="BF24" s="44">
        <f t="shared" si="22"/>
        <v>0</v>
      </c>
      <c r="BG24" s="44">
        <f t="shared" si="22"/>
        <v>0</v>
      </c>
      <c r="BH24" s="44">
        <f t="shared" si="22"/>
        <v>0</v>
      </c>
      <c r="BI24" s="44">
        <f t="shared" si="22"/>
        <v>0</v>
      </c>
      <c r="BJ24" s="44">
        <f t="shared" si="22"/>
        <v>0</v>
      </c>
      <c r="BK24" s="44">
        <f t="shared" si="22"/>
        <v>0</v>
      </c>
      <c r="BL24" s="44">
        <f t="shared" si="22"/>
        <v>0</v>
      </c>
      <c r="BM24" s="44">
        <f t="shared" si="22"/>
        <v>0</v>
      </c>
      <c r="BN24" s="44">
        <f t="shared" si="22"/>
        <v>0</v>
      </c>
      <c r="BO24" s="44">
        <f t="shared" si="22"/>
        <v>0</v>
      </c>
      <c r="BP24" s="44">
        <f t="shared" si="22"/>
        <v>0</v>
      </c>
      <c r="BQ24" s="44">
        <f t="shared" si="22"/>
        <v>0</v>
      </c>
      <c r="BR24" s="44">
        <f t="shared" si="22"/>
        <v>0</v>
      </c>
      <c r="BS24" s="44">
        <f t="shared" si="22"/>
        <v>0</v>
      </c>
      <c r="BT24" s="44">
        <f t="shared" si="22"/>
        <v>0</v>
      </c>
      <c r="BU24" s="44">
        <f t="shared" si="22"/>
        <v>0</v>
      </c>
      <c r="BV24" s="44">
        <f t="shared" si="22"/>
        <v>0</v>
      </c>
      <c r="BW24" s="44">
        <f t="shared" si="22"/>
        <v>0</v>
      </c>
      <c r="BX24" s="44">
        <f t="shared" si="22"/>
        <v>0</v>
      </c>
      <c r="BY24" s="44">
        <f t="shared" si="22"/>
        <v>0</v>
      </c>
      <c r="BZ24" s="44">
        <f t="shared" si="22"/>
        <v>0</v>
      </c>
      <c r="CA24" s="44">
        <f t="shared" si="22"/>
        <v>0</v>
      </c>
    </row>
    <row r="25" spans="1:79" x14ac:dyDescent="0.25">
      <c r="A25" s="33">
        <v>24</v>
      </c>
      <c r="B25" s="36" t="s">
        <v>51</v>
      </c>
      <c r="C25" s="34">
        <f>IFERROR(VLOOKUP($B25,'Ibri Tankers'!$D$2:$AG$138,C$28,FALSE),0)</f>
        <v>0</v>
      </c>
      <c r="D25" s="34">
        <f>IFERROR(VLOOKUP($B25,'Ibri Tankers'!$D$2:$AG$138,D$28,FALSE),0)</f>
        <v>0</v>
      </c>
      <c r="E25" s="34">
        <f>IFERROR(VLOOKUP($B25,'Ibri Tankers'!$D$2:$AG$138,E$28,FALSE),0)</f>
        <v>0</v>
      </c>
      <c r="F25" s="34">
        <f>IFERROR(VLOOKUP($B25,'Ibri Tankers'!$D$2:$AG$138,F$28,FALSE),0)</f>
        <v>0</v>
      </c>
      <c r="G25" s="34">
        <f>IFERROR(VLOOKUP($B25,'Ibri Tankers'!$D$2:$AG$138,G$28,FALSE),0)</f>
        <v>0</v>
      </c>
      <c r="H25" s="34">
        <f>IFERROR(VLOOKUP($B25,'Ibri Tankers'!$D$2:$AG$138,H$28,FALSE),0)</f>
        <v>0</v>
      </c>
      <c r="I25" s="34">
        <f>IFERROR(VLOOKUP($B25,'Ibri Tankers'!$D$2:$AG$138,I$28,FALSE),0)</f>
        <v>0</v>
      </c>
      <c r="J25" s="34">
        <f>IFERROR(VLOOKUP($B25,'Ibri Tankers'!$D$2:$AG$138,J$28,FALSE),0)</f>
        <v>0</v>
      </c>
      <c r="K25" s="34">
        <f>IFERROR(VLOOKUP($B25,'Ibri Tankers'!$D$2:$AG$138,K$28,FALSE),0)</f>
        <v>0</v>
      </c>
      <c r="L25" s="34">
        <f>IFERROR(VLOOKUP($B25,'Ibri Tankers'!$D$2:$AG$138,L$28,FALSE),0)</f>
        <v>0</v>
      </c>
      <c r="M25" s="34">
        <f>IFERROR(VLOOKUP($B25,'Ibri Tankers'!$D$2:$AG$138,M$28,FALSE),0)</f>
        <v>0</v>
      </c>
      <c r="N25" s="34">
        <f>IFERROR(VLOOKUP($B25,'Ibri Tankers'!$D$2:$AG$138,N$28,FALSE),0)</f>
        <v>0</v>
      </c>
      <c r="O25" s="34">
        <f>IFERROR(VLOOKUP($B25,'Ibri Tankers'!$D$2:$AG$138,O$28,FALSE),0)</f>
        <v>0</v>
      </c>
      <c r="P25" s="34">
        <f>IFERROR(VLOOKUP($B25,'Ibri Tankers'!$D$2:$AG$138,P$28,FALSE),0)</f>
        <v>0</v>
      </c>
      <c r="Q25" s="34">
        <f>IFERROR(VLOOKUP($B25,'Ibri Tankers'!$D$2:$AG$138,Q$28,FALSE),0)</f>
        <v>0</v>
      </c>
      <c r="R25" s="34">
        <f>IFERROR(VLOOKUP($B25,'Ibri Tankers'!$D$2:$AG$138,R$28,FALSE),0)</f>
        <v>0</v>
      </c>
      <c r="S25" s="34">
        <f>IFERROR(VLOOKUP($B25,'Ibri Tankers'!$D$2:$AG$138,S$28,FALSE),0)</f>
        <v>0</v>
      </c>
      <c r="T25" s="34">
        <f>IFERROR(VLOOKUP($B25,'Ibri Tankers'!$D$2:$AG$138,T$28,FALSE),0)</f>
        <v>0</v>
      </c>
      <c r="U25" s="34">
        <f>IFERROR(VLOOKUP($B25,'Ibri Tankers'!$D$2:$AG$138,U$28,FALSE),0)</f>
        <v>0</v>
      </c>
      <c r="V25" s="34">
        <f>IFERROR(VLOOKUP($B25,'Ibri Tankers'!$D$2:$AG$138,V$28,FALSE),0)</f>
        <v>0</v>
      </c>
      <c r="W25" s="34">
        <f>IFERROR(VLOOKUP($B25,'Ibri Tankers'!$D$2:$AG$138,W$28,FALSE),0)</f>
        <v>0</v>
      </c>
      <c r="X25" s="34">
        <f>IFERROR(VLOOKUP($B25,'Ibri Tankers'!$D$2:$AG$138,X$28,FALSE),0)</f>
        <v>0</v>
      </c>
      <c r="Y25" s="34">
        <f>IFERROR(VLOOKUP($B25,'Ibri Tankers'!$D$2:$AG$138,Y$28,FALSE),0)</f>
        <v>0</v>
      </c>
      <c r="Z25" s="34">
        <f>IFERROR(VLOOKUP($B25,'Ibri Tankers'!$D$2:$AG$138,Z$28,FALSE),0)</f>
        <v>0</v>
      </c>
      <c r="AA25" s="34">
        <f>IFERROR(VLOOKUP($B25,'Ibri Tankers'!$D$2:$AG$138,AA$28,FALSE),0)</f>
        <v>0</v>
      </c>
      <c r="AB25" s="34">
        <f>IFERROR(VLOOKUP($B25,'Ibri Tankers'!$D$2:$AG$138,AB$28,FALSE),0)</f>
        <v>0</v>
      </c>
      <c r="AC25" s="34">
        <f>IFERROR(VLOOKUP($B25,'Ibri Tankers'!$D$2:$AG$138,AC$28,FALSE),0)</f>
        <v>0</v>
      </c>
      <c r="AD25" s="44">
        <f t="shared" ref="AD25:CA25" si="23">AC25</f>
        <v>0</v>
      </c>
      <c r="AE25" s="44">
        <f t="shared" si="23"/>
        <v>0</v>
      </c>
      <c r="AF25" s="44">
        <f t="shared" si="23"/>
        <v>0</v>
      </c>
      <c r="AG25" s="44">
        <f t="shared" si="23"/>
        <v>0</v>
      </c>
      <c r="AH25" s="44">
        <f t="shared" si="23"/>
        <v>0</v>
      </c>
      <c r="AI25" s="44">
        <f t="shared" si="23"/>
        <v>0</v>
      </c>
      <c r="AJ25" s="44">
        <f t="shared" si="23"/>
        <v>0</v>
      </c>
      <c r="AK25" s="44">
        <f t="shared" si="23"/>
        <v>0</v>
      </c>
      <c r="AL25" s="44">
        <f t="shared" si="23"/>
        <v>0</v>
      </c>
      <c r="AM25" s="44">
        <f t="shared" si="23"/>
        <v>0</v>
      </c>
      <c r="AN25" s="44">
        <f t="shared" si="23"/>
        <v>0</v>
      </c>
      <c r="AO25" s="44">
        <f t="shared" si="23"/>
        <v>0</v>
      </c>
      <c r="AP25" s="44">
        <f t="shared" si="23"/>
        <v>0</v>
      </c>
      <c r="AQ25" s="44">
        <f t="shared" si="23"/>
        <v>0</v>
      </c>
      <c r="AR25" s="44">
        <f t="shared" si="23"/>
        <v>0</v>
      </c>
      <c r="AS25" s="44">
        <f t="shared" si="23"/>
        <v>0</v>
      </c>
      <c r="AT25" s="44">
        <f t="shared" si="23"/>
        <v>0</v>
      </c>
      <c r="AU25" s="44">
        <f t="shared" si="23"/>
        <v>0</v>
      </c>
      <c r="AV25" s="44">
        <f t="shared" si="23"/>
        <v>0</v>
      </c>
      <c r="AW25" s="44">
        <f t="shared" si="23"/>
        <v>0</v>
      </c>
      <c r="AX25" s="44">
        <f t="shared" si="23"/>
        <v>0</v>
      </c>
      <c r="AY25" s="44">
        <f t="shared" si="23"/>
        <v>0</v>
      </c>
      <c r="AZ25" s="44">
        <f t="shared" si="23"/>
        <v>0</v>
      </c>
      <c r="BA25" s="44">
        <f t="shared" si="23"/>
        <v>0</v>
      </c>
      <c r="BB25" s="44">
        <f t="shared" si="23"/>
        <v>0</v>
      </c>
      <c r="BC25" s="44">
        <f t="shared" si="23"/>
        <v>0</v>
      </c>
      <c r="BD25" s="44">
        <f t="shared" si="23"/>
        <v>0</v>
      </c>
      <c r="BE25" s="44">
        <f t="shared" si="23"/>
        <v>0</v>
      </c>
      <c r="BF25" s="44">
        <f t="shared" si="23"/>
        <v>0</v>
      </c>
      <c r="BG25" s="44">
        <f t="shared" si="23"/>
        <v>0</v>
      </c>
      <c r="BH25" s="44">
        <f t="shared" si="23"/>
        <v>0</v>
      </c>
      <c r="BI25" s="44">
        <f t="shared" si="23"/>
        <v>0</v>
      </c>
      <c r="BJ25" s="44">
        <f t="shared" si="23"/>
        <v>0</v>
      </c>
      <c r="BK25" s="44">
        <f t="shared" si="23"/>
        <v>0</v>
      </c>
      <c r="BL25" s="44">
        <f t="shared" si="23"/>
        <v>0</v>
      </c>
      <c r="BM25" s="44">
        <f t="shared" si="23"/>
        <v>0</v>
      </c>
      <c r="BN25" s="44">
        <f t="shared" si="23"/>
        <v>0</v>
      </c>
      <c r="BO25" s="44">
        <f t="shared" si="23"/>
        <v>0</v>
      </c>
      <c r="BP25" s="44">
        <f t="shared" si="23"/>
        <v>0</v>
      </c>
      <c r="BQ25" s="44">
        <f t="shared" si="23"/>
        <v>0</v>
      </c>
      <c r="BR25" s="44">
        <f t="shared" si="23"/>
        <v>0</v>
      </c>
      <c r="BS25" s="44">
        <f t="shared" si="23"/>
        <v>0</v>
      </c>
      <c r="BT25" s="44">
        <f t="shared" si="23"/>
        <v>0</v>
      </c>
      <c r="BU25" s="44">
        <f t="shared" si="23"/>
        <v>0</v>
      </c>
      <c r="BV25" s="44">
        <f t="shared" si="23"/>
        <v>0</v>
      </c>
      <c r="BW25" s="44">
        <f t="shared" si="23"/>
        <v>0</v>
      </c>
      <c r="BX25" s="44">
        <f t="shared" si="23"/>
        <v>0</v>
      </c>
      <c r="BY25" s="44">
        <f t="shared" si="23"/>
        <v>0</v>
      </c>
      <c r="BZ25" s="44">
        <f t="shared" si="23"/>
        <v>0</v>
      </c>
      <c r="CA25" s="44">
        <f t="shared" si="23"/>
        <v>0</v>
      </c>
    </row>
    <row r="26" spans="1:79" x14ac:dyDescent="0.25">
      <c r="A26" s="33">
        <v>25</v>
      </c>
      <c r="B26" s="36" t="s">
        <v>42</v>
      </c>
      <c r="C26" s="34">
        <f>IFERROR(VLOOKUP($B26,'Ibri Tankers'!$D$2:$AG$138,C$28,FALSE),0)</f>
        <v>0</v>
      </c>
      <c r="D26" s="34">
        <f>IFERROR(VLOOKUP($B26,'Ibri Tankers'!$D$2:$AG$138,D$28,FALSE),0)</f>
        <v>0</v>
      </c>
      <c r="E26" s="34">
        <f>IFERROR(VLOOKUP($B26,'Ibri Tankers'!$D$2:$AG$138,E$28,FALSE),0)</f>
        <v>0</v>
      </c>
      <c r="F26" s="34">
        <f>IFERROR(VLOOKUP($B26,'Ibri Tankers'!$D$2:$AG$138,F$28,FALSE),0)</f>
        <v>0</v>
      </c>
      <c r="G26" s="34">
        <f>IFERROR(VLOOKUP($B26,'Ibri Tankers'!$D$2:$AG$138,G$28,FALSE),0)</f>
        <v>0</v>
      </c>
      <c r="H26" s="34">
        <f>IFERROR(VLOOKUP($B26,'Ibri Tankers'!$D$2:$AG$138,H$28,FALSE),0)</f>
        <v>0</v>
      </c>
      <c r="I26" s="34">
        <f>IFERROR(VLOOKUP($B26,'Ibri Tankers'!$D$2:$AG$138,I$28,FALSE),0)</f>
        <v>0</v>
      </c>
      <c r="J26" s="34">
        <f>IFERROR(VLOOKUP($B26,'Ibri Tankers'!$D$2:$AG$138,J$28,FALSE),0)</f>
        <v>0</v>
      </c>
      <c r="K26" s="34">
        <f>IFERROR(VLOOKUP($B26,'Ibri Tankers'!$D$2:$AG$138,K$28,FALSE),0)</f>
        <v>0</v>
      </c>
      <c r="L26" s="34">
        <f>IFERROR(VLOOKUP($B26,'Ibri Tankers'!$D$2:$AG$138,L$28,FALSE),0)</f>
        <v>0</v>
      </c>
      <c r="M26" s="34">
        <f>IFERROR(VLOOKUP($B26,'Ibri Tankers'!$D$2:$AG$138,M$28,FALSE),0)</f>
        <v>0</v>
      </c>
      <c r="N26" s="34">
        <f>IFERROR(VLOOKUP($B26,'Ibri Tankers'!$D$2:$AG$138,N$28,FALSE),0)</f>
        <v>0</v>
      </c>
      <c r="O26" s="34">
        <f>IFERROR(VLOOKUP($B26,'Ibri Tankers'!$D$2:$AG$138,O$28,FALSE),0)</f>
        <v>0</v>
      </c>
      <c r="P26" s="34">
        <f>IFERROR(VLOOKUP($B26,'Ibri Tankers'!$D$2:$AG$138,P$28,FALSE),0)</f>
        <v>0</v>
      </c>
      <c r="Q26" s="34">
        <f>IFERROR(VLOOKUP($B26,'Ibri Tankers'!$D$2:$AG$138,Q$28,FALSE),0)</f>
        <v>0</v>
      </c>
      <c r="R26" s="34">
        <f>IFERROR(VLOOKUP($B26,'Ibri Tankers'!$D$2:$AG$138,R$28,FALSE),0)</f>
        <v>0</v>
      </c>
      <c r="S26" s="34">
        <f>IFERROR(VLOOKUP($B26,'Ibri Tankers'!$D$2:$AG$138,S$28,FALSE),0)</f>
        <v>0</v>
      </c>
      <c r="T26" s="34">
        <f>IFERROR(VLOOKUP($B26,'Ibri Tankers'!$D$2:$AG$138,T$28,FALSE),0)</f>
        <v>0</v>
      </c>
      <c r="U26" s="34">
        <f>IFERROR(VLOOKUP($B26,'Ibri Tankers'!$D$2:$AG$138,U$28,FALSE),0)</f>
        <v>0</v>
      </c>
      <c r="V26" s="34">
        <f>IFERROR(VLOOKUP($B26,'Ibri Tankers'!$D$2:$AG$138,V$28,FALSE),0)</f>
        <v>0</v>
      </c>
      <c r="W26" s="34">
        <f>IFERROR(VLOOKUP($B26,'Ibri Tankers'!$D$2:$AG$138,W$28,FALSE),0)</f>
        <v>0</v>
      </c>
      <c r="X26" s="34">
        <f>IFERROR(VLOOKUP($B26,'Ibri Tankers'!$D$2:$AG$138,X$28,FALSE),0)</f>
        <v>0</v>
      </c>
      <c r="Y26" s="34">
        <f>IFERROR(VLOOKUP($B26,'Ibri Tankers'!$D$2:$AG$138,Y$28,FALSE),0)</f>
        <v>0</v>
      </c>
      <c r="Z26" s="34">
        <f>IFERROR(VLOOKUP($B26,'Ibri Tankers'!$D$2:$AG$138,Z$28,FALSE),0)</f>
        <v>0</v>
      </c>
      <c r="AA26" s="34">
        <f>IFERROR(VLOOKUP($B26,'Ibri Tankers'!$D$2:$AG$138,AA$28,FALSE),0)</f>
        <v>0</v>
      </c>
      <c r="AB26" s="34">
        <f>IFERROR(VLOOKUP($B26,'Ibri Tankers'!$D$2:$AG$138,AB$28,FALSE),0)</f>
        <v>0</v>
      </c>
      <c r="AC26" s="34">
        <f>IFERROR(VLOOKUP($B26,'Ibri Tankers'!$D$2:$AG$138,AC$28,FALSE),0)</f>
        <v>0</v>
      </c>
      <c r="AD26" s="44">
        <f t="shared" ref="AD26:CA26" si="24">AC26</f>
        <v>0</v>
      </c>
      <c r="AE26" s="44">
        <f t="shared" si="24"/>
        <v>0</v>
      </c>
      <c r="AF26" s="44">
        <f t="shared" si="24"/>
        <v>0</v>
      </c>
      <c r="AG26" s="44">
        <f t="shared" si="24"/>
        <v>0</v>
      </c>
      <c r="AH26" s="44">
        <f t="shared" si="24"/>
        <v>0</v>
      </c>
      <c r="AI26" s="44">
        <f t="shared" si="24"/>
        <v>0</v>
      </c>
      <c r="AJ26" s="44">
        <f t="shared" si="24"/>
        <v>0</v>
      </c>
      <c r="AK26" s="44">
        <f t="shared" si="24"/>
        <v>0</v>
      </c>
      <c r="AL26" s="44">
        <f t="shared" si="24"/>
        <v>0</v>
      </c>
      <c r="AM26" s="44">
        <f t="shared" si="24"/>
        <v>0</v>
      </c>
      <c r="AN26" s="44">
        <f t="shared" si="24"/>
        <v>0</v>
      </c>
      <c r="AO26" s="44">
        <f t="shared" si="24"/>
        <v>0</v>
      </c>
      <c r="AP26" s="44">
        <f t="shared" si="24"/>
        <v>0</v>
      </c>
      <c r="AQ26" s="44">
        <f t="shared" si="24"/>
        <v>0</v>
      </c>
      <c r="AR26" s="44">
        <f t="shared" si="24"/>
        <v>0</v>
      </c>
      <c r="AS26" s="44">
        <f t="shared" si="24"/>
        <v>0</v>
      </c>
      <c r="AT26" s="44">
        <f t="shared" si="24"/>
        <v>0</v>
      </c>
      <c r="AU26" s="44">
        <f t="shared" si="24"/>
        <v>0</v>
      </c>
      <c r="AV26" s="44">
        <f t="shared" si="24"/>
        <v>0</v>
      </c>
      <c r="AW26" s="44">
        <f t="shared" si="24"/>
        <v>0</v>
      </c>
      <c r="AX26" s="44">
        <f t="shared" si="24"/>
        <v>0</v>
      </c>
      <c r="AY26" s="44">
        <f t="shared" si="24"/>
        <v>0</v>
      </c>
      <c r="AZ26" s="44">
        <f t="shared" si="24"/>
        <v>0</v>
      </c>
      <c r="BA26" s="44">
        <f t="shared" si="24"/>
        <v>0</v>
      </c>
      <c r="BB26" s="44">
        <f t="shared" si="24"/>
        <v>0</v>
      </c>
      <c r="BC26" s="44">
        <f t="shared" si="24"/>
        <v>0</v>
      </c>
      <c r="BD26" s="44">
        <f t="shared" si="24"/>
        <v>0</v>
      </c>
      <c r="BE26" s="44">
        <f t="shared" si="24"/>
        <v>0</v>
      </c>
      <c r="BF26" s="44">
        <f t="shared" si="24"/>
        <v>0</v>
      </c>
      <c r="BG26" s="44">
        <f t="shared" si="24"/>
        <v>0</v>
      </c>
      <c r="BH26" s="44">
        <f t="shared" si="24"/>
        <v>0</v>
      </c>
      <c r="BI26" s="44">
        <f t="shared" si="24"/>
        <v>0</v>
      </c>
      <c r="BJ26" s="44">
        <f t="shared" si="24"/>
        <v>0</v>
      </c>
      <c r="BK26" s="44">
        <f t="shared" si="24"/>
        <v>0</v>
      </c>
      <c r="BL26" s="44">
        <f t="shared" si="24"/>
        <v>0</v>
      </c>
      <c r="BM26" s="44">
        <f t="shared" si="24"/>
        <v>0</v>
      </c>
      <c r="BN26" s="44">
        <f t="shared" si="24"/>
        <v>0</v>
      </c>
      <c r="BO26" s="44">
        <f t="shared" si="24"/>
        <v>0</v>
      </c>
      <c r="BP26" s="44">
        <f t="shared" si="24"/>
        <v>0</v>
      </c>
      <c r="BQ26" s="44">
        <f t="shared" si="24"/>
        <v>0</v>
      </c>
      <c r="BR26" s="44">
        <f t="shared" si="24"/>
        <v>0</v>
      </c>
      <c r="BS26" s="44">
        <f t="shared" si="24"/>
        <v>0</v>
      </c>
      <c r="BT26" s="44">
        <f t="shared" si="24"/>
        <v>0</v>
      </c>
      <c r="BU26" s="44">
        <f t="shared" si="24"/>
        <v>0</v>
      </c>
      <c r="BV26" s="44">
        <f t="shared" si="24"/>
        <v>0</v>
      </c>
      <c r="BW26" s="44">
        <f t="shared" si="24"/>
        <v>0</v>
      </c>
      <c r="BX26" s="44">
        <f t="shared" si="24"/>
        <v>0</v>
      </c>
      <c r="BY26" s="44">
        <f t="shared" si="24"/>
        <v>0</v>
      </c>
      <c r="BZ26" s="44">
        <f t="shared" si="24"/>
        <v>0</v>
      </c>
      <c r="CA26" s="44">
        <f t="shared" si="24"/>
        <v>0</v>
      </c>
    </row>
    <row r="27" spans="1:79" x14ac:dyDescent="0.25">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row>
    <row r="28" spans="1:79" x14ac:dyDescent="0.25">
      <c r="B28" s="32" t="s">
        <v>623</v>
      </c>
      <c r="C28" s="31">
        <v>4</v>
      </c>
      <c r="D28" s="31">
        <v>5</v>
      </c>
      <c r="E28" s="31">
        <v>6</v>
      </c>
      <c r="F28" s="31">
        <v>7</v>
      </c>
      <c r="G28" s="31">
        <v>8</v>
      </c>
      <c r="H28" s="31">
        <v>9</v>
      </c>
      <c r="I28" s="31">
        <v>10</v>
      </c>
      <c r="J28" s="31">
        <v>11</v>
      </c>
      <c r="K28" s="31">
        <v>12</v>
      </c>
      <c r="L28" s="31">
        <v>13</v>
      </c>
      <c r="M28" s="31">
        <v>14</v>
      </c>
      <c r="N28" s="31">
        <v>15</v>
      </c>
      <c r="O28" s="31">
        <v>16</v>
      </c>
      <c r="P28" s="31">
        <v>17</v>
      </c>
      <c r="Q28" s="31">
        <v>18</v>
      </c>
      <c r="R28" s="31">
        <v>19</v>
      </c>
      <c r="S28" s="31">
        <v>20</v>
      </c>
      <c r="T28" s="31">
        <v>21</v>
      </c>
      <c r="U28" s="31">
        <v>22</v>
      </c>
      <c r="V28" s="31">
        <v>23</v>
      </c>
      <c r="W28" s="31">
        <v>24</v>
      </c>
      <c r="X28" s="31">
        <v>25</v>
      </c>
      <c r="Y28" s="31">
        <v>26</v>
      </c>
      <c r="Z28" s="31">
        <v>27</v>
      </c>
      <c r="AA28" s="31">
        <v>28</v>
      </c>
      <c r="AB28" s="31">
        <v>29</v>
      </c>
      <c r="AC28" s="31">
        <v>30</v>
      </c>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row>
    <row r="29" spans="1:79" x14ac:dyDescent="0.25">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row>
    <row r="30" spans="1:79" x14ac:dyDescent="0.25">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row>
    <row r="31" spans="1:79" x14ac:dyDescent="0.25">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row>
    <row r="32" spans="1:79" x14ac:dyDescent="0.25">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row>
    <row r="33" spans="3:79" x14ac:dyDescent="0.25">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row>
    <row r="34" spans="3:79" x14ac:dyDescent="0.25">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row>
    <row r="35" spans="3:79" x14ac:dyDescent="0.25">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row>
    <row r="36" spans="3:79" x14ac:dyDescent="0.25">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row>
    <row r="37" spans="3:79" x14ac:dyDescent="0.25">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row>
    <row r="38" spans="3:79" x14ac:dyDescent="0.25">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row>
    <row r="39" spans="3:79" x14ac:dyDescent="0.25">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row>
    <row r="40" spans="3:79" x14ac:dyDescent="0.25">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row>
    <row r="41" spans="3:79" x14ac:dyDescent="0.25">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row>
    <row r="42" spans="3:79" x14ac:dyDescent="0.25">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row>
    <row r="43" spans="3:79" x14ac:dyDescent="0.25">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row>
    <row r="44" spans="3:79" x14ac:dyDescent="0.25">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row>
    <row r="45" spans="3:79" x14ac:dyDescent="0.25">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row>
    <row r="46" spans="3:79" x14ac:dyDescent="0.25">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c r="CA46" s="31"/>
    </row>
    <row r="47" spans="3:79" x14ac:dyDescent="0.25">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row>
    <row r="48" spans="3:79" x14ac:dyDescent="0.25">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row>
    <row r="49" spans="3:79" x14ac:dyDescent="0.25">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row>
    <row r="50" spans="3:79" x14ac:dyDescent="0.25">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row>
  </sheetData>
  <phoneticPr fontId="2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36425-AA74-4BA4-B5FB-539059AC42FD}">
  <sheetPr>
    <tabColor theme="9"/>
  </sheetPr>
  <dimension ref="A1:CA50"/>
  <sheetViews>
    <sheetView workbookViewId="0">
      <selection activeCell="J34" sqref="J34"/>
    </sheetView>
  </sheetViews>
  <sheetFormatPr defaultRowHeight="15" x14ac:dyDescent="0.25"/>
  <cols>
    <col min="1" max="1" width="9.140625" style="32"/>
    <col min="2" max="2" width="20.7109375" style="32" customWidth="1"/>
    <col min="3" max="79" width="12.28515625" style="32" customWidth="1"/>
    <col min="80" max="16384" width="9.140625" style="32"/>
  </cols>
  <sheetData>
    <row r="1" spans="1:79" x14ac:dyDescent="0.25">
      <c r="A1" s="35" t="s">
        <v>59</v>
      </c>
      <c r="B1" s="35" t="s">
        <v>4</v>
      </c>
      <c r="C1" s="43" t="s">
        <v>707</v>
      </c>
      <c r="D1" s="43" t="s">
        <v>708</v>
      </c>
      <c r="E1" s="43" t="s">
        <v>709</v>
      </c>
      <c r="F1" s="43" t="s">
        <v>710</v>
      </c>
      <c r="G1" s="43" t="s">
        <v>711</v>
      </c>
      <c r="H1" s="43" t="s">
        <v>712</v>
      </c>
      <c r="I1" s="43" t="s">
        <v>713</v>
      </c>
      <c r="J1" s="43" t="s">
        <v>714</v>
      </c>
      <c r="K1" s="43" t="s">
        <v>715</v>
      </c>
      <c r="L1" s="43" t="s">
        <v>716</v>
      </c>
      <c r="M1" s="43" t="s">
        <v>717</v>
      </c>
      <c r="N1" s="43" t="s">
        <v>718</v>
      </c>
      <c r="O1" s="43" t="s">
        <v>719</v>
      </c>
      <c r="P1" s="43" t="s">
        <v>720</v>
      </c>
      <c r="Q1" s="43" t="s">
        <v>721</v>
      </c>
      <c r="R1" s="43" t="s">
        <v>722</v>
      </c>
      <c r="S1" s="43" t="s">
        <v>723</v>
      </c>
      <c r="T1" s="43" t="s">
        <v>724</v>
      </c>
      <c r="U1" s="43" t="s">
        <v>725</v>
      </c>
      <c r="V1" s="43" t="s">
        <v>726</v>
      </c>
      <c r="W1" s="43" t="s">
        <v>727</v>
      </c>
      <c r="X1" s="43" t="s">
        <v>728</v>
      </c>
      <c r="Y1" s="43" t="s">
        <v>729</v>
      </c>
      <c r="Z1" s="43" t="s">
        <v>730</v>
      </c>
      <c r="AA1" s="43" t="s">
        <v>731</v>
      </c>
      <c r="AB1" s="43" t="s">
        <v>732</v>
      </c>
      <c r="AC1" s="43" t="s">
        <v>733</v>
      </c>
      <c r="AD1" s="45" t="s">
        <v>734</v>
      </c>
      <c r="AE1" s="45" t="s">
        <v>735</v>
      </c>
      <c r="AF1" s="45" t="s">
        <v>736</v>
      </c>
      <c r="AG1" s="45" t="s">
        <v>737</v>
      </c>
      <c r="AH1" s="45" t="s">
        <v>738</v>
      </c>
      <c r="AI1" s="45" t="s">
        <v>739</v>
      </c>
      <c r="AJ1" s="45" t="s">
        <v>740</v>
      </c>
      <c r="AK1" s="45" t="s">
        <v>741</v>
      </c>
      <c r="AL1" s="45" t="s">
        <v>742</v>
      </c>
      <c r="AM1" s="45" t="s">
        <v>743</v>
      </c>
      <c r="AN1" s="45" t="s">
        <v>744</v>
      </c>
      <c r="AO1" s="45" t="s">
        <v>745</v>
      </c>
      <c r="AP1" s="45" t="s">
        <v>746</v>
      </c>
      <c r="AQ1" s="45" t="s">
        <v>747</v>
      </c>
      <c r="AR1" s="45" t="s">
        <v>748</v>
      </c>
      <c r="AS1" s="45" t="s">
        <v>749</v>
      </c>
      <c r="AT1" s="45" t="s">
        <v>750</v>
      </c>
      <c r="AU1" s="45" t="s">
        <v>751</v>
      </c>
      <c r="AV1" s="45" t="s">
        <v>752</v>
      </c>
      <c r="AW1" s="45" t="s">
        <v>753</v>
      </c>
      <c r="AX1" s="45" t="s">
        <v>754</v>
      </c>
      <c r="AY1" s="45" t="s">
        <v>755</v>
      </c>
      <c r="AZ1" s="45" t="s">
        <v>756</v>
      </c>
      <c r="BA1" s="45" t="s">
        <v>757</v>
      </c>
      <c r="BB1" s="45" t="s">
        <v>758</v>
      </c>
      <c r="BC1" s="45" t="s">
        <v>759</v>
      </c>
      <c r="BD1" s="45" t="s">
        <v>760</v>
      </c>
      <c r="BE1" s="45" t="s">
        <v>761</v>
      </c>
      <c r="BF1" s="45" t="s">
        <v>762</v>
      </c>
      <c r="BG1" s="45" t="s">
        <v>763</v>
      </c>
      <c r="BH1" s="45" t="s">
        <v>764</v>
      </c>
      <c r="BI1" s="45" t="s">
        <v>765</v>
      </c>
      <c r="BJ1" s="45" t="s">
        <v>766</v>
      </c>
      <c r="BK1" s="45" t="s">
        <v>767</v>
      </c>
      <c r="BL1" s="45" t="s">
        <v>768</v>
      </c>
      <c r="BM1" s="45" t="s">
        <v>769</v>
      </c>
      <c r="BN1" s="45" t="s">
        <v>770</v>
      </c>
      <c r="BO1" s="45" t="s">
        <v>771</v>
      </c>
      <c r="BP1" s="45" t="s">
        <v>772</v>
      </c>
      <c r="BQ1" s="45" t="s">
        <v>773</v>
      </c>
      <c r="BR1" s="45" t="s">
        <v>774</v>
      </c>
      <c r="BS1" s="45" t="s">
        <v>775</v>
      </c>
      <c r="BT1" s="45" t="s">
        <v>776</v>
      </c>
      <c r="BU1" s="45" t="s">
        <v>777</v>
      </c>
      <c r="BV1" s="45" t="s">
        <v>778</v>
      </c>
      <c r="BW1" s="45" t="s">
        <v>779</v>
      </c>
      <c r="BX1" s="45" t="s">
        <v>780</v>
      </c>
      <c r="BY1" s="45" t="s">
        <v>781</v>
      </c>
      <c r="BZ1" s="45" t="s">
        <v>782</v>
      </c>
      <c r="CA1" s="45" t="s">
        <v>783</v>
      </c>
    </row>
    <row r="2" spans="1:79" x14ac:dyDescent="0.25">
      <c r="A2" s="33">
        <v>1</v>
      </c>
      <c r="B2" s="36" t="s">
        <v>35</v>
      </c>
      <c r="C2" s="34">
        <f>(('Project W Pop Connected'!D2*'Water Demand Criteria'!G$17/1000)*('Wastewater Criteria'!$C$8+'Wastewater Criteria'!$C$10*'Water Demand Criteria'!G$56+'Water Demand Criteria'!G$37*'Wastewater Criteria'!$C$11)*(1+'Wastewater Criteria'!$C$23)+('Project Tankers'!C2*'Wastewater Criteria'!$C$9))*(1+'Wastewater Criteria'!$C$36)</f>
        <v>1608.7404887633145</v>
      </c>
      <c r="D2" s="34">
        <f>(('Project W Pop Connected'!E2*'Water Demand Criteria'!H$17/1000)*('Wastewater Criteria'!$C$8+'Wastewater Criteria'!$C$10*'Water Demand Criteria'!H$56+'Water Demand Criteria'!H$37*'Wastewater Criteria'!$C$11)*(1+'Wastewater Criteria'!$C$23)+('Project Tankers'!D2*'Wastewater Criteria'!$C$9))*(1+'Wastewater Criteria'!$C$36)</f>
        <v>1714.2202647004196</v>
      </c>
      <c r="E2" s="34">
        <f>(('Project W Pop Connected'!F2*'Water Demand Criteria'!I$17/1000)*('Wastewater Criteria'!$C$8+'Wastewater Criteria'!$C$10*'Water Demand Criteria'!I$56+'Water Demand Criteria'!I$37*'Wastewater Criteria'!$C$11)*(1+'Wastewater Criteria'!$C$23)+('Project Tankers'!E2*'Wastewater Criteria'!$C$9))*(1+'Wastewater Criteria'!$C$36)</f>
        <v>1829.2675294631081</v>
      </c>
      <c r="F2" s="34">
        <f>(('Project W Pop Connected'!G2*'Water Demand Criteria'!J$17/1000)*('Wastewater Criteria'!$C$8+'Wastewater Criteria'!$C$10*'Water Demand Criteria'!J$56+'Water Demand Criteria'!J$37*'Wastewater Criteria'!$C$11)*(1+'Wastewater Criteria'!$C$23)+('Project Tankers'!F2*'Wastewater Criteria'!$C$9))*(1+'Wastewater Criteria'!$C$36)</f>
        <v>1948.9572750993052</v>
      </c>
      <c r="G2" s="34">
        <f>(('Project W Pop Connected'!H2*'Water Demand Criteria'!K$17/1000)*('Wastewater Criteria'!$C$8+'Wastewater Criteria'!$C$10*'Water Demand Criteria'!K$56+'Water Demand Criteria'!K$37*'Wastewater Criteria'!$C$11)*(1+'Wastewater Criteria'!$C$23)+('Project Tankers'!G2*'Wastewater Criteria'!$C$9))*(1+'Wastewater Criteria'!$C$36)</f>
        <v>2073.4916795524573</v>
      </c>
      <c r="H2" s="34">
        <f>(('Project W Pop Connected'!I2*'Water Demand Criteria'!L$17/1000)*('Wastewater Criteria'!$C$8+'Wastewater Criteria'!$C$10*'Water Demand Criteria'!L$56+'Water Demand Criteria'!L$37*'Wastewater Criteria'!$C$11)*(1+'Wastewater Criteria'!$C$23)+('Project Tankers'!H2*'Wastewater Criteria'!$C$9))*(1+'Wastewater Criteria'!$C$36)</f>
        <v>2202.9909236894405</v>
      </c>
      <c r="I2" s="34">
        <f>(('Project W Pop Connected'!J2*'Water Demand Criteria'!M$17/1000)*('Wastewater Criteria'!$C$8+'Wastewater Criteria'!$C$10*'Water Demand Criteria'!M$56+'Water Demand Criteria'!M$37*'Wastewater Criteria'!$C$11)*(1+'Wastewater Criteria'!$C$23)+('Project Tankers'!I2*'Wastewater Criteria'!$C$9))*(1+'Wastewater Criteria'!$C$36)</f>
        <v>2328.659729175869</v>
      </c>
      <c r="J2" s="34">
        <f>(('Project W Pop Connected'!K2*'Water Demand Criteria'!N$17/1000)*('Wastewater Criteria'!$C$8+'Wastewater Criteria'!$C$10*'Water Demand Criteria'!N$56+'Water Demand Criteria'!N$37*'Wastewater Criteria'!$C$11)*(1+'Wastewater Criteria'!$C$23)+('Project Tankers'!J2*'Wastewater Criteria'!$C$9))*(1+'Wastewater Criteria'!$C$36)</f>
        <v>2467.7103191213741</v>
      </c>
      <c r="K2" s="34">
        <f>(('Project W Pop Connected'!L2*'Water Demand Criteria'!O$17/1000)*('Wastewater Criteria'!$C$8+'Wastewater Criteria'!$C$10*'Water Demand Criteria'!O$56+'Water Demand Criteria'!O$37*'Wastewater Criteria'!$C$11)*(1+'Wastewater Criteria'!$C$23)+('Project Tankers'!K2*'Wastewater Criteria'!$C$9))*(1+'Wastewater Criteria'!$C$36)</f>
        <v>2612.1792346860002</v>
      </c>
      <c r="L2" s="34">
        <f>(('Project W Pop Connected'!M2*'Water Demand Criteria'!P$17/1000)*('Wastewater Criteria'!$C$8+'Wastewater Criteria'!$C$10*'Water Demand Criteria'!P$56+'Water Demand Criteria'!P$37*'Wastewater Criteria'!$C$11)*(1+'Wastewater Criteria'!$C$23)+('Project Tankers'!L2*'Wastewater Criteria'!$C$9))*(1+'Wastewater Criteria'!$C$36)</f>
        <v>2731.1218093824768</v>
      </c>
      <c r="M2" s="34">
        <f>(('Project W Pop Connected'!N2*'Water Demand Criteria'!Q$17/1000)*('Wastewater Criteria'!$C$8+'Wastewater Criteria'!$C$10*'Water Demand Criteria'!Q$56+'Water Demand Criteria'!Q$37*'Wastewater Criteria'!$C$11)*(1+'Wastewater Criteria'!$C$23)+('Project Tankers'!M2*'Wastewater Criteria'!$C$9))*(1+'Wastewater Criteria'!$C$36)</f>
        <v>2918.6268447809248</v>
      </c>
      <c r="N2" s="34">
        <f>(('Project W Pop Connected'!O2*'Water Demand Criteria'!R$17/1000)*('Wastewater Criteria'!$C$8+'Wastewater Criteria'!$C$10*'Water Demand Criteria'!R$56+'Water Demand Criteria'!R$37*'Wastewater Criteria'!$C$11)*(1+'Wastewater Criteria'!$C$23)+('Project Tankers'!N2*'Wastewater Criteria'!$C$9))*(1+'Wastewater Criteria'!$C$36)</f>
        <v>3068.0644146767431</v>
      </c>
      <c r="O2" s="34">
        <f>(('Project W Pop Connected'!P2*'Water Demand Criteria'!S$17/1000)*('Wastewater Criteria'!$C$8+'Wastewater Criteria'!$C$10*'Water Demand Criteria'!S$56+'Water Demand Criteria'!S$37*'Wastewater Criteria'!$C$11)*(1+'Wastewater Criteria'!$C$23)+('Project Tankers'!O2*'Wastewater Criteria'!$C$9))*(1+'Wastewater Criteria'!$C$36)</f>
        <v>3140.6110218570616</v>
      </c>
      <c r="P2" s="34">
        <f>(('Project W Pop Connected'!Q2*'Water Demand Criteria'!T$17/1000)*('Wastewater Criteria'!$C$8+'Wastewater Criteria'!$C$10*'Water Demand Criteria'!T$56+'Water Demand Criteria'!T$37*'Wastewater Criteria'!$C$11)*(1+'Wastewater Criteria'!$C$23)+('Project Tankers'!P2*'Wastewater Criteria'!$C$9))*(1+'Wastewater Criteria'!$C$36)</f>
        <v>3216.0185564766812</v>
      </c>
      <c r="Q2" s="34">
        <f>(('Project W Pop Connected'!R2*'Water Demand Criteria'!U$17/1000)*('Wastewater Criteria'!$C$8+'Wastewater Criteria'!$C$10*'Water Demand Criteria'!U$56+'Water Demand Criteria'!U$37*'Wastewater Criteria'!$C$11)*(1+'Wastewater Criteria'!$C$23)+('Project Tankers'!Q2*'Wastewater Criteria'!$C$9))*(1+'Wastewater Criteria'!$C$36)</f>
        <v>3294.0776823815072</v>
      </c>
      <c r="R2" s="34">
        <f>(('Project W Pop Connected'!S2*'Water Demand Criteria'!V$17/1000)*('Wastewater Criteria'!$C$8+'Wastewater Criteria'!$C$10*'Water Demand Criteria'!V$56+'Water Demand Criteria'!V$37*'Wastewater Criteria'!$C$11)*(1+'Wastewater Criteria'!$C$23)+('Project Tankers'!R2*'Wastewater Criteria'!$C$9))*(1+'Wastewater Criteria'!$C$36)</f>
        <v>3375.4861867518548</v>
      </c>
      <c r="S2" s="34">
        <f>(('Project W Pop Connected'!T2*'Water Demand Criteria'!W$17/1000)*('Wastewater Criteria'!$C$8+'Wastewater Criteria'!$C$10*'Water Demand Criteria'!W$56+'Water Demand Criteria'!W$37*'Wastewater Criteria'!$C$11)*(1+'Wastewater Criteria'!$C$23)+('Project Tankers'!S2*'Wastewater Criteria'!$C$9))*(1+'Wastewater Criteria'!$C$36)</f>
        <v>3443.2529517470002</v>
      </c>
      <c r="T2" s="34">
        <f>(('Project W Pop Connected'!U2*'Water Demand Criteria'!X$17/1000)*('Wastewater Criteria'!$C$8+'Wastewater Criteria'!$C$10*'Water Demand Criteria'!X$56+'Water Demand Criteria'!X$37*'Wastewater Criteria'!$C$11)*(1+'Wastewater Criteria'!$C$23)+('Project Tankers'!T2*'Wastewater Criteria'!$C$9))*(1+'Wastewater Criteria'!$C$36)</f>
        <v>3503.9803497619723</v>
      </c>
      <c r="U2" s="34">
        <f>(('Project W Pop Connected'!V2*'Water Demand Criteria'!Y$17/1000)*('Wastewater Criteria'!$C$8+'Wastewater Criteria'!$C$10*'Water Demand Criteria'!Y$56+'Water Demand Criteria'!Y$37*'Wastewater Criteria'!$C$11)*(1+'Wastewater Criteria'!$C$23)+('Project Tankers'!U2*'Wastewater Criteria'!$C$9))*(1+'Wastewater Criteria'!$C$36)</f>
        <v>3567.4802057141546</v>
      </c>
      <c r="V2" s="34">
        <f>(('Project W Pop Connected'!W2*'Water Demand Criteria'!Z$17/1000)*('Wastewater Criteria'!$C$8+'Wastewater Criteria'!$C$10*'Water Demand Criteria'!Z$56+'Water Demand Criteria'!Z$37*'Wastewater Criteria'!$C$11)*(1+'Wastewater Criteria'!$C$23)+('Project Tankers'!V2*'Wastewater Criteria'!$C$9))*(1+'Wastewater Criteria'!$C$36)</f>
        <v>3632.9568729901998</v>
      </c>
      <c r="W2" s="34">
        <f>(('Project W Pop Connected'!X2*'Water Demand Criteria'!AA$17/1000)*('Wastewater Criteria'!$C$8+'Wastewater Criteria'!$C$10*'Water Demand Criteria'!AA$56+'Water Demand Criteria'!AA$37*'Wastewater Criteria'!$C$11)*(1+'Wastewater Criteria'!$C$23)+('Project Tankers'!W2*'Wastewater Criteria'!$C$9))*(1+'Wastewater Criteria'!$C$36)</f>
        <v>3700.5463926123384</v>
      </c>
      <c r="X2" s="34">
        <f>(('Project W Pop Connected'!Y2*'Water Demand Criteria'!AB$17/1000)*('Wastewater Criteria'!$C$8+'Wastewater Criteria'!$C$10*'Water Demand Criteria'!AB$56+'Water Demand Criteria'!AB$37*'Wastewater Criteria'!$C$11)*(1+'Wastewater Criteria'!$C$23)+('Project Tankers'!X2*'Wastewater Criteria'!$C$9))*(1+'Wastewater Criteria'!$C$36)</f>
        <v>3770.3848056047646</v>
      </c>
      <c r="Y2" s="34">
        <f>(('Project W Pop Connected'!Z2*'Water Demand Criteria'!AC$17/1000)*('Wastewater Criteria'!$C$8+'Wastewater Criteria'!$C$10*'Water Demand Criteria'!AC$56+'Water Demand Criteria'!AC$37*'Wastewater Criteria'!$C$11)*(1+'Wastewater Criteria'!$C$23)+('Project Tankers'!Y2*'Wastewater Criteria'!$C$9))*(1+'Wastewater Criteria'!$C$36)</f>
        <v>3842.6081530973229</v>
      </c>
      <c r="Z2" s="34">
        <f>(('Project W Pop Connected'!AA2*'Water Demand Criteria'!AD$17/1000)*('Wastewater Criteria'!$C$8+'Wastewater Criteria'!$C$10*'Water Demand Criteria'!AD$56+'Water Demand Criteria'!AD$37*'Wastewater Criteria'!$C$11)*(1+'Wastewater Criteria'!$C$23)+('Project Tankers'!Z2*'Wastewater Criteria'!$C$9))*(1+'Wastewater Criteria'!$C$36)</f>
        <v>3917.3524760407631</v>
      </c>
      <c r="AA2" s="34">
        <f>(('Project W Pop Connected'!AB2*'Water Demand Criteria'!AE$17/1000)*('Wastewater Criteria'!$C$8+'Wastewater Criteria'!$C$10*'Water Demand Criteria'!AE$56+'Water Demand Criteria'!AE$37*'Wastewater Criteria'!$C$11)*(1+'Wastewater Criteria'!$C$23)+('Project Tankers'!AA2*'Wastewater Criteria'!$C$9))*(1+'Wastewater Criteria'!$C$36)</f>
        <v>3994.753815681082</v>
      </c>
      <c r="AB2" s="34">
        <f>(('Project W Pop Connected'!AC2*'Water Demand Criteria'!AF$17/1000)*('Wastewater Criteria'!$C$8+'Wastewater Criteria'!$C$10*'Water Demand Criteria'!AF$56+'Water Demand Criteria'!AF$37*'Wastewater Criteria'!$C$11)*(1+'Wastewater Criteria'!$C$23)+('Project Tankers'!AB2*'Wastewater Criteria'!$C$9))*(1+'Wastewater Criteria'!$C$36)</f>
        <v>4074.9482128667419</v>
      </c>
      <c r="AC2" s="34">
        <f>(('Project W Pop Connected'!AD2*'Water Demand Criteria'!AG$17/1000)*('Wastewater Criteria'!$C$8+'Wastewater Criteria'!$C$10*'Water Demand Criteria'!AG$56+'Water Demand Criteria'!AG$37*'Wastewater Criteria'!$C$11)*(1+'Wastewater Criteria'!$C$23)+('Project Tankers'!AC2*'Wastewater Criteria'!$C$9))*(1+'Wastewater Criteria'!$C$36)</f>
        <v>4158.0717089120053</v>
      </c>
      <c r="AD2" s="44">
        <f>(('Project W Pop Connected'!AE2*'Water Demand Criteria'!AH$17/1000)*('Wastewater Criteria'!$C$8+'Wastewater Criteria'!$C$10*'Water Demand Criteria'!AH$56+'Water Demand Criteria'!AH$37*'Wastewater Criteria'!$C$11)*(1+'Wastewater Criteria'!$C$23)+('Project Tankers'!AD2*'Wastewater Criteria'!$C$9))*(1+'Wastewater Criteria'!$C$36)</f>
        <v>4293.9793522267437</v>
      </c>
      <c r="AE2" s="44">
        <f>(('Project W Pop Connected'!AF2*'Water Demand Criteria'!AI$17/1000)*('Wastewater Criteria'!$C$8+'Wastewater Criteria'!$C$10*'Water Demand Criteria'!AI$56+'Water Demand Criteria'!AI$37*'Wastewater Criteria'!$C$11)*(1+'Wastewater Criteria'!$C$23)+('Project Tankers'!AE2*'Wastewater Criteria'!$C$9))*(1+'Wastewater Criteria'!$C$36)</f>
        <v>4435.2142016497273</v>
      </c>
      <c r="AF2" s="44">
        <f>(('Project W Pop Connected'!AG2*'Water Demand Criteria'!AJ$17/1000)*('Wastewater Criteria'!$C$8+'Wastewater Criteria'!$C$10*'Water Demand Criteria'!AJ$56+'Water Demand Criteria'!AJ$37*'Wastewater Criteria'!$C$11)*(1+'Wastewater Criteria'!$C$23)+('Project Tankers'!AF2*'Wastewater Criteria'!$C$9))*(1+'Wastewater Criteria'!$C$36)</f>
        <v>4582.0189056543613</v>
      </c>
      <c r="AG2" s="44">
        <f>(('Project W Pop Connected'!AH2*'Water Demand Criteria'!AK$17/1000)*('Wastewater Criteria'!$C$8+'Wastewater Criteria'!$C$10*'Water Demand Criteria'!AK$56+'Water Demand Criteria'!AK$37*'Wastewater Criteria'!$C$11)*(1+'Wastewater Criteria'!$C$23)+('Project Tankers'!AG2*'Wastewater Criteria'!$C$9))*(1+'Wastewater Criteria'!$C$36)</f>
        <v>4734.6480792965831</v>
      </c>
      <c r="AH2" s="44">
        <f>(('Project W Pop Connected'!AI2*'Water Demand Criteria'!AL$17/1000)*('Wastewater Criteria'!$C$8+'Wastewater Criteria'!$C$10*'Water Demand Criteria'!AL$56+'Water Demand Criteria'!AL$37*'Wastewater Criteria'!$C$11)*(1+'Wastewater Criteria'!$C$23)+('Project Tankers'!AH2*'Wastewater Criteria'!$C$9))*(1+'Wastewater Criteria'!$C$36)</f>
        <v>4893.3689474110988</v>
      </c>
      <c r="AI2" s="44">
        <f>(('Project W Pop Connected'!AJ2*'Water Demand Criteria'!AM$17/1000)*('Wastewater Criteria'!$C$8+'Wastewater Criteria'!$C$10*'Water Demand Criteria'!AM$56+'Water Demand Criteria'!AM$37*'Wastewater Criteria'!$C$11)*(1+'Wastewater Criteria'!$C$23)+('Project Tankers'!AI2*'Wastewater Criteria'!$C$9))*(1+'Wastewater Criteria'!$C$36)</f>
        <v>5058.4620245720935</v>
      </c>
      <c r="AJ2" s="44">
        <f>(('Project W Pop Connected'!AK2*'Water Demand Criteria'!AN$17/1000)*('Wastewater Criteria'!$C$8+'Wastewater Criteria'!$C$10*'Water Demand Criteria'!AN$56+'Water Demand Criteria'!AN$37*'Wastewater Criteria'!$C$11)*(1+'Wastewater Criteria'!$C$23)+('Project Tankers'!AJ2*'Wastewater Criteria'!$C$9))*(1+'Wastewater Criteria'!$C$36)</f>
        <v>5230.2218340514637</v>
      </c>
      <c r="AK2" s="44">
        <f>(('Project W Pop Connected'!AL2*'Water Demand Criteria'!AO$17/1000)*('Wastewater Criteria'!$C$8+'Wastewater Criteria'!$C$10*'Water Demand Criteria'!AO$56+'Water Demand Criteria'!AO$37*'Wastewater Criteria'!$C$11)*(1+'Wastewater Criteria'!$C$23)+('Project Tankers'!AK2*'Wastewater Criteria'!$C$9))*(1+'Wastewater Criteria'!$C$36)</f>
        <v>5408.0111862823742</v>
      </c>
      <c r="AL2" s="44">
        <f>(('Project W Pop Connected'!AM2*'Water Demand Criteria'!AP$17/1000)*('Wastewater Criteria'!$C$8+'Wastewater Criteria'!$C$10*'Water Demand Criteria'!AP$56+'Water Demand Criteria'!AP$37*'Wastewater Criteria'!$C$11)*(1+'Wastewater Criteria'!$C$23)+('Project Tankers'!AL2*'Wastewater Criteria'!$C$9))*(1+'Wastewater Criteria'!$C$36)</f>
        <v>5591.47151610321</v>
      </c>
      <c r="AM2" s="44">
        <f>(('Project W Pop Connected'!AN2*'Water Demand Criteria'!AQ$17/1000)*('Wastewater Criteria'!$C$8+'Wastewater Criteria'!$C$10*'Water Demand Criteria'!AQ$56+'Water Demand Criteria'!AQ$37*'Wastewater Criteria'!$C$11)*(1+'Wastewater Criteria'!$C$23)+('Project Tankers'!AM2*'Wastewater Criteria'!$C$9))*(1+'Wastewater Criteria'!$C$36)</f>
        <v>5780.7726237714023</v>
      </c>
      <c r="AN2" s="44">
        <f>(('Project W Pop Connected'!AO2*'Water Demand Criteria'!AR$17/1000)*('Wastewater Criteria'!$C$8+'Wastewater Criteria'!$C$10*'Water Demand Criteria'!AR$56+'Water Demand Criteria'!AR$37*'Wastewater Criteria'!$C$11)*(1+'Wastewater Criteria'!$C$23)+('Project Tankers'!AN2*'Wastewater Criteria'!$C$9))*(1+'Wastewater Criteria'!$C$36)</f>
        <v>5976.0891934736492</v>
      </c>
      <c r="AO2" s="44">
        <f>(('Project W Pop Connected'!AP2*'Water Demand Criteria'!AS$17/1000)*('Wastewater Criteria'!$C$8+'Wastewater Criteria'!$C$10*'Water Demand Criteria'!AS$56+'Water Demand Criteria'!AS$37*'Wastewater Criteria'!$C$11)*(1+'Wastewater Criteria'!$C$23)+('Project Tankers'!AO2*'Wastewater Criteria'!$C$9))*(1+'Wastewater Criteria'!$C$36)</f>
        <v>6177.6009299495636</v>
      </c>
      <c r="AP2" s="44">
        <f>(('Project W Pop Connected'!AQ2*'Water Demand Criteria'!AT$17/1000)*('Wastewater Criteria'!$C$8+'Wastewater Criteria'!$C$10*'Water Demand Criteria'!AT$56+'Water Demand Criteria'!AT$37*'Wastewater Criteria'!$C$11)*(1+'Wastewater Criteria'!$C$23)+('Project Tankers'!AP2*'Wastewater Criteria'!$C$9))*(1+'Wastewater Criteria'!$C$36)</f>
        <v>6385.4926988601428</v>
      </c>
      <c r="AQ2" s="44">
        <f>(('Project W Pop Connected'!AR2*'Water Demand Criteria'!AU$17/1000)*('Wastewater Criteria'!$C$8+'Wastewater Criteria'!$C$10*'Water Demand Criteria'!AU$56+'Water Demand Criteria'!AU$37*'Wastewater Criteria'!$C$11)*(1+'Wastewater Criteria'!$C$23)+('Project Tankers'!AQ2*'Wastewater Criteria'!$C$9))*(1+'Wastewater Criteria'!$C$36)</f>
        <v>6599.9546710020304</v>
      </c>
      <c r="AR2" s="44">
        <f>(('Project W Pop Connected'!AS2*'Water Demand Criteria'!AV$17/1000)*('Wastewater Criteria'!$C$8+'Wastewater Criteria'!$C$10*'Water Demand Criteria'!AV$56+'Water Demand Criteria'!AV$37*'Wastewater Criteria'!$C$11)*(1+'Wastewater Criteria'!$C$23)+('Project Tankers'!AR2*'Wastewater Criteria'!$C$9))*(1+'Wastewater Criteria'!$C$36)</f>
        <v>6821.1824704714418</v>
      </c>
      <c r="AS2" s="44">
        <f>(('Project W Pop Connected'!AT2*'Water Demand Criteria'!AW$17/1000)*('Wastewater Criteria'!$C$8+'Wastewater Criteria'!$C$10*'Water Demand Criteria'!AW$56+'Water Demand Criteria'!AW$37*'Wastewater Criteria'!$C$11)*(1+'Wastewater Criteria'!$C$23)+('Project Tankers'!AS2*'Wastewater Criteria'!$C$9))*(1+'Wastewater Criteria'!$C$36)</f>
        <v>7049.3773268841433</v>
      </c>
      <c r="AT2" s="44">
        <f>(('Project W Pop Connected'!AU2*'Water Demand Criteria'!AX$17/1000)*('Wastewater Criteria'!$C$8+'Wastewater Criteria'!$C$10*'Water Demand Criteria'!AX$56+'Water Demand Criteria'!AX$37*'Wastewater Criteria'!$C$11)*(1+'Wastewater Criteria'!$C$23)+('Project Tankers'!AT2*'Wastewater Criteria'!$C$9))*(1+'Wastewater Criteria'!$C$36)</f>
        <v>7284.7462317609206</v>
      </c>
      <c r="AU2" s="44">
        <f>(('Project W Pop Connected'!AV2*'Water Demand Criteria'!AY$17/1000)*('Wastewater Criteria'!$C$8+'Wastewater Criteria'!$C$10*'Water Demand Criteria'!AY$56+'Water Demand Criteria'!AY$37*'Wastewater Criteria'!$C$11)*(1+'Wastewater Criteria'!$C$23)+('Project Tankers'!AU2*'Wastewater Criteria'!$C$9))*(1+'Wastewater Criteria'!$C$36)</f>
        <v>7527.5020991907513</v>
      </c>
      <c r="AV2" s="44">
        <f>(('Project W Pop Connected'!AW2*'Water Demand Criteria'!AZ$17/1000)*('Wastewater Criteria'!$C$8+'Wastewater Criteria'!$C$10*'Water Demand Criteria'!AZ$56+'Water Demand Criteria'!AZ$37*'Wastewater Criteria'!$C$11)*(1+'Wastewater Criteria'!$C$23)+('Project Tankers'!AV2*'Wastewater Criteria'!$C$9))*(1+'Wastewater Criteria'!$C$36)</f>
        <v>7777.8639308869779</v>
      </c>
      <c r="AW2" s="44">
        <f>(('Project W Pop Connected'!AX2*'Water Demand Criteria'!BA$17/1000)*('Wastewater Criteria'!$C$8+'Wastewater Criteria'!$C$10*'Water Demand Criteria'!BA$56+'Water Demand Criteria'!BA$37*'Wastewater Criteria'!$C$11)*(1+'Wastewater Criteria'!$C$23)+('Project Tankers'!AW2*'Wastewater Criteria'!$C$9))*(1+'Wastewater Criteria'!$C$36)</f>
        <v>8036.0569857547425</v>
      </c>
      <c r="AX2" s="44">
        <f>(('Project W Pop Connected'!AY2*'Water Demand Criteria'!BB$17/1000)*('Wastewater Criteria'!$C$8+'Wastewater Criteria'!$C$10*'Water Demand Criteria'!BB$56+'Water Demand Criteria'!BB$37*'Wastewater Criteria'!$C$11)*(1+'Wastewater Criteria'!$C$23)+('Project Tankers'!AX2*'Wastewater Criteria'!$C$9))*(1+'Wastewater Criteria'!$C$36)</f>
        <v>8222.6850009438658</v>
      </c>
      <c r="AY2" s="44">
        <f>(('Project W Pop Connected'!AZ2*'Water Demand Criteria'!BC$17/1000)*('Wastewater Criteria'!$C$8+'Wastewater Criteria'!$C$10*'Water Demand Criteria'!BC$56+'Water Demand Criteria'!BC$37*'Wastewater Criteria'!$C$11)*(1+'Wastewater Criteria'!$C$23)+('Project Tankers'!AY2*'Wastewater Criteria'!$C$9))*(1+'Wastewater Criteria'!$C$36)</f>
        <v>8413.7920884975301</v>
      </c>
      <c r="AZ2" s="44">
        <f>(('Project W Pop Connected'!BA2*'Water Demand Criteria'!BD$17/1000)*('Wastewater Criteria'!$C$8+'Wastewater Criteria'!$C$10*'Water Demand Criteria'!BD$56+'Water Demand Criteria'!BD$37*'Wastewater Criteria'!$C$11)*(1+'Wastewater Criteria'!$C$23)+('Project Tankers'!AZ2*'Wastewater Criteria'!$C$9))*(1+'Wastewater Criteria'!$C$36)</f>
        <v>8609.4857461524825</v>
      </c>
      <c r="BA2" s="44">
        <f>(('Project W Pop Connected'!BB2*'Water Demand Criteria'!BE$17/1000)*('Wastewater Criteria'!$C$8+'Wastewater Criteria'!$C$10*'Water Demand Criteria'!BE$56+'Water Demand Criteria'!BE$37*'Wastewater Criteria'!$C$11)*(1+'Wastewater Criteria'!$C$23)+('Project Tankers'!BA2*'Wastewater Criteria'!$C$9))*(1+'Wastewater Criteria'!$C$36)</f>
        <v>8809.8760515911526</v>
      </c>
      <c r="BB2" s="44">
        <f>(('Project W Pop Connected'!BC2*'Water Demand Criteria'!BF$17/1000)*('Wastewater Criteria'!$C$8+'Wastewater Criteria'!$C$10*'Water Demand Criteria'!BF$56+'Water Demand Criteria'!BF$37*'Wastewater Criteria'!$C$11)*(1+'Wastewater Criteria'!$C$23)+('Project Tankers'!BB2*'Wastewater Criteria'!$C$9))*(1+'Wastewater Criteria'!$C$36)</f>
        <v>9015.0757243603475</v>
      </c>
      <c r="BC2" s="44">
        <f>(('Project W Pop Connected'!BD2*'Water Demand Criteria'!BG$17/1000)*('Wastewater Criteria'!$C$8+'Wastewater Criteria'!$C$10*'Water Demand Criteria'!BG$56+'Water Demand Criteria'!BG$37*'Wastewater Criteria'!$C$11)*(1+'Wastewater Criteria'!$C$23)+('Project Tankers'!BC2*'Wastewater Criteria'!$C$9))*(1+'Wastewater Criteria'!$C$36)</f>
        <v>9225.2001892760036</v>
      </c>
      <c r="BD2" s="44">
        <f>(('Project W Pop Connected'!BE2*'Water Demand Criteria'!BH$17/1000)*('Wastewater Criteria'!$C$8+'Wastewater Criteria'!$C$10*'Water Demand Criteria'!BH$56+'Water Demand Criteria'!BH$37*'Wastewater Criteria'!$C$11)*(1+'Wastewater Criteria'!$C$23)+('Project Tankers'!BD2*'Wastewater Criteria'!$C$9))*(1+'Wastewater Criteria'!$C$36)</f>
        <v>9440.3676413496396</v>
      </c>
      <c r="BE2" s="44">
        <f>(('Project W Pop Connected'!BF2*'Water Demand Criteria'!BI$17/1000)*('Wastewater Criteria'!$C$8+'Wastewater Criteria'!$C$10*'Water Demand Criteria'!BI$56+'Water Demand Criteria'!BI$37*'Wastewater Criteria'!$C$11)*(1+'Wastewater Criteria'!$C$23)+('Project Tankers'!BE2*'Wastewater Criteria'!$C$9))*(1+'Wastewater Criteria'!$C$36)</f>
        <v>9660.6991122730415</v>
      </c>
      <c r="BF2" s="44">
        <f>(('Project W Pop Connected'!BG2*'Water Demand Criteria'!BJ$17/1000)*('Wastewater Criteria'!$C$8+'Wastewater Criteria'!$C$10*'Water Demand Criteria'!BJ$56+'Water Demand Criteria'!BJ$37*'Wastewater Criteria'!$C$11)*(1+'Wastewater Criteria'!$C$23)+('Project Tankers'!BF2*'Wastewater Criteria'!$C$9))*(1+'Wastewater Criteria'!$C$36)</f>
        <v>9886.3185384986064</v>
      </c>
      <c r="BG2" s="44">
        <f>(('Project W Pop Connected'!BH2*'Water Demand Criteria'!BK$17/1000)*('Wastewater Criteria'!$C$8+'Wastewater Criteria'!$C$10*'Water Demand Criteria'!BK$56+'Water Demand Criteria'!BK$37*'Wastewater Criteria'!$C$11)*(1+'Wastewater Criteria'!$C$23)+('Project Tankers'!BG2*'Wastewater Criteria'!$C$9))*(1+'Wastewater Criteria'!$C$36)</f>
        <v>10117.352830953581</v>
      </c>
      <c r="BH2" s="44">
        <f>(('Project W Pop Connected'!BI2*'Water Demand Criteria'!BL$17/1000)*('Wastewater Criteria'!$C$8+'Wastewater Criteria'!$C$10*'Water Demand Criteria'!BL$56+'Water Demand Criteria'!BL$37*'Wastewater Criteria'!$C$11)*(1+'Wastewater Criteria'!$C$23)+('Project Tankers'!BH2*'Wastewater Criteria'!$C$9))*(1+'Wastewater Criteria'!$C$36)</f>
        <v>10353.931946427479</v>
      </c>
      <c r="BI2" s="44">
        <f>(('Project W Pop Connected'!BJ2*'Water Demand Criteria'!BM$17/1000)*('Wastewater Criteria'!$C$8+'Wastewater Criteria'!$C$10*'Water Demand Criteria'!BM$56+'Water Demand Criteria'!BM$37*'Wastewater Criteria'!$C$11)*(1+'Wastewater Criteria'!$C$23)+('Project Tankers'!BI2*'Wastewater Criteria'!$C$9))*(1+'Wastewater Criteria'!$C$36)</f>
        <v>10596.188960672749</v>
      </c>
      <c r="BJ2" s="44">
        <f>(('Project W Pop Connected'!BK2*'Water Demand Criteria'!BN$17/1000)*('Wastewater Criteria'!$C$8+'Wastewater Criteria'!$C$10*'Water Demand Criteria'!BN$56+'Water Demand Criteria'!BN$37*'Wastewater Criteria'!$C$11)*(1+'Wastewater Criteria'!$C$23)+('Project Tankers'!BJ2*'Wastewater Criteria'!$C$9))*(1+'Wastewater Criteria'!$C$36)</f>
        <v>10844.260143259904</v>
      </c>
      <c r="BK2" s="44">
        <f>(('Project W Pop Connected'!BL2*'Water Demand Criteria'!BO$17/1000)*('Wastewater Criteria'!$C$8+'Wastewater Criteria'!$C$10*'Water Demand Criteria'!BO$56+'Water Demand Criteria'!BO$37*'Wastewater Criteria'!$C$11)*(1+'Wastewater Criteria'!$C$23)+('Project Tankers'!BK2*'Wastewater Criteria'!$C$9))*(1+'Wastewater Criteria'!$C$36)</f>
        <v>11098.285034229153</v>
      </c>
      <c r="BL2" s="44">
        <f>(('Project W Pop Connected'!BM2*'Water Demand Criteria'!BP$17/1000)*('Wastewater Criteria'!$C$8+'Wastewater Criteria'!$C$10*'Water Demand Criteria'!BP$56+'Water Demand Criteria'!BP$37*'Wastewater Criteria'!$C$11)*(1+'Wastewater Criteria'!$C$23)+('Project Tankers'!BL2*'Wastewater Criteria'!$C$9))*(1+'Wastewater Criteria'!$C$36)</f>
        <v>11358.406522581667</v>
      </c>
      <c r="BM2" s="44">
        <f>(('Project W Pop Connected'!BN2*'Water Demand Criteria'!BQ$17/1000)*('Wastewater Criteria'!$C$8+'Wastewater Criteria'!$C$10*'Water Demand Criteria'!BQ$56+'Water Demand Criteria'!BQ$37*'Wastewater Criteria'!$C$11)*(1+'Wastewater Criteria'!$C$23)+('Project Tankers'!BM2*'Wastewater Criteria'!$C$9))*(1+'Wastewater Criteria'!$C$36)</f>
        <v>11624.770926654635</v>
      </c>
      <c r="BN2" s="44">
        <f>(('Project W Pop Connected'!BO2*'Water Demand Criteria'!BR$17/1000)*('Wastewater Criteria'!$C$8+'Wastewater Criteria'!$C$10*'Water Demand Criteria'!BR$56+'Water Demand Criteria'!BR$37*'Wastewater Criteria'!$C$11)*(1+'Wastewater Criteria'!$C$23)+('Project Tankers'!BN2*'Wastewater Criteria'!$C$9))*(1+'Wastewater Criteria'!$C$36)</f>
        <v>11897.528076425357</v>
      </c>
      <c r="BO2" s="44">
        <f>(('Project W Pop Connected'!BP2*'Water Demand Criteria'!BS$17/1000)*('Wastewater Criteria'!$C$8+'Wastewater Criteria'!$C$10*'Water Demand Criteria'!BS$56+'Water Demand Criteria'!BS$37*'Wastewater Criteria'!$C$11)*(1+'Wastewater Criteria'!$C$23)+('Project Tankers'!BO2*'Wastewater Criteria'!$C$9))*(1+'Wastewater Criteria'!$C$36)</f>
        <v>12176.831397790576</v>
      </c>
      <c r="BP2" s="44">
        <f>(('Project W Pop Connected'!BQ2*'Water Demand Criteria'!BT$17/1000)*('Wastewater Criteria'!$C$8+'Wastewater Criteria'!$C$10*'Water Demand Criteria'!BT$56+'Water Demand Criteria'!BT$37*'Wastewater Criteria'!$C$11)*(1+'Wastewater Criteria'!$C$23)+('Project Tankers'!BP2*'Wastewater Criteria'!$C$9))*(1+'Wastewater Criteria'!$C$36)</f>
        <v>12462.837998868559</v>
      </c>
      <c r="BQ2" s="44">
        <f>(('Project W Pop Connected'!BR2*'Water Demand Criteria'!BU$17/1000)*('Wastewater Criteria'!$C$8+'Wastewater Criteria'!$C$10*'Water Demand Criteria'!BU$56+'Water Demand Criteria'!BU$37*'Wastewater Criteria'!$C$11)*(1+'Wastewater Criteria'!$C$23)+('Project Tankers'!BQ2*'Wastewater Criteria'!$C$9))*(1+'Wastewater Criteria'!$C$36)</f>
        <v>12755.708758372417</v>
      </c>
      <c r="BR2" s="44">
        <f>(('Project W Pop Connected'!BS2*'Water Demand Criteria'!BV$17/1000)*('Wastewater Criteria'!$C$8+'Wastewater Criteria'!$C$10*'Water Demand Criteria'!BV$56+'Water Demand Criteria'!BV$37*'Wastewater Criteria'!$C$11)*(1+'Wastewater Criteria'!$C$23)+('Project Tankers'!BR2*'Wastewater Criteria'!$C$9))*(1+'Wastewater Criteria'!$C$36)</f>
        <v>13055.608416104364</v>
      </c>
      <c r="BS2" s="44">
        <f>(('Project W Pop Connected'!BT2*'Water Demand Criteria'!BW$17/1000)*('Wastewater Criteria'!$C$8+'Wastewater Criteria'!$C$10*'Water Demand Criteria'!BW$56+'Water Demand Criteria'!BW$37*'Wastewater Criteria'!$C$11)*(1+'Wastewater Criteria'!$C$23)+('Project Tankers'!BS2*'Wastewater Criteria'!$C$9))*(1+'Wastewater Criteria'!$C$36)</f>
        <v>13362.705665621879</v>
      </c>
      <c r="BT2" s="44">
        <f>(('Project W Pop Connected'!BU2*'Water Demand Criteria'!BX$17/1000)*('Wastewater Criteria'!$C$8+'Wastewater Criteria'!$C$10*'Water Demand Criteria'!BX$56+'Water Demand Criteria'!BX$37*'Wastewater Criteria'!$C$11)*(1+'Wastewater Criteria'!$C$23)+('Project Tankers'!BT2*'Wastewater Criteria'!$C$9))*(1+'Wastewater Criteria'!$C$36)</f>
        <v>13677.173249127814</v>
      </c>
      <c r="BU2" s="44">
        <f>(('Project W Pop Connected'!BV2*'Water Demand Criteria'!BY$17/1000)*('Wastewater Criteria'!$C$8+'Wastewater Criteria'!$C$10*'Water Demand Criteria'!BY$56+'Water Demand Criteria'!BY$37*'Wastewater Criteria'!$C$11)*(1+'Wastewater Criteria'!$C$23)+('Project Tankers'!BU2*'Wastewater Criteria'!$C$9))*(1+'Wastewater Criteria'!$C$36)</f>
        <v>13999.188054637891</v>
      </c>
      <c r="BV2" s="44">
        <f>(('Project W Pop Connected'!BW2*'Water Demand Criteria'!BZ$17/1000)*('Wastewater Criteria'!$C$8+'Wastewater Criteria'!$C$10*'Water Demand Criteria'!BZ$56+'Water Demand Criteria'!BZ$37*'Wastewater Criteria'!$C$11)*(1+'Wastewater Criteria'!$C$23)+('Project Tankers'!BV2*'Wastewater Criteria'!$C$9))*(1+'Wastewater Criteria'!$C$36)</f>
        <v>14328.931215480208</v>
      </c>
      <c r="BW2" s="44">
        <f>(('Project W Pop Connected'!BX2*'Water Demand Criteria'!CA$17/1000)*('Wastewater Criteria'!$C$8+'Wastewater Criteria'!$C$10*'Water Demand Criteria'!CA$56+'Water Demand Criteria'!CA$37*'Wastewater Criteria'!$C$11)*(1+'Wastewater Criteria'!$C$23)+('Project Tankers'!BW2*'Wastewater Criteria'!$C$9))*(1+'Wastewater Criteria'!$C$36)</f>
        <v>14666.588212182745</v>
      </c>
      <c r="BX2" s="44">
        <f>(('Project W Pop Connected'!BY2*'Water Demand Criteria'!CB$17/1000)*('Wastewater Criteria'!$C$8+'Wastewater Criteria'!$C$10*'Water Demand Criteria'!CB$56+'Water Demand Criteria'!CB$37*'Wastewater Criteria'!$C$11)*(1+'Wastewater Criteria'!$C$23)+('Project Tankers'!BX2*'Wastewater Criteria'!$C$9))*(1+'Wastewater Criteria'!$C$36)</f>
        <v>15012.348976806141</v>
      </c>
      <c r="BY2" s="44">
        <f>(('Project W Pop Connected'!BZ2*'Water Demand Criteria'!CC$17/1000)*('Wastewater Criteria'!$C$8+'Wastewater Criteria'!$C$10*'Water Demand Criteria'!CC$56+'Water Demand Criteria'!CC$37*'Wastewater Criteria'!$C$11)*(1+'Wastewater Criteria'!$C$23)+('Project Tankers'!BY2*'Wastewater Criteria'!$C$9))*(1+'Wastewater Criteria'!$C$36)</f>
        <v>15366.4079997805</v>
      </c>
      <c r="BZ2" s="44">
        <f>(('Project W Pop Connected'!CA2*'Water Demand Criteria'!CD$17/1000)*('Wastewater Criteria'!$C$8+'Wastewater Criteria'!$C$10*'Water Demand Criteria'!CD$56+'Water Demand Criteria'!CD$37*'Wastewater Criteria'!$C$11)*(1+'Wastewater Criteria'!$C$23)+('Project Tankers'!BZ2*'Wastewater Criteria'!$C$9))*(1+'Wastewater Criteria'!$C$36)</f>
        <v>15728.964439306244</v>
      </c>
      <c r="CA2" s="44">
        <f>(('Project W Pop Connected'!CB2*'Water Demand Criteria'!CE$17/1000)*('Wastewater Criteria'!$C$8+'Wastewater Criteria'!$C$10*'Water Demand Criteria'!CE$56+'Water Demand Criteria'!CE$37*'Wastewater Criteria'!$C$11)*(1+'Wastewater Criteria'!$C$23)+('Project Tankers'!CA2*'Wastewater Criteria'!$C$9))*(1+'Wastewater Criteria'!$C$36)</f>
        <v>16100.2222333806</v>
      </c>
    </row>
    <row r="3" spans="1:79" x14ac:dyDescent="0.25">
      <c r="A3" s="33">
        <v>2</v>
      </c>
      <c r="B3" s="36" t="s">
        <v>40</v>
      </c>
      <c r="C3" s="34">
        <f>(('Project W Pop Connected'!D3*'Water Demand Criteria'!G$17/1000)*('Wastewater Criteria'!$C$8+'Wastewater Criteria'!$C$10*'Water Demand Criteria'!G$56+'Water Demand Criteria'!G$37*'Wastewater Criteria'!$C$11)*(1+'Wastewater Criteria'!$C$23)+('Project Tankers'!C3*'Wastewater Criteria'!$C$9))*(1+'Wastewater Criteria'!$C$36)</f>
        <v>327.30951090943319</v>
      </c>
      <c r="D3" s="34">
        <f>(('Project W Pop Connected'!E3*'Water Demand Criteria'!H$17/1000)*('Wastewater Criteria'!$C$8+'Wastewater Criteria'!$C$10*'Water Demand Criteria'!H$56+'Water Demand Criteria'!H$37*'Wastewater Criteria'!$C$11)*(1+'Wastewater Criteria'!$C$23)+('Project Tankers'!D3*'Wastewater Criteria'!$C$9))*(1+'Wastewater Criteria'!$C$36)</f>
        <v>348.77010950439404</v>
      </c>
      <c r="E3" s="34">
        <f>(('Project W Pop Connected'!F3*'Water Demand Criteria'!I$17/1000)*('Wastewater Criteria'!$C$8+'Wastewater Criteria'!$C$10*'Water Demand Criteria'!I$56+'Water Demand Criteria'!I$37*'Wastewater Criteria'!$C$11)*(1+'Wastewater Criteria'!$C$23)+('Project Tankers'!E3*'Wastewater Criteria'!$C$9))*(1+'Wastewater Criteria'!$C$36)</f>
        <v>372.17728065720729</v>
      </c>
      <c r="F3" s="34">
        <f>(('Project W Pop Connected'!G3*'Water Demand Criteria'!J$17/1000)*('Wastewater Criteria'!$C$8+'Wastewater Criteria'!$C$10*'Water Demand Criteria'!J$56+'Water Demand Criteria'!J$37*'Wastewater Criteria'!$C$11)*(1+'Wastewater Criteria'!$C$23)+('Project Tankers'!F3*'Wastewater Criteria'!$C$9))*(1+'Wastewater Criteria'!$C$36)</f>
        <v>396.52899703327336</v>
      </c>
      <c r="G3" s="34">
        <f>(('Project W Pop Connected'!H3*'Water Demand Criteria'!K$17/1000)*('Wastewater Criteria'!$C$8+'Wastewater Criteria'!$C$10*'Water Demand Criteria'!K$56+'Water Demand Criteria'!K$37*'Wastewater Criteria'!$C$11)*(1+'Wastewater Criteria'!$C$23)+('Project Tankers'!G3*'Wastewater Criteria'!$C$9))*(1+'Wastewater Criteria'!$C$36)</f>
        <v>421.86639315009103</v>
      </c>
      <c r="H3" s="34">
        <f>(('Project W Pop Connected'!I3*'Water Demand Criteria'!L$17/1000)*('Wastewater Criteria'!$C$8+'Wastewater Criteria'!$C$10*'Water Demand Criteria'!L$56+'Water Demand Criteria'!L$37*'Wastewater Criteria'!$C$11)*(1+'Wastewater Criteria'!$C$23)+('Project Tankers'!H3*'Wastewater Criteria'!$C$9))*(1+'Wastewater Criteria'!$C$36)</f>
        <v>448.21392064608943</v>
      </c>
      <c r="I3" s="34">
        <f>(('Project W Pop Connected'!J3*'Water Demand Criteria'!M$17/1000)*('Wastewater Criteria'!$C$8+'Wastewater Criteria'!$C$10*'Water Demand Criteria'!M$56+'Water Demand Criteria'!M$37*'Wastewater Criteria'!$C$11)*(1+'Wastewater Criteria'!$C$23)+('Project Tankers'!I3*'Wastewater Criteria'!$C$9))*(1+'Wastewater Criteria'!$C$36)</f>
        <v>473.78211859202116</v>
      </c>
      <c r="J3" s="34">
        <f>(('Project W Pop Connected'!K3*'Water Demand Criteria'!N$17/1000)*('Wastewater Criteria'!$C$8+'Wastewater Criteria'!$C$10*'Water Demand Criteria'!N$56+'Water Demand Criteria'!N$37*'Wastewater Criteria'!$C$11)*(1+'Wastewater Criteria'!$C$23)+('Project Tankers'!J3*'Wastewater Criteria'!$C$9))*(1+'Wastewater Criteria'!$C$36)</f>
        <v>502.07293423607712</v>
      </c>
      <c r="K3" s="34">
        <f>(('Project W Pop Connected'!L3*'Water Demand Criteria'!O$17/1000)*('Wastewater Criteria'!$C$8+'Wastewater Criteria'!$C$10*'Water Demand Criteria'!O$56+'Water Demand Criteria'!O$37*'Wastewater Criteria'!$C$11)*(1+'Wastewater Criteria'!$C$23)+('Project Tankers'!K3*'Wastewater Criteria'!$C$9))*(1+'Wastewater Criteria'!$C$36)</f>
        <v>531.46614614648547</v>
      </c>
      <c r="L3" s="34">
        <f>(('Project W Pop Connected'!M3*'Water Demand Criteria'!P$17/1000)*('Wastewater Criteria'!$C$8+'Wastewater Criteria'!$C$10*'Water Demand Criteria'!P$56+'Water Demand Criteria'!P$37*'Wastewater Criteria'!$C$11)*(1+'Wastewater Criteria'!$C$23)+('Project Tankers'!L3*'Wastewater Criteria'!$C$9))*(1+'Wastewater Criteria'!$C$36)</f>
        <v>555.66584536592882</v>
      </c>
      <c r="M3" s="34">
        <f>(('Project W Pop Connected'!N3*'Water Demand Criteria'!Q$17/1000)*('Wastewater Criteria'!$C$8+'Wastewater Criteria'!$C$10*'Water Demand Criteria'!Q$56+'Water Demand Criteria'!Q$37*'Wastewater Criteria'!$C$11)*(1+'Wastewater Criteria'!$C$23)+('Project Tankers'!M3*'Wastewater Criteria'!$C$9))*(1+'Wastewater Criteria'!$C$36)</f>
        <v>593.81505703679352</v>
      </c>
      <c r="N3" s="34">
        <f>(('Project W Pop Connected'!O3*'Water Demand Criteria'!R$17/1000)*('Wastewater Criteria'!$C$8+'Wastewater Criteria'!$C$10*'Water Demand Criteria'!R$56+'Water Demand Criteria'!R$37*'Wastewater Criteria'!$C$11)*(1+'Wastewater Criteria'!$C$23)+('Project Tankers'!N3*'Wastewater Criteria'!$C$9))*(1+'Wastewater Criteria'!$C$36)</f>
        <v>624.21917644308451</v>
      </c>
      <c r="O3" s="34">
        <f>(('Project W Pop Connected'!P3*'Water Demand Criteria'!S$17/1000)*('Wastewater Criteria'!$C$8+'Wastewater Criteria'!$C$10*'Water Demand Criteria'!S$56+'Water Demand Criteria'!S$37*'Wastewater Criteria'!$C$11)*(1+'Wastewater Criteria'!$C$23)+('Project Tankers'!O3*'Wastewater Criteria'!$C$9))*(1+'Wastewater Criteria'!$C$36)</f>
        <v>638.9792913778324</v>
      </c>
      <c r="P3" s="34">
        <f>(('Project W Pop Connected'!Q3*'Water Demand Criteria'!T$17/1000)*('Wastewater Criteria'!$C$8+'Wastewater Criteria'!$C$10*'Water Demand Criteria'!T$56+'Water Demand Criteria'!T$37*'Wastewater Criteria'!$C$11)*(1+'Wastewater Criteria'!$C$23)+('Project Tankers'!P3*'Wastewater Criteria'!$C$9))*(1+'Wastewater Criteria'!$C$36)</f>
        <v>654.32148202177348</v>
      </c>
      <c r="Q3" s="34">
        <f>(('Project W Pop Connected'!R3*'Water Demand Criteria'!U$17/1000)*('Wastewater Criteria'!$C$8+'Wastewater Criteria'!$C$10*'Water Demand Criteria'!U$56+'Water Demand Criteria'!U$37*'Wastewater Criteria'!$C$11)*(1+'Wastewater Criteria'!$C$23)+('Project Tankers'!Q3*'Wastewater Criteria'!$C$9))*(1+'Wastewater Criteria'!$C$36)</f>
        <v>670.20315746935739</v>
      </c>
      <c r="R3" s="34">
        <f>(('Project W Pop Connected'!S3*'Water Demand Criteria'!V$17/1000)*('Wastewater Criteria'!$C$8+'Wastewater Criteria'!$C$10*'Water Demand Criteria'!V$56+'Water Demand Criteria'!V$37*'Wastewater Criteria'!$C$11)*(1+'Wastewater Criteria'!$C$23)+('Project Tankers'!R3*'Wastewater Criteria'!$C$9))*(1+'Wastewater Criteria'!$C$36)</f>
        <v>686.76628740575268</v>
      </c>
      <c r="S3" s="34">
        <f>(('Project W Pop Connected'!T3*'Water Demand Criteria'!W$17/1000)*('Wastewater Criteria'!$C$8+'Wastewater Criteria'!$C$10*'Water Demand Criteria'!W$56+'Water Demand Criteria'!W$37*'Wastewater Criteria'!$C$11)*(1+'Wastewater Criteria'!$C$23)+('Project Tankers'!S3*'Wastewater Criteria'!$C$9))*(1+'Wastewater Criteria'!$C$36)</f>
        <v>700.55390999709209</v>
      </c>
      <c r="T3" s="34">
        <f>(('Project W Pop Connected'!U3*'Water Demand Criteria'!X$17/1000)*('Wastewater Criteria'!$C$8+'Wastewater Criteria'!$C$10*'Water Demand Criteria'!X$56+'Water Demand Criteria'!X$37*'Wastewater Criteria'!$C$11)*(1+'Wastewater Criteria'!$C$23)+('Project Tankers'!T3*'Wastewater Criteria'!$C$9))*(1+'Wastewater Criteria'!$C$36)</f>
        <v>712.9093241126169</v>
      </c>
      <c r="U3" s="34">
        <f>(('Project W Pop Connected'!V3*'Water Demand Criteria'!Y$17/1000)*('Wastewater Criteria'!$C$8+'Wastewater Criteria'!$C$10*'Water Demand Criteria'!Y$56+'Water Demand Criteria'!Y$37*'Wastewater Criteria'!$C$11)*(1+'Wastewater Criteria'!$C$23)+('Project Tankers'!U3*'Wastewater Criteria'!$C$9))*(1+'Wastewater Criteria'!$C$36)</f>
        <v>725.82881419799799</v>
      </c>
      <c r="V3" s="34">
        <f>(('Project W Pop Connected'!W3*'Water Demand Criteria'!Z$17/1000)*('Wastewater Criteria'!$C$8+'Wastewater Criteria'!$C$10*'Water Demand Criteria'!Z$56+'Water Demand Criteria'!Z$37*'Wastewater Criteria'!$C$11)*(1+'Wastewater Criteria'!$C$23)+('Project Tankers'!V3*'Wastewater Criteria'!$C$9))*(1+'Wastewater Criteria'!$C$36)</f>
        <v>739.15050038156403</v>
      </c>
      <c r="W3" s="34">
        <f>(('Project W Pop Connected'!X3*'Water Demand Criteria'!AA$17/1000)*('Wastewater Criteria'!$C$8+'Wastewater Criteria'!$C$10*'Water Demand Criteria'!AA$56+'Water Demand Criteria'!AA$37*'Wastewater Criteria'!$C$11)*(1+'Wastewater Criteria'!$C$23)+('Project Tankers'!W3*'Wastewater Criteria'!$C$9))*(1+'Wastewater Criteria'!$C$36)</f>
        <v>752.90206116134686</v>
      </c>
      <c r="X3" s="34">
        <f>(('Project W Pop Connected'!Y3*'Water Demand Criteria'!AB$17/1000)*('Wastewater Criteria'!$C$8+'Wastewater Criteria'!$C$10*'Water Demand Criteria'!AB$56+'Water Demand Criteria'!AB$37*'Wastewater Criteria'!$C$11)*(1+'Wastewater Criteria'!$C$23)+('Project Tankers'!X3*'Wastewater Criteria'!$C$9))*(1+'Wastewater Criteria'!$C$36)</f>
        <v>767.11117503577566</v>
      </c>
      <c r="Y3" s="34">
        <f>(('Project W Pop Connected'!Z3*'Water Demand Criteria'!AC$17/1000)*('Wastewater Criteria'!$C$8+'Wastewater Criteria'!$C$10*'Water Demand Criteria'!AC$56+'Water Demand Criteria'!AC$37*'Wastewater Criteria'!$C$11)*(1+'Wastewater Criteria'!$C$23)+('Project Tankers'!Y3*'Wastewater Criteria'!$C$9))*(1+'Wastewater Criteria'!$C$36)</f>
        <v>781.80552052477583</v>
      </c>
      <c r="Z3" s="34">
        <f>(('Project W Pop Connected'!AA3*'Water Demand Criteria'!AD$17/1000)*('Wastewater Criteria'!$C$8+'Wastewater Criteria'!$C$10*'Water Demand Criteria'!AD$56+'Water Demand Criteria'!AD$37*'Wastewater Criteria'!$C$11)*(1+'Wastewater Criteria'!$C$23)+('Project Tankers'!Z3*'Wastewater Criteria'!$C$9))*(1+'Wastewater Criteria'!$C$36)</f>
        <v>797.01277611183457</v>
      </c>
      <c r="AA3" s="34">
        <f>(('Project W Pop Connected'!AB3*'Water Demand Criteria'!AE$17/1000)*('Wastewater Criteria'!$C$8+'Wastewater Criteria'!$C$10*'Water Demand Criteria'!AE$56+'Water Demand Criteria'!AE$37*'Wastewater Criteria'!$C$11)*(1+'Wastewater Criteria'!$C$23)+('Project Tankers'!AA3*'Wastewater Criteria'!$C$9))*(1+'Wastewater Criteria'!$C$36)</f>
        <v>812.76062034051017</v>
      </c>
      <c r="AB3" s="34">
        <f>(('Project W Pop Connected'!AC3*'Water Demand Criteria'!AF$17/1000)*('Wastewater Criteria'!$C$8+'Wastewater Criteria'!$C$10*'Water Demand Criteria'!AF$56+'Water Demand Criteria'!AF$37*'Wastewater Criteria'!$C$11)*(1+'Wastewater Criteria'!$C$23)+('Project Tankers'!AB3*'Wastewater Criteria'!$C$9))*(1+'Wastewater Criteria'!$C$36)</f>
        <v>829.07673167347809</v>
      </c>
      <c r="AC3" s="34">
        <f>(('Project W Pop Connected'!AD3*'Water Demand Criteria'!AG$17/1000)*('Wastewater Criteria'!$C$8+'Wastewater Criteria'!$C$10*'Water Demand Criteria'!AG$56+'Water Demand Criteria'!AG$37*'Wastewater Criteria'!$C$11)*(1+'Wastewater Criteria'!$C$23)+('Project Tankers'!AC3*'Wastewater Criteria'!$C$9))*(1+'Wastewater Criteria'!$C$36)</f>
        <v>845.98878866818461</v>
      </c>
      <c r="AD3" s="44">
        <f>(('Project W Pop Connected'!AE3*'Water Demand Criteria'!AH$17/1000)*('Wastewater Criteria'!$C$8+'Wastewater Criteria'!$C$10*'Water Demand Criteria'!AH$56+'Water Demand Criteria'!AH$37*'Wastewater Criteria'!$C$11)*(1+'Wastewater Criteria'!$C$23)+('Project Tankers'!AD3*'Wastewater Criteria'!$C$9))*(1+'Wastewater Criteria'!$C$36)</f>
        <v>873.64014982488447</v>
      </c>
      <c r="AE3" s="44">
        <f>(('Project W Pop Connected'!AF3*'Water Demand Criteria'!AI$17/1000)*('Wastewater Criteria'!$C$8+'Wastewater Criteria'!$C$10*'Water Demand Criteria'!AI$56+'Water Demand Criteria'!AI$37*'Wastewater Criteria'!$C$11)*(1+'Wastewater Criteria'!$C$23)+('Project Tankers'!AE3*'Wastewater Criteria'!$C$9))*(1+'Wastewater Criteria'!$C$36)</f>
        <v>902.37536834576656</v>
      </c>
      <c r="AF3" s="44">
        <f>(('Project W Pop Connected'!AG3*'Water Demand Criteria'!AJ$17/1000)*('Wastewater Criteria'!$C$8+'Wastewater Criteria'!$C$10*'Water Demand Criteria'!AJ$56+'Water Demand Criteria'!AJ$37*'Wastewater Criteria'!$C$11)*(1+'Wastewater Criteria'!$C$23)+('Project Tankers'!AF3*'Wastewater Criteria'!$C$9))*(1+'Wastewater Criteria'!$C$36)</f>
        <v>932.24381276087433</v>
      </c>
      <c r="AG3" s="44">
        <f>(('Project W Pop Connected'!AH3*'Water Demand Criteria'!AK$17/1000)*('Wastewater Criteria'!$C$8+'Wastewater Criteria'!$C$10*'Water Demand Criteria'!AK$56+'Water Demand Criteria'!AK$37*'Wastewater Criteria'!$C$11)*(1+'Wastewater Criteria'!$C$23)+('Project Tankers'!AG3*'Wastewater Criteria'!$C$9))*(1+'Wastewater Criteria'!$C$36)</f>
        <v>963.29728628521536</v>
      </c>
      <c r="AH3" s="44">
        <f>(('Project W Pop Connected'!AI3*'Water Demand Criteria'!AL$17/1000)*('Wastewater Criteria'!$C$8+'Wastewater Criteria'!$C$10*'Water Demand Criteria'!AL$56+'Water Demand Criteria'!AL$37*'Wastewater Criteria'!$C$11)*(1+'Wastewater Criteria'!$C$23)+('Project Tankers'!AH3*'Wastewater Criteria'!$C$9))*(1+'Wastewater Criteria'!$C$36)</f>
        <v>995.59015768153267</v>
      </c>
      <c r="AI3" s="44">
        <f>(('Project W Pop Connected'!AJ3*'Water Demand Criteria'!AM$17/1000)*('Wastewater Criteria'!$C$8+'Wastewater Criteria'!$C$10*'Water Demand Criteria'!AM$56+'Water Demand Criteria'!AM$37*'Wastewater Criteria'!$C$11)*(1+'Wastewater Criteria'!$C$23)+('Project Tankers'!AI3*'Wastewater Criteria'!$C$9))*(1+'Wastewater Criteria'!$C$36)</f>
        <v>1029.1794996030742</v>
      </c>
      <c r="AJ3" s="44">
        <f>(('Project W Pop Connected'!AK3*'Water Demand Criteria'!AN$17/1000)*('Wastewater Criteria'!$C$8+'Wastewater Criteria'!$C$10*'Water Demand Criteria'!AN$56+'Water Demand Criteria'!AN$37*'Wastewater Criteria'!$C$11)*(1+'Wastewater Criteria'!$C$23)+('Project Tankers'!AJ3*'Wastewater Criteria'!$C$9))*(1+'Wastewater Criteria'!$C$36)</f>
        <v>1064.1252348706728</v>
      </c>
      <c r="AK3" s="44">
        <f>(('Project W Pop Connected'!AL3*'Water Demand Criteria'!AO$17/1000)*('Wastewater Criteria'!$C$8+'Wastewater Criteria'!$C$10*'Water Demand Criteria'!AO$56+'Water Demand Criteria'!AO$37*'Wastewater Criteria'!$C$11)*(1+'Wastewater Criteria'!$C$23)+('Project Tankers'!AK3*'Wastewater Criteria'!$C$9))*(1+'Wastewater Criteria'!$C$36)</f>
        <v>1100.2977228077038</v>
      </c>
      <c r="AL3" s="44">
        <f>(('Project W Pop Connected'!AM3*'Water Demand Criteria'!AP$17/1000)*('Wastewater Criteria'!$C$8+'Wastewater Criteria'!$C$10*'Water Demand Criteria'!AP$56+'Water Demand Criteria'!AP$37*'Wastewater Criteria'!$C$11)*(1+'Wastewater Criteria'!$C$23)+('Project Tankers'!AL3*'Wastewater Criteria'!$C$9))*(1+'Wastewater Criteria'!$C$36)</f>
        <v>1137.6240108226846</v>
      </c>
      <c r="AM3" s="44">
        <f>(('Project W Pop Connected'!AN3*'Water Demand Criteria'!AQ$17/1000)*('Wastewater Criteria'!$C$8+'Wastewater Criteria'!$C$10*'Water Demand Criteria'!AQ$56+'Water Demand Criteria'!AQ$37*'Wastewater Criteria'!$C$11)*(1+'Wastewater Criteria'!$C$23)+('Project Tankers'!AM3*'Wastewater Criteria'!$C$9))*(1+'Wastewater Criteria'!$C$36)</f>
        <v>1176.1386459663061</v>
      </c>
      <c r="AN3" s="44">
        <f>(('Project W Pop Connected'!AO3*'Water Demand Criteria'!AR$17/1000)*('Wastewater Criteria'!$C$8+'Wastewater Criteria'!$C$10*'Water Demand Criteria'!AR$56+'Water Demand Criteria'!AR$37*'Wastewater Criteria'!$C$11)*(1+'Wastewater Criteria'!$C$23)+('Project Tankers'!AN3*'Wastewater Criteria'!$C$9))*(1+'Wastewater Criteria'!$C$36)</f>
        <v>1215.8771689588455</v>
      </c>
      <c r="AO3" s="44">
        <f>(('Project W Pop Connected'!AP3*'Water Demand Criteria'!AS$17/1000)*('Wastewater Criteria'!$C$8+'Wastewater Criteria'!$C$10*'Water Demand Criteria'!AS$56+'Water Demand Criteria'!AS$37*'Wastewater Criteria'!$C$11)*(1+'Wastewater Criteria'!$C$23)+('Project Tankers'!AO3*'Wastewater Criteria'!$C$9))*(1+'Wastewater Criteria'!$C$36)</f>
        <v>1256.8761419872087</v>
      </c>
      <c r="AP3" s="44">
        <f>(('Project W Pop Connected'!AQ3*'Water Demand Criteria'!AT$17/1000)*('Wastewater Criteria'!$C$8+'Wastewater Criteria'!$C$10*'Water Demand Criteria'!AT$56+'Water Demand Criteria'!AT$37*'Wastewater Criteria'!$C$11)*(1+'Wastewater Criteria'!$C$23)+('Project Tankers'!AP3*'Wastewater Criteria'!$C$9))*(1+'Wastewater Criteria'!$C$36)</f>
        <v>1299.1731772638718</v>
      </c>
      <c r="AQ3" s="44">
        <f>(('Project W Pop Connected'!AR3*'Water Demand Criteria'!AU$17/1000)*('Wastewater Criteria'!$C$8+'Wastewater Criteria'!$C$10*'Water Demand Criteria'!AU$56+'Water Demand Criteria'!AU$37*'Wastewater Criteria'!$C$11)*(1+'Wastewater Criteria'!$C$23)+('Project Tankers'!AQ3*'Wastewater Criteria'!$C$9))*(1+'Wastewater Criteria'!$C$36)</f>
        <v>1342.8069663682879</v>
      </c>
      <c r="AR3" s="44">
        <f>(('Project W Pop Connected'!AS3*'Water Demand Criteria'!AV$17/1000)*('Wastewater Criteria'!$C$8+'Wastewater Criteria'!$C$10*'Water Demand Criteria'!AV$56+'Water Demand Criteria'!AV$37*'Wastewater Criteria'!$C$11)*(1+'Wastewater Criteria'!$C$23)+('Project Tankers'!AR3*'Wastewater Criteria'!$C$9))*(1+'Wastewater Criteria'!$C$36)</f>
        <v>1387.8173103918707</v>
      </c>
      <c r="AS3" s="44">
        <f>(('Project W Pop Connected'!AT3*'Water Demand Criteria'!AW$17/1000)*('Wastewater Criteria'!$C$8+'Wastewater Criteria'!$C$10*'Water Demand Criteria'!AW$56+'Water Demand Criteria'!AW$37*'Wastewater Criteria'!$C$11)*(1+'Wastewater Criteria'!$C$23)+('Project Tankers'!AS3*'Wastewater Criteria'!$C$9))*(1+'Wastewater Criteria'!$C$36)</f>
        <v>1434.2451509082155</v>
      </c>
      <c r="AT3" s="44">
        <f>(('Project W Pop Connected'!AU3*'Water Demand Criteria'!AX$17/1000)*('Wastewater Criteria'!$C$8+'Wastewater Criteria'!$C$10*'Water Demand Criteria'!AX$56+'Water Demand Criteria'!AX$37*'Wastewater Criteria'!$C$11)*(1+'Wastewater Criteria'!$C$23)+('Project Tankers'!AT3*'Wastewater Criteria'!$C$9))*(1+'Wastewater Criteria'!$C$36)</f>
        <v>1482.1326017908179</v>
      </c>
      <c r="AU3" s="44">
        <f>(('Project W Pop Connected'!AV3*'Water Demand Criteria'!AY$17/1000)*('Wastewater Criteria'!$C$8+'Wastewater Criteria'!$C$10*'Water Demand Criteria'!AY$56+'Water Demand Criteria'!AY$37*'Wastewater Criteria'!$C$11)*(1+'Wastewater Criteria'!$C$23)+('Project Tankers'!AU3*'Wastewater Criteria'!$C$9))*(1+'Wastewater Criteria'!$C$36)</f>
        <v>1531.5229819011197</v>
      </c>
      <c r="AV3" s="44">
        <f>(('Project W Pop Connected'!AW3*'Water Demand Criteria'!AZ$17/1000)*('Wastewater Criteria'!$C$8+'Wastewater Criteria'!$C$10*'Water Demand Criteria'!AZ$56+'Water Demand Criteria'!AZ$37*'Wastewater Criteria'!$C$11)*(1+'Wastewater Criteria'!$C$23)+('Project Tankers'!AV3*'Wastewater Criteria'!$C$9))*(1+'Wastewater Criteria'!$C$36)</f>
        <v>1582.460848670343</v>
      </c>
      <c r="AW3" s="44">
        <f>(('Project W Pop Connected'!AX3*'Water Demand Criteria'!BA$17/1000)*('Wastewater Criteria'!$C$8+'Wastewater Criteria'!$C$10*'Water Demand Criteria'!BA$56+'Water Demand Criteria'!BA$37*'Wastewater Criteria'!$C$11)*(1+'Wastewater Criteria'!$C$23)+('Project Tankers'!AW3*'Wastewater Criteria'!$C$9))*(1+'Wastewater Criteria'!$C$36)</f>
        <v>1634.9920325991732</v>
      </c>
      <c r="AX3" s="44">
        <f>(('Project W Pop Connected'!AY3*'Water Demand Criteria'!BB$17/1000)*('Wastewater Criteria'!$C$8+'Wastewater Criteria'!$C$10*'Water Demand Criteria'!BB$56+'Water Demand Criteria'!BB$37*'Wastewater Criteria'!$C$11)*(1+'Wastewater Criteria'!$C$23)+('Project Tankers'!AX3*'Wastewater Criteria'!$C$9))*(1+'Wastewater Criteria'!$C$36)</f>
        <v>1672.962808370788</v>
      </c>
      <c r="AY3" s="44">
        <f>(('Project W Pop Connected'!AZ3*'Water Demand Criteria'!BC$17/1000)*('Wastewater Criteria'!$C$8+'Wastewater Criteria'!$C$10*'Water Demand Criteria'!BC$56+'Water Demand Criteria'!BC$37*'Wastewater Criteria'!$C$11)*(1+'Wastewater Criteria'!$C$23)+('Project Tankers'!AY3*'Wastewater Criteria'!$C$9))*(1+'Wastewater Criteria'!$C$36)</f>
        <v>1711.8448827609225</v>
      </c>
      <c r="AZ3" s="44">
        <f>(('Project W Pop Connected'!BA3*'Water Demand Criteria'!BD$17/1000)*('Wastewater Criteria'!$C$8+'Wastewater Criteria'!$C$10*'Water Demand Criteria'!BD$56+'Water Demand Criteria'!BD$37*'Wastewater Criteria'!$C$11)*(1+'Wastewater Criteria'!$C$23)+('Project Tankers'!AZ3*'Wastewater Criteria'!$C$9))*(1+'Wastewater Criteria'!$C$36)</f>
        <v>1751.6601269364191</v>
      </c>
      <c r="BA3" s="44">
        <f>(('Project W Pop Connected'!BB3*'Water Demand Criteria'!BE$17/1000)*('Wastewater Criteria'!$C$8+'Wastewater Criteria'!$C$10*'Water Demand Criteria'!BE$56+'Water Demand Criteria'!BE$37*'Wastewater Criteria'!$C$11)*(1+'Wastewater Criteria'!$C$23)+('Project Tankers'!BA3*'Wastewater Criteria'!$C$9))*(1+'Wastewater Criteria'!$C$36)</f>
        <v>1792.4309369721284</v>
      </c>
      <c r="BB3" s="44">
        <f>(('Project W Pop Connected'!BC3*'Water Demand Criteria'!BF$17/1000)*('Wastewater Criteria'!$C$8+'Wastewater Criteria'!$C$10*'Water Demand Criteria'!BF$56+'Water Demand Criteria'!BF$37*'Wastewater Criteria'!$C$11)*(1+'Wastewater Criteria'!$C$23)+('Project Tankers'!BB3*'Wastewater Criteria'!$C$9))*(1+'Wastewater Criteria'!$C$36)</f>
        <v>1834.1802464486948</v>
      </c>
      <c r="BC3" s="44">
        <f>(('Project W Pop Connected'!BD3*'Water Demand Criteria'!BG$17/1000)*('Wastewater Criteria'!$C$8+'Wastewater Criteria'!$C$10*'Water Demand Criteria'!BG$56+'Water Demand Criteria'!BG$37*'Wastewater Criteria'!$C$11)*(1+'Wastewater Criteria'!$C$23)+('Project Tankers'!BC3*'Wastewater Criteria'!$C$9))*(1+'Wastewater Criteria'!$C$36)</f>
        <v>1876.9315393526981</v>
      </c>
      <c r="BD3" s="44">
        <f>(('Project W Pop Connected'!BE3*'Water Demand Criteria'!BH$17/1000)*('Wastewater Criteria'!$C$8+'Wastewater Criteria'!$C$10*'Water Demand Criteria'!BH$56+'Water Demand Criteria'!BH$37*'Wastewater Criteria'!$C$11)*(1+'Wastewater Criteria'!$C$23)+('Project Tankers'!BD3*'Wastewater Criteria'!$C$9))*(1+'Wastewater Criteria'!$C$36)</f>
        <v>1920.7088632863974</v>
      </c>
      <c r="BE3" s="44">
        <f>(('Project W Pop Connected'!BF3*'Water Demand Criteria'!BI$17/1000)*('Wastewater Criteria'!$C$8+'Wastewater Criteria'!$C$10*'Water Demand Criteria'!BI$56+'Water Demand Criteria'!BI$37*'Wastewater Criteria'!$C$11)*(1+'Wastewater Criteria'!$C$23)+('Project Tankers'!BE3*'Wastewater Criteria'!$C$9))*(1+'Wastewater Criteria'!$C$36)</f>
        <v>1965.5368429945065</v>
      </c>
      <c r="BF3" s="44">
        <f>(('Project W Pop Connected'!BG3*'Water Demand Criteria'!BJ$17/1000)*('Wastewater Criteria'!$C$8+'Wastewater Criteria'!$C$10*'Water Demand Criteria'!BJ$56+'Water Demand Criteria'!BJ$37*'Wastewater Criteria'!$C$11)*(1+'Wastewater Criteria'!$C$23)+('Project Tankers'!BF3*'Wastewater Criteria'!$C$9))*(1+'Wastewater Criteria'!$C$36)</f>
        <v>2011.4406942156095</v>
      </c>
      <c r="BG3" s="44">
        <f>(('Project W Pop Connected'!BH3*'Water Demand Criteria'!BK$17/1000)*('Wastewater Criteria'!$C$8+'Wastewater Criteria'!$C$10*'Water Demand Criteria'!BK$56+'Water Demand Criteria'!BK$37*'Wastewater Criteria'!$C$11)*(1+'Wastewater Criteria'!$C$23)+('Project Tankers'!BG3*'Wastewater Criteria'!$C$9))*(1+'Wastewater Criteria'!$C$36)</f>
        <v>2058.4462378660191</v>
      </c>
      <c r="BH3" s="44">
        <f>(('Project W Pop Connected'!BI3*'Water Demand Criteria'!BL$17/1000)*('Wastewater Criteria'!$C$8+'Wastewater Criteria'!$C$10*'Water Demand Criteria'!BL$56+'Water Demand Criteria'!BL$37*'Wastewater Criteria'!$C$11)*(1+'Wastewater Criteria'!$C$23)+('Project Tankers'!BH3*'Wastewater Criteria'!$C$9))*(1+'Wastewater Criteria'!$C$36)</f>
        <v>2106.5799145640381</v>
      </c>
      <c r="BI3" s="44">
        <f>(('Project W Pop Connected'!BJ3*'Water Demand Criteria'!BM$17/1000)*('Wastewater Criteria'!$C$8+'Wastewater Criteria'!$C$10*'Water Demand Criteria'!BM$56+'Water Demand Criteria'!BM$37*'Wastewater Criteria'!$C$11)*(1+'Wastewater Criteria'!$C$23)+('Project Tankers'!BI3*'Wastewater Criteria'!$C$9))*(1+'Wastewater Criteria'!$C$36)</f>
        <v>2155.8687995028104</v>
      </c>
      <c r="BJ3" s="44">
        <f>(('Project W Pop Connected'!BK3*'Water Demand Criteria'!BN$17/1000)*('Wastewater Criteria'!$C$8+'Wastewater Criteria'!$C$10*'Water Demand Criteria'!BN$56+'Water Demand Criteria'!BN$37*'Wastewater Criteria'!$C$11)*(1+'Wastewater Criteria'!$C$23)+('Project Tankers'!BJ3*'Wastewater Criteria'!$C$9))*(1+'Wastewater Criteria'!$C$36)</f>
        <v>2206.3406176801132</v>
      </c>
      <c r="BK3" s="44">
        <f>(('Project W Pop Connected'!BL3*'Water Demand Criteria'!BO$17/1000)*('Wastewater Criteria'!$C$8+'Wastewater Criteria'!$C$10*'Water Demand Criteria'!BO$56+'Water Demand Criteria'!BO$37*'Wastewater Criteria'!$C$11)*(1+'Wastewater Criteria'!$C$23)+('Project Tankers'!BK3*'Wastewater Criteria'!$C$9))*(1+'Wastewater Criteria'!$C$36)</f>
        <v>2258.0237594936702</v>
      </c>
      <c r="BL3" s="44">
        <f>(('Project W Pop Connected'!BM3*'Water Demand Criteria'!BP$17/1000)*('Wastewater Criteria'!$C$8+'Wastewater Criteria'!$C$10*'Water Demand Criteria'!BP$56+'Water Demand Criteria'!BP$37*'Wastewater Criteria'!$C$11)*(1+'Wastewater Criteria'!$C$23)+('Project Tankers'!BL3*'Wastewater Criteria'!$C$9))*(1+'Wastewater Criteria'!$C$36)</f>
        <v>2310.9472967107536</v>
      </c>
      <c r="BM3" s="44">
        <f>(('Project W Pop Connected'!BN3*'Water Demand Criteria'!BQ$17/1000)*('Wastewater Criteria'!$C$8+'Wastewater Criteria'!$C$10*'Water Demand Criteria'!BQ$56+'Water Demand Criteria'!BQ$37*'Wastewater Criteria'!$C$11)*(1+'Wastewater Criteria'!$C$23)+('Project Tankers'!BM3*'Wastewater Criteria'!$C$9))*(1+'Wastewater Criteria'!$C$36)</f>
        <v>2365.1409988210467</v>
      </c>
      <c r="BN3" s="44">
        <f>(('Project W Pop Connected'!BO3*'Water Demand Criteria'!BR$17/1000)*('Wastewater Criteria'!$C$8+'Wastewater Criteria'!$C$10*'Water Demand Criteria'!BR$56+'Water Demand Criteria'!BR$37*'Wastewater Criteria'!$C$11)*(1+'Wastewater Criteria'!$C$23)+('Project Tankers'!BN3*'Wastewater Criteria'!$C$9))*(1+'Wastewater Criteria'!$C$36)</f>
        <v>2420.6353497819864</v>
      </c>
      <c r="BO3" s="44">
        <f>(('Project W Pop Connected'!BP3*'Water Demand Criteria'!BS$17/1000)*('Wastewater Criteria'!$C$8+'Wastewater Criteria'!$C$10*'Water Demand Criteria'!BS$56+'Water Demand Criteria'!BS$37*'Wastewater Criteria'!$C$11)*(1+'Wastewater Criteria'!$C$23)+('Project Tankers'!BO3*'Wastewater Criteria'!$C$9))*(1+'Wastewater Criteria'!$C$36)</f>
        <v>2477.4615651659897</v>
      </c>
      <c r="BP3" s="44">
        <f>(('Project W Pop Connected'!BQ3*'Water Demand Criteria'!BT$17/1000)*('Wastewater Criteria'!$C$8+'Wastewater Criteria'!$C$10*'Water Demand Criteria'!BT$56+'Water Demand Criteria'!BT$37*'Wastewater Criteria'!$C$11)*(1+'Wastewater Criteria'!$C$23)+('Project Tankers'!BP3*'Wastewater Criteria'!$C$9))*(1+'Wastewater Criteria'!$C$36)</f>
        <v>2535.6516097192084</v>
      </c>
      <c r="BQ3" s="44">
        <f>(('Project W Pop Connected'!BR3*'Water Demand Criteria'!BU$17/1000)*('Wastewater Criteria'!$C$8+'Wastewater Criteria'!$C$10*'Water Demand Criteria'!BU$56+'Water Demand Criteria'!BU$37*'Wastewater Criteria'!$C$11)*(1+'Wastewater Criteria'!$C$23)+('Project Tankers'!BQ3*'Wastewater Criteria'!$C$9))*(1+'Wastewater Criteria'!$C$36)</f>
        <v>2595.2382153417043</v>
      </c>
      <c r="BR3" s="44">
        <f>(('Project W Pop Connected'!BS3*'Water Demand Criteria'!BV$17/1000)*('Wastewater Criteria'!$C$8+'Wastewater Criteria'!$C$10*'Water Demand Criteria'!BV$56+'Water Demand Criteria'!BV$37*'Wastewater Criteria'!$C$11)*(1+'Wastewater Criteria'!$C$23)+('Project Tankers'!BR3*'Wastewater Criteria'!$C$9))*(1+'Wastewater Criteria'!$C$36)</f>
        <v>2656.2548994991407</v>
      </c>
      <c r="BS3" s="44">
        <f>(('Project W Pop Connected'!BT3*'Water Demand Criteria'!BW$17/1000)*('Wastewater Criteria'!$C$8+'Wastewater Criteria'!$C$10*'Water Demand Criteria'!BW$56+'Water Demand Criteria'!BW$37*'Wastewater Criteria'!$C$11)*(1+'Wastewater Criteria'!$C$23)+('Project Tankers'!BS3*'Wastewater Criteria'!$C$9))*(1+'Wastewater Criteria'!$C$36)</f>
        <v>2718.7359840763547</v>
      </c>
      <c r="BT3" s="44">
        <f>(('Project W Pop Connected'!BU3*'Water Demand Criteria'!BX$17/1000)*('Wastewater Criteria'!$C$8+'Wastewater Criteria'!$C$10*'Water Demand Criteria'!BX$56+'Water Demand Criteria'!BX$37*'Wastewater Criteria'!$C$11)*(1+'Wastewater Criteria'!$C$23)+('Project Tankers'!BT3*'Wastewater Criteria'!$C$9))*(1+'Wastewater Criteria'!$C$36)</f>
        <v>2782.7166146834229</v>
      </c>
      <c r="BU3" s="44">
        <f>(('Project W Pop Connected'!BV3*'Water Demand Criteria'!BY$17/1000)*('Wastewater Criteria'!$C$8+'Wastewater Criteria'!$C$10*'Water Demand Criteria'!BY$56+'Water Demand Criteria'!BY$37*'Wastewater Criteria'!$C$11)*(1+'Wastewater Criteria'!$C$23)+('Project Tankers'!BU3*'Wastewater Criteria'!$C$9))*(1+'Wastewater Criteria'!$C$36)</f>
        <v>2848.2327804250599</v>
      </c>
      <c r="BV3" s="44">
        <f>(('Project W Pop Connected'!BW3*'Water Demand Criteria'!BZ$17/1000)*('Wastewater Criteria'!$C$8+'Wastewater Criteria'!$C$10*'Water Demand Criteria'!BZ$56+'Water Demand Criteria'!BZ$37*'Wastewater Criteria'!$C$11)*(1+'Wastewater Criteria'!$C$23)+('Project Tankers'!BV3*'Wastewater Criteria'!$C$9))*(1+'Wastewater Criteria'!$C$36)</f>
        <v>2915.3213341444966</v>
      </c>
      <c r="BW3" s="44">
        <f>(('Project W Pop Connected'!BX3*'Water Demand Criteria'!CA$17/1000)*('Wastewater Criteria'!$C$8+'Wastewater Criteria'!$C$10*'Water Demand Criteria'!CA$56+'Water Demand Criteria'!CA$37*'Wastewater Criteria'!$C$11)*(1+'Wastewater Criteria'!$C$23)+('Project Tankers'!BW3*'Wastewater Criteria'!$C$9))*(1+'Wastewater Criteria'!$C$36)</f>
        <v>2984.0200131532006</v>
      </c>
      <c r="BX3" s="44">
        <f>(('Project W Pop Connected'!BY3*'Water Demand Criteria'!CB$17/1000)*('Wastewater Criteria'!$C$8+'Wastewater Criteria'!$C$10*'Water Demand Criteria'!CB$56+'Water Demand Criteria'!CB$37*'Wastewater Criteria'!$C$11)*(1+'Wastewater Criteria'!$C$23)+('Project Tankers'!BX3*'Wastewater Criteria'!$C$9))*(1+'Wastewater Criteria'!$C$36)</f>
        <v>3054.3674604581115</v>
      </c>
      <c r="BY3" s="44">
        <f>(('Project W Pop Connected'!BZ3*'Water Demand Criteria'!CC$17/1000)*('Wastewater Criteria'!$C$8+'Wastewater Criteria'!$C$10*'Water Demand Criteria'!CC$56+'Water Demand Criteria'!CC$37*'Wastewater Criteria'!$C$11)*(1+'Wastewater Criteria'!$C$23)+('Project Tankers'!BY3*'Wastewater Criteria'!$C$9))*(1+'Wastewater Criteria'!$C$36)</f>
        <v>3126.4032464983411</v>
      </c>
      <c r="BZ3" s="44">
        <f>(('Project W Pop Connected'!CA3*'Water Demand Criteria'!CD$17/1000)*('Wastewater Criteria'!$C$8+'Wastewater Criteria'!$C$10*'Water Demand Criteria'!CD$56+'Water Demand Criteria'!CD$37*'Wastewater Criteria'!$C$11)*(1+'Wastewater Criteria'!$C$23)+('Project Tankers'!BZ3*'Wastewater Criteria'!$C$9))*(1+'Wastewater Criteria'!$C$36)</f>
        <v>3200.167891403536</v>
      </c>
      <c r="CA3" s="44">
        <f>(('Project W Pop Connected'!CB3*'Water Demand Criteria'!CE$17/1000)*('Wastewater Criteria'!$C$8+'Wastewater Criteria'!$C$10*'Water Demand Criteria'!CE$56+'Water Demand Criteria'!CE$37*'Wastewater Criteria'!$C$11)*(1+'Wastewater Criteria'!$C$23)+('Project Tankers'!CA3*'Wastewater Criteria'!$C$9))*(1+'Wastewater Criteria'!$C$36)</f>
        <v>3275.7028877864564</v>
      </c>
    </row>
    <row r="4" spans="1:79" x14ac:dyDescent="0.25">
      <c r="A4" s="33">
        <v>3</v>
      </c>
      <c r="B4" s="36" t="s">
        <v>55</v>
      </c>
      <c r="C4" s="34">
        <f>(('Project W Pop Connected'!D4*'Water Demand Criteria'!G$17/1000)*('Wastewater Criteria'!$C$8+'Wastewater Criteria'!$C$10*'Water Demand Criteria'!G$56+'Water Demand Criteria'!G$37*'Wastewater Criteria'!$C$11)*(1+'Wastewater Criteria'!$C$23)+('Project Tankers'!C4*'Wastewater Criteria'!$C$9))*(1+'Wastewater Criteria'!$C$36)</f>
        <v>26.85755622050052</v>
      </c>
      <c r="D4" s="34">
        <f>(('Project W Pop Connected'!E4*'Water Demand Criteria'!H$17/1000)*('Wastewater Criteria'!$C$8+'Wastewater Criteria'!$C$10*'Water Demand Criteria'!H$56+'Water Demand Criteria'!H$37*'Wastewater Criteria'!$C$11)*(1+'Wastewater Criteria'!$C$23)+('Project Tankers'!D4*'Wastewater Criteria'!$C$9))*(1+'Wastewater Criteria'!$C$36)</f>
        <v>28.618517066668055</v>
      </c>
      <c r="E4" s="34">
        <f>(('Project W Pop Connected'!F4*'Water Demand Criteria'!I$17/1000)*('Wastewater Criteria'!$C$8+'Wastewater Criteria'!$C$10*'Water Demand Criteria'!I$56+'Water Demand Criteria'!I$37*'Wastewater Criteria'!$C$11)*(1+'Wastewater Criteria'!$C$23)+('Project Tankers'!E4*'Wastewater Criteria'!$C$9))*(1+'Wastewater Criteria'!$C$36)</f>
        <v>30.539204960682572</v>
      </c>
      <c r="F4" s="34">
        <f>(('Project W Pop Connected'!G4*'Water Demand Criteria'!J$17/1000)*('Wastewater Criteria'!$C$8+'Wastewater Criteria'!$C$10*'Water Demand Criteria'!J$56+'Water Demand Criteria'!J$37*'Wastewater Criteria'!$C$11)*(1+'Wastewater Criteria'!$C$23)+('Project Tankers'!F4*'Wastewater Criteria'!$C$9))*(1+'Wastewater Criteria'!$C$36)</f>
        <v>32.537398015991769</v>
      </c>
      <c r="G4" s="34">
        <f>(('Project W Pop Connected'!H4*'Water Demand Criteria'!K$17/1000)*('Wastewater Criteria'!$C$8+'Wastewater Criteria'!$C$10*'Water Demand Criteria'!K$56+'Water Demand Criteria'!K$37*'Wastewater Criteria'!$C$11)*(1+'Wastewater Criteria'!$C$23)+('Project Tankers'!G4*'Wastewater Criteria'!$C$9))*(1+'Wastewater Criteria'!$C$36)</f>
        <v>34.616471547334442</v>
      </c>
      <c r="H4" s="34">
        <f>(('Project W Pop Connected'!I4*'Water Demand Criteria'!L$17/1000)*('Wastewater Criteria'!$C$8+'Wastewater Criteria'!$C$10*'Water Demand Criteria'!L$56+'Water Demand Criteria'!L$37*'Wastewater Criteria'!$C$11)*(1+'Wastewater Criteria'!$C$23)+('Project Tankers'!H4*'Wastewater Criteria'!$C$9))*(1+'Wastewater Criteria'!$C$36)</f>
        <v>36.778431946923199</v>
      </c>
      <c r="I4" s="34">
        <f>(('Project W Pop Connected'!J4*'Water Demand Criteria'!M$17/1000)*('Wastewater Criteria'!$C$8+'Wastewater Criteria'!$C$10*'Water Demand Criteria'!M$56+'Water Demand Criteria'!M$37*'Wastewater Criteria'!$C$11)*(1+'Wastewater Criteria'!$C$23)+('Project Tankers'!I4*'Wastewater Criteria'!$C$9))*(1+'Wastewater Criteria'!$C$36)</f>
        <v>38.876444045263248</v>
      </c>
      <c r="J4" s="34">
        <f>(('Project W Pop Connected'!K4*'Water Demand Criteria'!N$17/1000)*('Wastewater Criteria'!$C$8+'Wastewater Criteria'!$C$10*'Water Demand Criteria'!N$56+'Water Demand Criteria'!N$37*'Wastewater Criteria'!$C$11)*(1+'Wastewater Criteria'!$C$23)+('Project Tankers'!J4*'Wastewater Criteria'!$C$9))*(1+'Wastewater Criteria'!$C$36)</f>
        <v>41.197861988704226</v>
      </c>
      <c r="K4" s="34">
        <f>(('Project W Pop Connected'!L4*'Water Demand Criteria'!O$17/1000)*('Wastewater Criteria'!$C$8+'Wastewater Criteria'!$C$10*'Water Demand Criteria'!O$56+'Water Demand Criteria'!O$37*'Wastewater Criteria'!$C$11)*(1+'Wastewater Criteria'!$C$23)+('Project Tankers'!K4*'Wastewater Criteria'!$C$9))*(1+'Wastewater Criteria'!$C$36)</f>
        <v>43.609737644842163</v>
      </c>
      <c r="L4" s="34">
        <f>(('Project W Pop Connected'!M4*'Water Demand Criteria'!P$17/1000)*('Wastewater Criteria'!$C$8+'Wastewater Criteria'!$C$10*'Water Demand Criteria'!P$56+'Water Demand Criteria'!P$37*'Wastewater Criteria'!$C$11)*(1+'Wastewater Criteria'!$C$23)+('Project Tankers'!L4*'Wastewater Criteria'!$C$9))*(1+'Wastewater Criteria'!$C$36)</f>
        <v>45.595456851410653</v>
      </c>
      <c r="M4" s="34">
        <f>(('Project W Pop Connected'!N4*'Water Demand Criteria'!Q$17/1000)*('Wastewater Criteria'!$C$8+'Wastewater Criteria'!$C$10*'Water Demand Criteria'!Q$56+'Water Demand Criteria'!Q$37*'Wastewater Criteria'!$C$11)*(1+'Wastewater Criteria'!$C$23)+('Project Tankers'!M4*'Wastewater Criteria'!$C$9))*(1+'Wastewater Criteria'!$C$36)</f>
        <v>48.72581073074393</v>
      </c>
      <c r="N4" s="34">
        <f>(('Project W Pop Connected'!O4*'Water Demand Criteria'!R$17/1000)*('Wastewater Criteria'!$C$8+'Wastewater Criteria'!$C$10*'Water Demand Criteria'!R$56+'Water Demand Criteria'!R$37*'Wastewater Criteria'!$C$11)*(1+'Wastewater Criteria'!$C$23)+('Project Tankers'!N4*'Wastewater Criteria'!$C$9))*(1+'Wastewater Criteria'!$C$36)</f>
        <v>51.220636939797238</v>
      </c>
      <c r="O4" s="34">
        <f>(('Project W Pop Connected'!P4*'Water Demand Criteria'!S$17/1000)*('Wastewater Criteria'!$C$8+'Wastewater Criteria'!$C$10*'Water Demand Criteria'!S$56+'Water Demand Criteria'!S$37*'Wastewater Criteria'!$C$11)*(1+'Wastewater Criteria'!$C$23)+('Project Tankers'!O4*'Wastewater Criteria'!$C$9))*(1+'Wastewater Criteria'!$C$36)</f>
        <v>52.431786031003234</v>
      </c>
      <c r="P4" s="34">
        <f>(('Project W Pop Connected'!Q4*'Water Demand Criteria'!T$17/1000)*('Wastewater Criteria'!$C$8+'Wastewater Criteria'!$C$10*'Water Demand Criteria'!T$56+'Water Demand Criteria'!T$37*'Wastewater Criteria'!$C$11)*(1+'Wastewater Criteria'!$C$23)+('Project Tankers'!P4*'Wastewater Criteria'!$C$9))*(1+'Wastewater Criteria'!$C$36)</f>
        <v>53.690697654501108</v>
      </c>
      <c r="Q4" s="34">
        <f>(('Project W Pop Connected'!R4*'Water Demand Criteria'!U$17/1000)*('Wastewater Criteria'!$C$8+'Wastewater Criteria'!$C$10*'Water Demand Criteria'!U$56+'Water Demand Criteria'!U$37*'Wastewater Criteria'!$C$11)*(1+'Wastewater Criteria'!$C$23)+('Project Tankers'!Q4*'Wastewater Criteria'!$C$9))*(1+'Wastewater Criteria'!$C$36)</f>
        <v>54.993876990854837</v>
      </c>
      <c r="R4" s="34">
        <f>(('Project W Pop Connected'!S4*'Water Demand Criteria'!V$17/1000)*('Wastewater Criteria'!$C$8+'Wastewater Criteria'!$C$10*'Water Demand Criteria'!V$56+'Water Demand Criteria'!V$37*'Wastewater Criteria'!$C$11)*(1+'Wastewater Criteria'!$C$23)+('Project Tankers'!R4*'Wastewater Criteria'!$C$9))*(1+'Wastewater Criteria'!$C$36)</f>
        <v>56.352973438184435</v>
      </c>
      <c r="S4" s="34">
        <f>(('Project W Pop Connected'!T4*'Water Demand Criteria'!W$17/1000)*('Wastewater Criteria'!$C$8+'Wastewater Criteria'!$C$10*'Water Demand Criteria'!W$56+'Water Demand Criteria'!W$37*'Wastewater Criteria'!$C$11)*(1+'Wastewater Criteria'!$C$23)+('Project Tankers'!S4*'Wastewater Criteria'!$C$9))*(1+'Wastewater Criteria'!$C$36)</f>
        <v>57.484324152268663</v>
      </c>
      <c r="T4" s="34">
        <f>(('Project W Pop Connected'!U4*'Water Demand Criteria'!X$17/1000)*('Wastewater Criteria'!$C$8+'Wastewater Criteria'!$C$10*'Water Demand Criteria'!X$56+'Water Demand Criteria'!X$37*'Wastewater Criteria'!$C$11)*(1+'Wastewater Criteria'!$C$23)+('Project Tankers'!T4*'Wastewater Criteria'!$C$9))*(1+'Wastewater Criteria'!$C$36)</f>
        <v>58.498154237172884</v>
      </c>
      <c r="U4" s="34">
        <f>(('Project W Pop Connected'!V4*'Water Demand Criteria'!Y$17/1000)*('Wastewater Criteria'!$C$8+'Wastewater Criteria'!$C$10*'Water Demand Criteria'!Y$56+'Water Demand Criteria'!Y$37*'Wastewater Criteria'!$C$11)*(1+'Wastewater Criteria'!$C$23)+('Project Tankers'!U4*'Wastewater Criteria'!$C$9))*(1+'Wastewater Criteria'!$C$36)</f>
        <v>59.558269876172233</v>
      </c>
      <c r="V4" s="34">
        <f>(('Project W Pop Connected'!W4*'Water Demand Criteria'!Z$17/1000)*('Wastewater Criteria'!$C$8+'Wastewater Criteria'!$C$10*'Water Demand Criteria'!Z$56+'Water Demand Criteria'!Z$37*'Wastewater Criteria'!$C$11)*(1+'Wastewater Criteria'!$C$23)+('Project Tankers'!V4*'Wastewater Criteria'!$C$9))*(1+'Wastewater Criteria'!$C$36)</f>
        <v>60.651387930190502</v>
      </c>
      <c r="W4" s="34">
        <f>(('Project W Pop Connected'!X4*'Water Demand Criteria'!AA$17/1000)*('Wastewater Criteria'!$C$8+'Wastewater Criteria'!$C$10*'Water Demand Criteria'!AA$56+'Water Demand Criteria'!AA$37*'Wastewater Criteria'!$C$11)*(1+'Wastewater Criteria'!$C$23)+('Project Tankers'!W4*'Wastewater Criteria'!$C$9))*(1+'Wastewater Criteria'!$C$36)</f>
        <v>61.779779573123349</v>
      </c>
      <c r="X4" s="34">
        <f>(('Project W Pop Connected'!Y4*'Water Demand Criteria'!AB$17/1000)*('Wastewater Criteria'!$C$8+'Wastewater Criteria'!$C$10*'Water Demand Criteria'!AB$56+'Water Demand Criteria'!AB$37*'Wastewater Criteria'!$C$11)*(1+'Wastewater Criteria'!$C$23)+('Project Tankers'!X4*'Wastewater Criteria'!$C$9))*(1+'Wastewater Criteria'!$C$36)</f>
        <v>62.945715978899131</v>
      </c>
      <c r="Y4" s="34">
        <f>(('Project W Pop Connected'!Z4*'Water Demand Criteria'!AC$17/1000)*('Wastewater Criteria'!$C$8+'Wastewater Criteria'!$C$10*'Water Demand Criteria'!AC$56+'Water Demand Criteria'!AC$37*'Wastewater Criteria'!$C$11)*(1+'Wastewater Criteria'!$C$23)+('Project Tankers'!Y4*'Wastewater Criteria'!$C$9))*(1+'Wastewater Criteria'!$C$36)</f>
        <v>64.151468323209954</v>
      </c>
      <c r="Z4" s="34">
        <f>(('Project W Pop Connected'!AA4*'Water Demand Criteria'!AD$17/1000)*('Wastewater Criteria'!$C$8+'Wastewater Criteria'!$C$10*'Water Demand Criteria'!AD$56+'Water Demand Criteria'!AD$37*'Wastewater Criteria'!$C$11)*(1+'Wastewater Criteria'!$C$23)+('Project Tankers'!Z4*'Wastewater Criteria'!$C$9))*(1+'Wastewater Criteria'!$C$36)</f>
        <v>65.3993077787581</v>
      </c>
      <c r="AA4" s="34">
        <f>(('Project W Pop Connected'!AB4*'Water Demand Criteria'!AE$17/1000)*('Wastewater Criteria'!$C$8+'Wastewater Criteria'!$C$10*'Water Demand Criteria'!AE$56+'Water Demand Criteria'!AE$37*'Wastewater Criteria'!$C$11)*(1+'Wastewater Criteria'!$C$23)+('Project Tankers'!AA4*'Wastewater Criteria'!$C$9))*(1+'Wastewater Criteria'!$C$36)</f>
        <v>66.691505523174897</v>
      </c>
      <c r="AB4" s="34">
        <f>(('Project W Pop Connected'!AC4*'Water Demand Criteria'!AF$17/1000)*('Wastewater Criteria'!$C$8+'Wastewater Criteria'!$C$10*'Water Demand Criteria'!AF$56+'Water Demand Criteria'!AF$37*'Wastewater Criteria'!$C$11)*(1+'Wastewater Criteria'!$C$23)+('Project Tankers'!AB4*'Wastewater Criteria'!$C$9))*(1+'Wastewater Criteria'!$C$36)</f>
        <v>68.030332727454876</v>
      </c>
      <c r="AC4" s="34">
        <f>(('Project W Pop Connected'!AD4*'Water Demand Criteria'!AG$17/1000)*('Wastewater Criteria'!$C$8+'Wastewater Criteria'!$C$10*'Water Demand Criteria'!AG$56+'Water Demand Criteria'!AG$37*'Wastewater Criteria'!$C$11)*(1+'Wastewater Criteria'!$C$23)+('Project Tankers'!AC4*'Wastewater Criteria'!$C$9))*(1+'Wastewater Criteria'!$C$36)</f>
        <v>69.41806057036905</v>
      </c>
      <c r="AD4" s="44">
        <f>(('Project W Pop Connected'!AE4*'Water Demand Criteria'!AH$17/1000)*('Wastewater Criteria'!$C$8+'Wastewater Criteria'!$C$10*'Water Demand Criteria'!AH$56+'Water Demand Criteria'!AH$37*'Wastewater Criteria'!$C$11)*(1+'Wastewater Criteria'!$C$23)+('Project Tankers'!AD4*'Wastewater Criteria'!$C$9))*(1+'Wastewater Criteria'!$C$36)</f>
        <v>71.687007735320009</v>
      </c>
      <c r="AE4" s="44">
        <f>(('Project W Pop Connected'!AF4*'Water Demand Criteria'!AI$17/1000)*('Wastewater Criteria'!$C$8+'Wastewater Criteria'!$C$10*'Water Demand Criteria'!AI$56+'Water Demand Criteria'!AI$37*'Wastewater Criteria'!$C$11)*(1+'Wastewater Criteria'!$C$23)+('Project Tankers'!AE4*'Wastewater Criteria'!$C$9))*(1+'Wastewater Criteria'!$C$36)</f>
        <v>74.044891393477755</v>
      </c>
      <c r="AF4" s="44">
        <f>(('Project W Pop Connected'!AG4*'Water Demand Criteria'!AJ$17/1000)*('Wastewater Criteria'!$C$8+'Wastewater Criteria'!$C$10*'Water Demand Criteria'!AJ$56+'Water Demand Criteria'!AJ$37*'Wastewater Criteria'!$C$11)*(1+'Wastewater Criteria'!$C$23)+('Project Tankers'!AF4*'Wastewater Criteria'!$C$9))*(1+'Wastewater Criteria'!$C$36)</f>
        <v>76.495762505865386</v>
      </c>
      <c r="AG4" s="44">
        <f>(('Project W Pop Connected'!AH4*'Water Demand Criteria'!AK$17/1000)*('Wastewater Criteria'!$C$8+'Wastewater Criteria'!$C$10*'Water Demand Criteria'!AK$56+'Water Demand Criteria'!AK$37*'Wastewater Criteria'!$C$11)*(1+'Wastewater Criteria'!$C$23)+('Project Tankers'!AG4*'Wastewater Criteria'!$C$9))*(1+'Wastewater Criteria'!$C$36)</f>
        <v>79.043871812877214</v>
      </c>
      <c r="AH4" s="44">
        <f>(('Project W Pop Connected'!AI4*'Water Demand Criteria'!AL$17/1000)*('Wastewater Criteria'!$C$8+'Wastewater Criteria'!$C$10*'Water Demand Criteria'!AL$56+'Water Demand Criteria'!AL$37*'Wastewater Criteria'!$C$11)*(1+'Wastewater Criteria'!$C$23)+('Project Tankers'!AH4*'Wastewater Criteria'!$C$9))*(1+'Wastewater Criteria'!$C$36)</f>
        <v>81.693680572293218</v>
      </c>
      <c r="AI4" s="44">
        <f>(('Project W Pop Connected'!AJ4*'Water Demand Criteria'!AM$17/1000)*('Wastewater Criteria'!$C$8+'Wastewater Criteria'!$C$10*'Water Demand Criteria'!AM$56+'Water Demand Criteria'!AM$37*'Wastewater Criteria'!$C$11)*(1+'Wastewater Criteria'!$C$23)+('Project Tankers'!AI4*'Wastewater Criteria'!$C$9))*(1+'Wastewater Criteria'!$C$36)</f>
        <v>84.449871911068684</v>
      </c>
      <c r="AJ4" s="44">
        <f>(('Project W Pop Connected'!AK4*'Water Demand Criteria'!AN$17/1000)*('Wastewater Criteria'!$C$8+'Wastewater Criteria'!$C$10*'Water Demand Criteria'!AN$56+'Water Demand Criteria'!AN$37*'Wastewater Criteria'!$C$11)*(1+'Wastewater Criteria'!$C$23)+('Project Tankers'!AJ4*'Wastewater Criteria'!$C$9))*(1+'Wastewater Criteria'!$C$36)</f>
        <v>87.317362828177906</v>
      </c>
      <c r="AK4" s="44">
        <f>(('Project W Pop Connected'!AL4*'Water Demand Criteria'!AO$17/1000)*('Wastewater Criteria'!$C$8+'Wastewater Criteria'!$C$10*'Water Demand Criteria'!AO$56+'Water Demand Criteria'!AO$37*'Wastewater Criteria'!$C$11)*(1+'Wastewater Criteria'!$C$23)+('Project Tankers'!AK4*'Wastewater Criteria'!$C$9))*(1+'Wastewater Criteria'!$C$36)</f>
        <v>90.285515588862552</v>
      </c>
      <c r="AL4" s="44">
        <f>(('Project W Pop Connected'!AM4*'Water Demand Criteria'!AP$17/1000)*('Wastewater Criteria'!$C$8+'Wastewater Criteria'!$C$10*'Water Demand Criteria'!AP$56+'Water Demand Criteria'!AP$37*'Wastewater Criteria'!$C$11)*(1+'Wastewater Criteria'!$C$23)+('Project Tankers'!AL4*'Wastewater Criteria'!$C$9))*(1+'Wastewater Criteria'!$C$36)</f>
        <v>93.348344029379049</v>
      </c>
      <c r="AM4" s="44">
        <f>(('Project W Pop Connected'!AN4*'Water Demand Criteria'!AQ$17/1000)*('Wastewater Criteria'!$C$8+'Wastewater Criteria'!$C$10*'Water Demand Criteria'!AQ$56+'Water Demand Criteria'!AQ$37*'Wastewater Criteria'!$C$11)*(1+'Wastewater Criteria'!$C$23)+('Project Tankers'!AM4*'Wastewater Criteria'!$C$9))*(1+'Wastewater Criteria'!$C$36)</f>
        <v>96.508682926369119</v>
      </c>
      <c r="AN4" s="44">
        <f>(('Project W Pop Connected'!AO4*'Water Demand Criteria'!AR$17/1000)*('Wastewater Criteria'!$C$8+'Wastewater Criteria'!$C$10*'Water Demand Criteria'!AR$56+'Water Demand Criteria'!AR$37*'Wastewater Criteria'!$C$11)*(1+'Wastewater Criteria'!$C$23)+('Project Tankers'!AN4*'Wastewater Criteria'!$C$9))*(1+'Wastewater Criteria'!$C$36)</f>
        <v>99.769448592561744</v>
      </c>
      <c r="AO4" s="44">
        <f>(('Project W Pop Connected'!AP4*'Water Demand Criteria'!AS$17/1000)*('Wastewater Criteria'!$C$8+'Wastewater Criteria'!$C$10*'Water Demand Criteria'!AS$56+'Water Demand Criteria'!AS$37*'Wastewater Criteria'!$C$11)*(1+'Wastewater Criteria'!$C$23)+('Project Tankers'!AO4*'Wastewater Criteria'!$C$9))*(1+'Wastewater Criteria'!$C$36)</f>
        <v>103.13364115767403</v>
      </c>
      <c r="AP4" s="44">
        <f>(('Project W Pop Connected'!AQ4*'Water Demand Criteria'!AT$17/1000)*('Wastewater Criteria'!$C$8+'Wastewater Criteria'!$C$10*'Water Demand Criteria'!AT$56+'Water Demand Criteria'!AT$37*'Wastewater Criteria'!$C$11)*(1+'Wastewater Criteria'!$C$23)+('Project Tankers'!AP4*'Wastewater Criteria'!$C$9))*(1+'Wastewater Criteria'!$C$36)</f>
        <v>106.60434691183038</v>
      </c>
      <c r="AQ4" s="44">
        <f>(('Project W Pop Connected'!AR4*'Water Demand Criteria'!AU$17/1000)*('Wastewater Criteria'!$C$8+'Wastewater Criteria'!$C$10*'Water Demand Criteria'!AU$56+'Water Demand Criteria'!AU$37*'Wastewater Criteria'!$C$11)*(1+'Wastewater Criteria'!$C$23)+('Project Tankers'!AQ4*'Wastewater Criteria'!$C$9))*(1+'Wastewater Criteria'!$C$36)</f>
        <v>110.18474071318737</v>
      </c>
      <c r="AR4" s="44">
        <f>(('Project W Pop Connected'!AS4*'Water Demand Criteria'!AV$17/1000)*('Wastewater Criteria'!$C$8+'Wastewater Criteria'!$C$10*'Water Demand Criteria'!AV$56+'Water Demand Criteria'!AV$37*'Wastewater Criteria'!$C$11)*(1+'Wastewater Criteria'!$C$23)+('Project Tankers'!AR4*'Wastewater Criteria'!$C$9))*(1+'Wastewater Criteria'!$C$36)</f>
        <v>113.87808846149626</v>
      </c>
      <c r="AS4" s="44">
        <f>(('Project W Pop Connected'!AT4*'Water Demand Criteria'!AW$17/1000)*('Wastewater Criteria'!$C$8+'Wastewater Criteria'!$C$10*'Water Demand Criteria'!AW$56+'Water Demand Criteria'!AW$37*'Wastewater Criteria'!$C$11)*(1+'Wastewater Criteria'!$C$23)+('Project Tankers'!AS4*'Wastewater Criteria'!$C$9))*(1+'Wastewater Criteria'!$C$36)</f>
        <v>117.68774963938117</v>
      </c>
      <c r="AT4" s="44">
        <f>(('Project W Pop Connected'!AU4*'Water Demand Criteria'!AX$17/1000)*('Wastewater Criteria'!$C$8+'Wastewater Criteria'!$C$10*'Water Demand Criteria'!AX$56+'Water Demand Criteria'!AX$37*'Wastewater Criteria'!$C$11)*(1+'Wastewater Criteria'!$C$23)+('Project Tankers'!AT4*'Wastewater Criteria'!$C$9))*(1+'Wastewater Criteria'!$C$36)</f>
        <v>121.61717992315869</v>
      </c>
      <c r="AU4" s="44">
        <f>(('Project W Pop Connected'!AV4*'Water Demand Criteria'!AY$17/1000)*('Wastewater Criteria'!$C$8+'Wastewater Criteria'!$C$10*'Water Demand Criteria'!AY$56+'Water Demand Criteria'!AY$37*'Wastewater Criteria'!$C$11)*(1+'Wastewater Criteria'!$C$23)+('Project Tankers'!AU4*'Wastewater Criteria'!$C$9))*(1+'Wastewater Criteria'!$C$36)</f>
        <v>125.66993386507329</v>
      </c>
      <c r="AV4" s="44">
        <f>(('Project W Pop Connected'!AW4*'Water Demand Criteria'!AZ$17/1000)*('Wastewater Criteria'!$C$8+'Wastewater Criteria'!$C$10*'Water Demand Criteria'!AZ$56+'Water Demand Criteria'!AZ$37*'Wastewater Criteria'!$C$11)*(1+'Wastewater Criteria'!$C$23)+('Project Tankers'!AV4*'Wastewater Criteria'!$C$9))*(1+'Wastewater Criteria'!$C$36)</f>
        <v>129.84966764887201</v>
      </c>
      <c r="AW4" s="44">
        <f>(('Project W Pop Connected'!AX4*'Water Demand Criteria'!BA$17/1000)*('Wastewater Criteria'!$C$8+'Wastewater Criteria'!$C$10*'Water Demand Criteria'!BA$56+'Water Demand Criteria'!BA$37*'Wastewater Criteria'!$C$11)*(1+'Wastewater Criteria'!$C$23)+('Project Tankers'!AW4*'Wastewater Criteria'!$C$9))*(1+'Wastewater Criteria'!$C$36)</f>
        <v>134.16014192069471</v>
      </c>
      <c r="AX4" s="44">
        <f>(('Project W Pop Connected'!AY4*'Water Demand Criteria'!BB$17/1000)*('Wastewater Criteria'!$C$8+'Wastewater Criteria'!$C$10*'Water Demand Criteria'!BB$56+'Water Demand Criteria'!BB$37*'Wastewater Criteria'!$C$11)*(1+'Wastewater Criteria'!$C$23)+('Project Tankers'!AX4*'Wastewater Criteria'!$C$9))*(1+'Wastewater Criteria'!$C$36)</f>
        <v>137.27585414729225</v>
      </c>
      <c r="AY4" s="44">
        <f>(('Project W Pop Connected'!AZ4*'Water Demand Criteria'!BC$17/1000)*('Wastewater Criteria'!$C$8+'Wastewater Criteria'!$C$10*'Water Demand Criteria'!BC$56+'Water Demand Criteria'!BC$37*'Wastewater Criteria'!$C$11)*(1+'Wastewater Criteria'!$C$23)+('Project Tankers'!AY4*'Wastewater Criteria'!$C$9))*(1+'Wastewater Criteria'!$C$36)</f>
        <v>140.4663434673281</v>
      </c>
      <c r="AZ4" s="44">
        <f>(('Project W Pop Connected'!BA4*'Water Demand Criteria'!BD$17/1000)*('Wastewater Criteria'!$C$8+'Wastewater Criteria'!$C$10*'Water Demand Criteria'!BD$56+'Water Demand Criteria'!BD$37*'Wastewater Criteria'!$C$11)*(1+'Wastewater Criteria'!$C$23)+('Project Tankers'!AZ4*'Wastewater Criteria'!$C$9))*(1+'Wastewater Criteria'!$C$36)</f>
        <v>143.73340453104484</v>
      </c>
      <c r="BA4" s="44">
        <f>(('Project W Pop Connected'!BB4*'Water Demand Criteria'!BE$17/1000)*('Wastewater Criteria'!$C$8+'Wastewater Criteria'!$C$10*'Water Demand Criteria'!BE$56+'Water Demand Criteria'!BE$37*'Wastewater Criteria'!$C$11)*(1+'Wastewater Criteria'!$C$23)+('Project Tankers'!BA4*'Wastewater Criteria'!$C$9))*(1+'Wastewater Criteria'!$C$36)</f>
        <v>147.07887506029073</v>
      </c>
      <c r="BB4" s="44">
        <f>(('Project W Pop Connected'!BC4*'Water Demand Criteria'!BF$17/1000)*('Wastewater Criteria'!$C$8+'Wastewater Criteria'!$C$10*'Water Demand Criteria'!BF$56+'Water Demand Criteria'!BF$37*'Wastewater Criteria'!$C$11)*(1+'Wastewater Criteria'!$C$23)+('Project Tankers'!BB4*'Wastewater Criteria'!$C$9))*(1+'Wastewater Criteria'!$C$36)</f>
        <v>150.50463688223857</v>
      </c>
      <c r="BC4" s="44">
        <f>(('Project W Pop Connected'!BD4*'Water Demand Criteria'!BG$17/1000)*('Wastewater Criteria'!$C$8+'Wastewater Criteria'!$C$10*'Water Demand Criteria'!BG$56+'Water Demand Criteria'!BG$37*'Wastewater Criteria'!$C$11)*(1+'Wastewater Criteria'!$C$23)+('Project Tankers'!BC4*'Wastewater Criteria'!$C$9))*(1+'Wastewater Criteria'!$C$36)</f>
        <v>154.01261698791313</v>
      </c>
      <c r="BD4" s="44">
        <f>(('Project W Pop Connected'!BE4*'Water Demand Criteria'!BH$17/1000)*('Wastewater Criteria'!$C$8+'Wastewater Criteria'!$C$10*'Water Demand Criteria'!BH$56+'Water Demand Criteria'!BH$37*'Wastewater Criteria'!$C$11)*(1+'Wastewater Criteria'!$C$23)+('Project Tankers'!BD4*'Wastewater Criteria'!$C$9))*(1+'Wastewater Criteria'!$C$36)</f>
        <v>157.60478861612387</v>
      </c>
      <c r="BE4" s="44">
        <f>(('Project W Pop Connected'!BF4*'Water Demand Criteria'!BI$17/1000)*('Wastewater Criteria'!$C$8+'Wastewater Criteria'!$C$10*'Water Demand Criteria'!BI$56+'Water Demand Criteria'!BI$37*'Wastewater Criteria'!$C$11)*(1+'Wastewater Criteria'!$C$23)+('Project Tankers'!BE4*'Wastewater Criteria'!$C$9))*(1+'Wastewater Criteria'!$C$36)</f>
        <v>161.28317236341169</v>
      </c>
      <c r="BF4" s="44">
        <f>(('Project W Pop Connected'!BG4*'Water Demand Criteria'!BJ$17/1000)*('Wastewater Criteria'!$C$8+'Wastewater Criteria'!$C$10*'Water Demand Criteria'!BJ$56+'Water Demand Criteria'!BJ$37*'Wastewater Criteria'!$C$11)*(1+'Wastewater Criteria'!$C$23)+('Project Tankers'!BF4*'Wastewater Criteria'!$C$9))*(1+'Wastewater Criteria'!$C$36)</f>
        <v>165.04983732063442</v>
      </c>
      <c r="BG4" s="44">
        <f>(('Project W Pop Connected'!BH4*'Water Demand Criteria'!BK$17/1000)*('Wastewater Criteria'!$C$8+'Wastewater Criteria'!$C$10*'Water Demand Criteria'!BK$56+'Water Demand Criteria'!BK$37*'Wastewater Criteria'!$C$11)*(1+'Wastewater Criteria'!$C$23)+('Project Tankers'!BG4*'Wastewater Criteria'!$C$9))*(1+'Wastewater Criteria'!$C$36)</f>
        <v>168.90690223683046</v>
      </c>
      <c r="BH4" s="44">
        <f>(('Project W Pop Connected'!BI4*'Water Demand Criteria'!BL$17/1000)*('Wastewater Criteria'!$C$8+'Wastewater Criteria'!$C$10*'Water Demand Criteria'!BL$56+'Water Demand Criteria'!BL$37*'Wastewater Criteria'!$C$11)*(1+'Wastewater Criteria'!$C$23)+('Project Tankers'!BH4*'Wastewater Criteria'!$C$9))*(1+'Wastewater Criteria'!$C$36)</f>
        <v>172.85653671101525</v>
      </c>
      <c r="BI4" s="44">
        <f>(('Project W Pop Connected'!BJ4*'Water Demand Criteria'!BM$17/1000)*('Wastewater Criteria'!$C$8+'Wastewater Criteria'!$C$10*'Water Demand Criteria'!BM$56+'Water Demand Criteria'!BM$37*'Wastewater Criteria'!$C$11)*(1+'Wastewater Criteria'!$C$23)+('Project Tankers'!BI4*'Wastewater Criteria'!$C$9))*(1+'Wastewater Criteria'!$C$36)</f>
        <v>176.9009624125805</v>
      </c>
      <c r="BJ4" s="44">
        <f>(('Project W Pop Connected'!BK4*'Water Demand Criteria'!BN$17/1000)*('Wastewater Criteria'!$C$8+'Wastewater Criteria'!$C$10*'Water Demand Criteria'!BN$56+'Water Demand Criteria'!BN$37*'Wastewater Criteria'!$C$11)*(1+'Wastewater Criteria'!$C$23)+('Project Tankers'!BJ4*'Wastewater Criteria'!$C$9))*(1+'Wastewater Criteria'!$C$36)</f>
        <v>181.04245433098328</v>
      </c>
      <c r="BK4" s="44">
        <f>(('Project W Pop Connected'!BL4*'Water Demand Criteria'!BO$17/1000)*('Wastewater Criteria'!$C$8+'Wastewater Criteria'!$C$10*'Water Demand Criteria'!BO$56+'Water Demand Criteria'!BO$37*'Wastewater Criteria'!$C$11)*(1+'Wastewater Criteria'!$C$23)+('Project Tankers'!BK4*'Wastewater Criteria'!$C$9))*(1+'Wastewater Criteria'!$C$36)</f>
        <v>185.28334205542771</v>
      </c>
      <c r="BL4" s="44">
        <f>(('Project W Pop Connected'!BM4*'Water Demand Criteria'!BP$17/1000)*('Wastewater Criteria'!$C$8+'Wastewater Criteria'!$C$10*'Water Demand Criteria'!BP$56+'Water Demand Criteria'!BP$37*'Wastewater Criteria'!$C$11)*(1+'Wastewater Criteria'!$C$23)+('Project Tankers'!BL4*'Wastewater Criteria'!$C$9))*(1+'Wastewater Criteria'!$C$36)</f>
        <v>189.62601108525885</v>
      </c>
      <c r="BM4" s="44">
        <f>(('Project W Pop Connected'!BN4*'Water Demand Criteria'!BQ$17/1000)*('Wastewater Criteria'!$C$8+'Wastewater Criteria'!$C$10*'Water Demand Criteria'!BQ$56+'Water Demand Criteria'!BQ$37*'Wastewater Criteria'!$C$11)*(1+'Wastewater Criteria'!$C$23)+('Project Tankers'!BM4*'Wastewater Criteria'!$C$9))*(1+'Wastewater Criteria'!$C$36)</f>
        <v>194.07290417180585</v>
      </c>
      <c r="BN4" s="44">
        <f>(('Project W Pop Connected'!BO4*'Water Demand Criteria'!BR$17/1000)*('Wastewater Criteria'!$C$8+'Wastewater Criteria'!$C$10*'Water Demand Criteria'!BR$56+'Water Demand Criteria'!BR$37*'Wastewater Criteria'!$C$11)*(1+'Wastewater Criteria'!$C$23)+('Project Tankers'!BN4*'Wastewater Criteria'!$C$9))*(1+'Wastewater Criteria'!$C$36)</f>
        <v>198.62652269243009</v>
      </c>
      <c r="BO4" s="44">
        <f>(('Project W Pop Connected'!BP4*'Water Demand Criteria'!BS$17/1000)*('Wastewater Criteria'!$C$8+'Wastewater Criteria'!$C$10*'Water Demand Criteria'!BS$56+'Water Demand Criteria'!BS$37*'Wastewater Criteria'!$C$11)*(1+'Wastewater Criteria'!$C$23)+('Project Tankers'!BO4*'Wastewater Criteria'!$C$9))*(1+'Wastewater Criteria'!$C$36)</f>
        <v>203.28942805754923</v>
      </c>
      <c r="BP4" s="44">
        <f>(('Project W Pop Connected'!BQ4*'Water Demand Criteria'!BT$17/1000)*('Wastewater Criteria'!$C$8+'Wastewater Criteria'!$C$10*'Water Demand Criteria'!BT$56+'Water Demand Criteria'!BT$37*'Wastewater Criteria'!$C$11)*(1+'Wastewater Criteria'!$C$23)+('Project Tankers'!BP4*'Wastewater Criteria'!$C$9))*(1+'Wastewater Criteria'!$C$36)</f>
        <v>208.06424315143127</v>
      </c>
      <c r="BQ4" s="44">
        <f>(('Project W Pop Connected'!BR4*'Water Demand Criteria'!BU$17/1000)*('Wastewater Criteria'!$C$8+'Wastewater Criteria'!$C$10*'Water Demand Criteria'!BU$56+'Water Demand Criteria'!BU$37*'Wastewater Criteria'!$C$11)*(1+'Wastewater Criteria'!$C$23)+('Project Tankers'!BQ4*'Wastewater Criteria'!$C$9))*(1+'Wastewater Criteria'!$C$36)</f>
        <v>212.95365380756644</v>
      </c>
      <c r="BR4" s="44">
        <f>(('Project W Pop Connected'!BS4*'Water Demand Criteria'!BV$17/1000)*('Wastewater Criteria'!$C$8+'Wastewater Criteria'!$C$10*'Water Demand Criteria'!BV$56+'Water Demand Criteria'!BV$37*'Wastewater Criteria'!$C$11)*(1+'Wastewater Criteria'!$C$23)+('Project Tankers'!BR4*'Wastewater Criteria'!$C$9))*(1+'Wastewater Criteria'!$C$36)</f>
        <v>217.96041031944884</v>
      </c>
      <c r="BS4" s="44">
        <f>(('Project W Pop Connected'!BT4*'Water Demand Criteria'!BW$17/1000)*('Wastewater Criteria'!$C$8+'Wastewater Criteria'!$C$10*'Water Demand Criteria'!BW$56+'Water Demand Criteria'!BW$37*'Wastewater Criteria'!$C$11)*(1+'Wastewater Criteria'!$C$23)+('Project Tankers'!BS4*'Wastewater Criteria'!$C$9))*(1+'Wastewater Criteria'!$C$36)</f>
        <v>223.08732898761653</v>
      </c>
      <c r="BT4" s="44">
        <f>(('Project W Pop Connected'!BU4*'Water Demand Criteria'!BX$17/1000)*('Wastewater Criteria'!$C$8+'Wastewater Criteria'!$C$10*'Water Demand Criteria'!BX$56+'Water Demand Criteria'!BX$37*'Wastewater Criteria'!$C$11)*(1+'Wastewater Criteria'!$C$23)+('Project Tankers'!BT4*'Wastewater Criteria'!$C$9))*(1+'Wastewater Criteria'!$C$36)</f>
        <v>228.33729370382017</v>
      </c>
      <c r="BU4" s="44">
        <f>(('Project W Pop Connected'!BV4*'Water Demand Criteria'!BY$17/1000)*('Wastewater Criteria'!$C$8+'Wastewater Criteria'!$C$10*'Water Demand Criteria'!BY$56+'Water Demand Criteria'!BY$37*'Wastewater Criteria'!$C$11)*(1+'Wastewater Criteria'!$C$23)+('Project Tankers'!BU4*'Wastewater Criteria'!$C$9))*(1+'Wastewater Criteria'!$C$36)</f>
        <v>233.71325757321267</v>
      </c>
      <c r="BV4" s="44">
        <f>(('Project W Pop Connected'!BW4*'Water Demand Criteria'!BZ$17/1000)*('Wastewater Criteria'!$C$8+'Wastewater Criteria'!$C$10*'Water Demand Criteria'!BZ$56+'Water Demand Criteria'!BZ$37*'Wastewater Criteria'!$C$11)*(1+'Wastewater Criteria'!$C$23)+('Project Tankers'!BV4*'Wastewater Criteria'!$C$9))*(1+'Wastewater Criteria'!$C$36)</f>
        <v>239.21824457547064</v>
      </c>
      <c r="BW4" s="44">
        <f>(('Project W Pop Connected'!BX4*'Water Demand Criteria'!CA$17/1000)*('Wastewater Criteria'!$C$8+'Wastewater Criteria'!$C$10*'Water Demand Criteria'!CA$56+'Water Demand Criteria'!CA$37*'Wastewater Criteria'!$C$11)*(1+'Wastewater Criteria'!$C$23)+('Project Tankers'!BW4*'Wastewater Criteria'!$C$9))*(1+'Wastewater Criteria'!$C$36)</f>
        <v>244.85535126578273</v>
      </c>
      <c r="BX4" s="44">
        <f>(('Project W Pop Connected'!BY4*'Water Demand Criteria'!CB$17/1000)*('Wastewater Criteria'!$C$8+'Wastewater Criteria'!$C$10*'Water Demand Criteria'!CB$56+'Water Demand Criteria'!CB$37*'Wastewater Criteria'!$C$11)*(1+'Wastewater Criteria'!$C$23)+('Project Tankers'!BX4*'Wastewater Criteria'!$C$9))*(1+'Wastewater Criteria'!$C$36)</f>
        <v>250.62774851666236</v>
      </c>
      <c r="BY4" s="44">
        <f>(('Project W Pop Connected'!BZ4*'Water Demand Criteria'!CC$17/1000)*('Wastewater Criteria'!$C$8+'Wastewater Criteria'!$C$10*'Water Demand Criteria'!CC$56+'Water Demand Criteria'!CC$37*'Wastewater Criteria'!$C$11)*(1+'Wastewater Criteria'!$C$23)+('Project Tankers'!BY4*'Wastewater Criteria'!$C$9))*(1+'Wastewater Criteria'!$C$36)</f>
        <v>256.53868330156314</v>
      </c>
      <c r="BZ4" s="44">
        <f>(('Project W Pop Connected'!CA4*'Water Demand Criteria'!CD$17/1000)*('Wastewater Criteria'!$C$8+'Wastewater Criteria'!$C$10*'Water Demand Criteria'!CD$56+'Water Demand Criteria'!CD$37*'Wastewater Criteria'!$C$11)*(1+'Wastewater Criteria'!$C$23)+('Project Tankers'!BZ4*'Wastewater Criteria'!$C$9))*(1+'Wastewater Criteria'!$C$36)</f>
        <v>262.59148052130149</v>
      </c>
      <c r="CA4" s="44">
        <f>(('Project W Pop Connected'!CB4*'Water Demand Criteria'!CE$17/1000)*('Wastewater Criteria'!$C$8+'Wastewater Criteria'!$C$10*'Water Demand Criteria'!CE$56+'Water Demand Criteria'!CE$37*'Wastewater Criteria'!$C$11)*(1+'Wastewater Criteria'!$C$23)+('Project Tankers'!CA4*'Wastewater Criteria'!$C$9))*(1+'Wastewater Criteria'!$C$36)</f>
        <v>268.78954487431355</v>
      </c>
    </row>
    <row r="5" spans="1:79" x14ac:dyDescent="0.25">
      <c r="A5" s="33">
        <v>4</v>
      </c>
      <c r="B5" s="36" t="s">
        <v>57</v>
      </c>
      <c r="C5" s="34">
        <f>(('Project W Pop Connected'!D5*'Water Demand Criteria'!G$17/1000)*('Wastewater Criteria'!$C$8+'Wastewater Criteria'!$C$10*'Water Demand Criteria'!G$56+'Water Demand Criteria'!G$37*'Wastewater Criteria'!$C$11)*(1+'Wastewater Criteria'!$C$23)+('Project Tankers'!C5*'Wastewater Criteria'!$C$9))*(1+'Wastewater Criteria'!$C$36)</f>
        <v>1452.0714108103946</v>
      </c>
      <c r="D5" s="34">
        <f>(('Project W Pop Connected'!E5*'Water Demand Criteria'!H$17/1000)*('Wastewater Criteria'!$C$8+'Wastewater Criteria'!$C$10*'Water Demand Criteria'!H$56+'Water Demand Criteria'!H$37*'Wastewater Criteria'!$C$11)*(1+'Wastewater Criteria'!$C$23)+('Project Tankers'!D5*'Wastewater Criteria'!$C$9))*(1+'Wastewater Criteria'!$C$36)</f>
        <v>1547.2789151448562</v>
      </c>
      <c r="E5" s="34">
        <f>(('Project W Pop Connected'!F5*'Water Demand Criteria'!I$17/1000)*('Wastewater Criteria'!$C$8+'Wastewater Criteria'!$C$10*'Water Demand Criteria'!I$56+'Water Demand Criteria'!I$37*'Wastewater Criteria'!$C$11)*(1+'Wastewater Criteria'!$C$23)+('Project Tankers'!E5*'Wastewater Criteria'!$C$9))*(1+'Wastewater Criteria'!$C$36)</f>
        <v>1651.1221671924593</v>
      </c>
      <c r="F5" s="34">
        <f>(('Project W Pop Connected'!G5*'Water Demand Criteria'!J$17/1000)*('Wastewater Criteria'!$C$8+'Wastewater Criteria'!$C$10*'Water Demand Criteria'!J$56+'Water Demand Criteria'!J$37*'Wastewater Criteria'!$C$11)*(1+'Wastewater Criteria'!$C$23)+('Project Tankers'!F5*'Wastewater Criteria'!$C$9))*(1+'Wastewater Criteria'!$C$36)</f>
        <v>1759.155786672686</v>
      </c>
      <c r="G5" s="34">
        <f>(('Project W Pop Connected'!H5*'Water Demand Criteria'!K$17/1000)*('Wastewater Criteria'!$C$8+'Wastewater Criteria'!$C$10*'Water Demand Criteria'!K$56+'Water Demand Criteria'!K$37*'Wastewater Criteria'!$C$11)*(1+'Wastewater Criteria'!$C$23)+('Project Tankers'!G5*'Wastewater Criteria'!$C$9))*(1+'Wastewater Criteria'!$C$36)</f>
        <v>1871.5622621930063</v>
      </c>
      <c r="H5" s="34">
        <f>(('Project W Pop Connected'!I5*'Water Demand Criteria'!L$17/1000)*('Wastewater Criteria'!$C$8+'Wastewater Criteria'!$C$10*'Water Demand Criteria'!L$56+'Water Demand Criteria'!L$37*'Wastewater Criteria'!$C$11)*(1+'Wastewater Criteria'!$C$23)+('Project Tankers'!H5*'Wastewater Criteria'!$C$9))*(1+'Wastewater Criteria'!$C$36)</f>
        <v>1988.450070665722</v>
      </c>
      <c r="I5" s="34">
        <f>(('Project W Pop Connected'!J5*'Water Demand Criteria'!M$17/1000)*('Wastewater Criteria'!$C$8+'Wastewater Criteria'!$C$10*'Water Demand Criteria'!M$56+'Water Demand Criteria'!M$37*'Wastewater Criteria'!$C$11)*(1+'Wastewater Criteria'!$C$23)+('Project Tankers'!I5*'Wastewater Criteria'!$C$9))*(1+'Wastewater Criteria'!$C$36)</f>
        <v>2101.8804722451669</v>
      </c>
      <c r="J5" s="34">
        <f>(('Project W Pop Connected'!K5*'Water Demand Criteria'!N$17/1000)*('Wastewater Criteria'!$C$8+'Wastewater Criteria'!$C$10*'Water Demand Criteria'!N$56+'Water Demand Criteria'!N$37*'Wastewater Criteria'!$C$11)*(1+'Wastewater Criteria'!$C$23)+('Project Tankers'!J5*'Wastewater Criteria'!$C$9))*(1+'Wastewater Criteria'!$C$36)</f>
        <v>2227.3894575205995</v>
      </c>
      <c r="K5" s="34">
        <f>(('Project W Pop Connected'!L5*'Water Demand Criteria'!O$17/1000)*('Wastewater Criteria'!$C$8+'Wastewater Criteria'!$C$10*'Water Demand Criteria'!O$56+'Water Demand Criteria'!O$37*'Wastewater Criteria'!$C$11)*(1+'Wastewater Criteria'!$C$23)+('Project Tankers'!K5*'Wastewater Criteria'!$C$9))*(1+'Wastewater Criteria'!$C$36)</f>
        <v>2357.7890984244204</v>
      </c>
      <c r="L5" s="34">
        <f>(('Project W Pop Connected'!M5*'Water Demand Criteria'!P$17/1000)*('Wastewater Criteria'!$C$8+'Wastewater Criteria'!$C$10*'Water Demand Criteria'!P$56+'Water Demand Criteria'!P$37*'Wastewater Criteria'!$C$11)*(1+'Wastewater Criteria'!$C$23)+('Project Tankers'!L5*'Wastewater Criteria'!$C$9))*(1+'Wastewater Criteria'!$C$36)</f>
        <v>2465.1483110825811</v>
      </c>
      <c r="M5" s="34">
        <f>(('Project W Pop Connected'!N5*'Water Demand Criteria'!Q$17/1000)*('Wastewater Criteria'!$C$8+'Wastewater Criteria'!$C$10*'Water Demand Criteria'!Q$56+'Water Demand Criteria'!Q$37*'Wastewater Criteria'!$C$11)*(1+'Wastewater Criteria'!$C$23)+('Project Tankers'!M5*'Wastewater Criteria'!$C$9))*(1+'Wastewater Criteria'!$C$36)</f>
        <v>2634.3929488515846</v>
      </c>
      <c r="N5" s="34">
        <f>(('Project W Pop Connected'!O5*'Water Demand Criteria'!R$17/1000)*('Wastewater Criteria'!$C$8+'Wastewater Criteria'!$C$10*'Water Demand Criteria'!R$56+'Water Demand Criteria'!R$37*'Wastewater Criteria'!$C$11)*(1+'Wastewater Criteria'!$C$23)+('Project Tankers'!N5*'Wastewater Criteria'!$C$9))*(1+'Wastewater Criteria'!$C$36)</f>
        <v>2769.2773658612596</v>
      </c>
      <c r="O5" s="34">
        <f>(('Project W Pop Connected'!P5*'Water Demand Criteria'!S$17/1000)*('Wastewater Criteria'!$C$8+'Wastewater Criteria'!$C$10*'Water Demand Criteria'!S$56+'Water Demand Criteria'!S$37*'Wastewater Criteria'!$C$11)*(1+'Wastewater Criteria'!$C$23)+('Project Tankers'!O5*'Wastewater Criteria'!$C$9))*(1+'Wastewater Criteria'!$C$36)</f>
        <v>2834.7589366762099</v>
      </c>
      <c r="P5" s="34">
        <f>(('Project W Pop Connected'!Q5*'Water Demand Criteria'!T$17/1000)*('Wastewater Criteria'!$C$8+'Wastewater Criteria'!$C$10*'Water Demand Criteria'!T$56+'Water Demand Criteria'!T$37*'Wastewater Criteria'!$C$11)*(1+'Wastewater Criteria'!$C$23)+('Project Tankers'!P5*'Wastewater Criteria'!$C$9))*(1+'Wastewater Criteria'!$C$36)</f>
        <v>2902.8228201587585</v>
      </c>
      <c r="Q5" s="34">
        <f>(('Project W Pop Connected'!R5*'Water Demand Criteria'!U$17/1000)*('Wastewater Criteria'!$C$8+'Wastewater Criteria'!$C$10*'Water Demand Criteria'!U$56+'Water Demand Criteria'!U$37*'Wastewater Criteria'!$C$11)*(1+'Wastewater Criteria'!$C$23)+('Project Tankers'!Q5*'Wastewater Criteria'!$C$9))*(1+'Wastewater Criteria'!$C$36)</f>
        <v>2973.2800666015205</v>
      </c>
      <c r="R5" s="34">
        <f>(('Project W Pop Connected'!S5*'Water Demand Criteria'!V$17/1000)*('Wastewater Criteria'!$C$8+'Wastewater Criteria'!$C$10*'Water Demand Criteria'!V$56+'Water Demand Criteria'!V$37*'Wastewater Criteria'!$C$11)*(1+'Wastewater Criteria'!$C$23)+('Project Tankers'!R5*'Wastewater Criteria'!$C$9))*(1+'Wastewater Criteria'!$C$36)</f>
        <v>3046.7605083624462</v>
      </c>
      <c r="S5" s="34">
        <f>(('Project W Pop Connected'!T5*'Water Demand Criteria'!W$17/1000)*('Wastewater Criteria'!$C$8+'Wastewater Criteria'!$C$10*'Water Demand Criteria'!W$56+'Water Demand Criteria'!W$37*'Wastewater Criteria'!$C$11)*(1+'Wastewater Criteria'!$C$23)+('Project Tankers'!S5*'Wastewater Criteria'!$C$9))*(1+'Wastewater Criteria'!$C$36)</f>
        <v>3107.927727525434</v>
      </c>
      <c r="T5" s="34">
        <f>(('Project W Pop Connected'!U5*'Water Demand Criteria'!X$17/1000)*('Wastewater Criteria'!$C$8+'Wastewater Criteria'!$C$10*'Water Demand Criteria'!X$56+'Water Demand Criteria'!X$37*'Wastewater Criteria'!$C$11)*(1+'Wastewater Criteria'!$C$23)+('Project Tankers'!T5*'Wastewater Criteria'!$C$9))*(1+'Wastewater Criteria'!$C$36)</f>
        <v>3162.7411167117957</v>
      </c>
      <c r="U5" s="34">
        <f>(('Project W Pop Connected'!V5*'Water Demand Criteria'!Y$17/1000)*('Wastewater Criteria'!$C$8+'Wastewater Criteria'!$C$10*'Water Demand Criteria'!Y$56+'Water Demand Criteria'!Y$37*'Wastewater Criteria'!$C$11)*(1+'Wastewater Criteria'!$C$23)+('Project Tankers'!U5*'Wastewater Criteria'!$C$9))*(1+'Wastewater Criteria'!$C$36)</f>
        <v>3220.0569647698171</v>
      </c>
      <c r="V5" s="34">
        <f>(('Project W Pop Connected'!W5*'Water Demand Criteria'!Z$17/1000)*('Wastewater Criteria'!$C$8+'Wastewater Criteria'!$C$10*'Water Demand Criteria'!Z$56+'Water Demand Criteria'!Z$37*'Wastewater Criteria'!$C$11)*(1+'Wastewater Criteria'!$C$23)+('Project Tankers'!V5*'Wastewater Criteria'!$C$9))*(1+'Wastewater Criteria'!$C$36)</f>
        <v>3279.1571100640886</v>
      </c>
      <c r="W5" s="34">
        <f>(('Project W Pop Connected'!X5*'Water Demand Criteria'!AA$17/1000)*('Wastewater Criteria'!$C$8+'Wastewater Criteria'!$C$10*'Water Demand Criteria'!AA$56+'Water Demand Criteria'!AA$37*'Wastewater Criteria'!$C$11)*(1+'Wastewater Criteria'!$C$23)+('Project Tankers'!W5*'Wastewater Criteria'!$C$9))*(1+'Wastewater Criteria'!$C$36)</f>
        <v>3340.1643451024524</v>
      </c>
      <c r="X5" s="34">
        <f>(('Project W Pop Connected'!Y5*'Water Demand Criteria'!AB$17/1000)*('Wastewater Criteria'!$C$8+'Wastewater Criteria'!$C$10*'Water Demand Criteria'!AB$56+'Water Demand Criteria'!AB$37*'Wastewater Criteria'!$C$11)*(1+'Wastewater Criteria'!$C$23)+('Project Tankers'!X5*'Wastewater Criteria'!$C$9))*(1+'Wastewater Criteria'!$C$36)</f>
        <v>3403.2014623945206</v>
      </c>
      <c r="Y5" s="34">
        <f>(('Project W Pop Connected'!Z5*'Water Demand Criteria'!AC$17/1000)*('Wastewater Criteria'!$C$8+'Wastewater Criteria'!$C$10*'Water Demand Criteria'!AC$56+'Water Demand Criteria'!AC$37*'Wastewater Criteria'!$C$11)*(1+'Wastewater Criteria'!$C$23)+('Project Tankers'!Y5*'Wastewater Criteria'!$C$9))*(1+'Wastewater Criteria'!$C$36)</f>
        <v>3468.3912545452645</v>
      </c>
      <c r="Z5" s="34">
        <f>(('Project W Pop Connected'!AA5*'Water Demand Criteria'!AD$17/1000)*('Wastewater Criteria'!$C$8+'Wastewater Criteria'!$C$10*'Water Demand Criteria'!AD$56+'Water Demand Criteria'!AD$37*'Wastewater Criteria'!$C$11)*(1+'Wastewater Criteria'!$C$23)+('Project Tankers'!Z5*'Wastewater Criteria'!$C$9))*(1+'Wastewater Criteria'!$C$36)</f>
        <v>3535.8565139980064</v>
      </c>
      <c r="AA5" s="34">
        <f>(('Project W Pop Connected'!AB5*'Water Demand Criteria'!AE$17/1000)*('Wastewater Criteria'!$C$8+'Wastewater Criteria'!$C$10*'Water Demand Criteria'!AE$56+'Water Demand Criteria'!AE$37*'Wastewater Criteria'!$C$11)*(1+'Wastewater Criteria'!$C$23)+('Project Tankers'!AA5*'Wastewater Criteria'!$C$9))*(1+'Wastewater Criteria'!$C$36)</f>
        <v>3605.7200334625618</v>
      </c>
      <c r="AB5" s="34">
        <f>(('Project W Pop Connected'!AC5*'Water Demand Criteria'!AF$17/1000)*('Wastewater Criteria'!$C$8+'Wastewater Criteria'!$C$10*'Water Demand Criteria'!AF$56+'Water Demand Criteria'!AF$37*'Wastewater Criteria'!$C$11)*(1+'Wastewater Criteria'!$C$23)+('Project Tankers'!AB5*'Wastewater Criteria'!$C$9))*(1+'Wastewater Criteria'!$C$36)</f>
        <v>3678.104605289921</v>
      </c>
      <c r="AC5" s="34">
        <f>(('Project W Pop Connected'!AD5*'Water Demand Criteria'!AG$17/1000)*('Wastewater Criteria'!$C$8+'Wastewater Criteria'!$C$10*'Water Demand Criteria'!AG$56+'Water Demand Criteria'!AG$37*'Wastewater Criteria'!$C$11)*(1+'Wastewater Criteria'!$C$23)+('Project Tankers'!AC5*'Wastewater Criteria'!$C$9))*(1+'Wastewater Criteria'!$C$36)</f>
        <v>3753.133022251518</v>
      </c>
      <c r="AD5" s="44">
        <f>(('Project W Pop Connected'!AE5*'Water Demand Criteria'!AH$17/1000)*('Wastewater Criteria'!$C$8+'Wastewater Criteria'!$C$10*'Water Demand Criteria'!AH$56+'Water Demand Criteria'!AH$37*'Wastewater Criteria'!$C$11)*(1+'Wastewater Criteria'!$C$23)+('Project Tankers'!AD5*'Wastewater Criteria'!$C$9))*(1+'Wastewater Criteria'!$C$36)</f>
        <v>3875.8051404373759</v>
      </c>
      <c r="AE5" s="44">
        <f>(('Project W Pop Connected'!AF5*'Water Demand Criteria'!AI$17/1000)*('Wastewater Criteria'!$C$8+'Wastewater Criteria'!$C$10*'Water Demand Criteria'!AI$56+'Water Demand Criteria'!AI$37*'Wastewater Criteria'!$C$11)*(1+'Wastewater Criteria'!$C$23)+('Project Tankers'!AE5*'Wastewater Criteria'!$C$9))*(1+'Wastewater Criteria'!$C$36)</f>
        <v>4003.2856685211054</v>
      </c>
      <c r="AF5" s="44">
        <f>(('Project W Pop Connected'!AG5*'Water Demand Criteria'!AJ$17/1000)*('Wastewater Criteria'!$C$8+'Wastewater Criteria'!$C$10*'Water Demand Criteria'!AJ$56+'Water Demand Criteria'!AJ$37*'Wastewater Criteria'!$C$11)*(1+'Wastewater Criteria'!$C$23)+('Project Tankers'!AF5*'Wastewater Criteria'!$C$9))*(1+'Wastewater Criteria'!$C$36)</f>
        <v>4135.7936243701461</v>
      </c>
      <c r="AG5" s="44">
        <f>(('Project W Pop Connected'!AH5*'Water Demand Criteria'!AK$17/1000)*('Wastewater Criteria'!$C$8+'Wastewater Criteria'!$C$10*'Water Demand Criteria'!AK$56+'Water Demand Criteria'!AK$37*'Wastewater Criteria'!$C$11)*(1+'Wastewater Criteria'!$C$23)+('Project Tankers'!AG5*'Wastewater Criteria'!$C$9))*(1+'Wastewater Criteria'!$C$36)</f>
        <v>4273.5588270547996</v>
      </c>
      <c r="AH5" s="44">
        <f>(('Project W Pop Connected'!AI5*'Water Demand Criteria'!AL$17/1000)*('Wastewater Criteria'!$C$8+'Wastewater Criteria'!$C$10*'Water Demand Criteria'!AL$56+'Water Demand Criteria'!AL$37*'Wastewater Criteria'!$C$11)*(1+'Wastewater Criteria'!$C$23)+('Project Tankers'!AH5*'Wastewater Criteria'!$C$9))*(1+'Wastewater Criteria'!$C$36)</f>
        <v>4416.8224774060536</v>
      </c>
      <c r="AI5" s="44">
        <f>(('Project W Pop Connected'!AJ5*'Water Demand Criteria'!AM$17/1000)*('Wastewater Criteria'!$C$8+'Wastewater Criteria'!$C$10*'Water Demand Criteria'!AM$56+'Water Demand Criteria'!AM$37*'Wastewater Criteria'!$C$11)*(1+'Wastewater Criteria'!$C$23)+('Project Tankers'!AI5*'Wastewater Criteria'!$C$9))*(1+'Wastewater Criteria'!$C$36)</f>
        <v>4565.8377717575268</v>
      </c>
      <c r="AJ5" s="44">
        <f>(('Project W Pop Connected'!AK5*'Water Demand Criteria'!AN$17/1000)*('Wastewater Criteria'!$C$8+'Wastewater Criteria'!$C$10*'Water Demand Criteria'!AN$56+'Water Demand Criteria'!AN$37*'Wastewater Criteria'!$C$11)*(1+'Wastewater Criteria'!$C$23)+('Project Tankers'!AJ5*'Wastewater Criteria'!$C$9))*(1+'Wastewater Criteria'!$C$36)</f>
        <v>4720.8705508870926</v>
      </c>
      <c r="AK5" s="44">
        <f>(('Project W Pop Connected'!AL5*'Water Demand Criteria'!AO$17/1000)*('Wastewater Criteria'!$C$8+'Wastewater Criteria'!$C$10*'Water Demand Criteria'!AO$56+'Water Demand Criteria'!AO$37*'Wastewater Criteria'!$C$11)*(1+'Wastewater Criteria'!$C$23)+('Project Tankers'!AK5*'Wastewater Criteria'!$C$9))*(1+'Wastewater Criteria'!$C$36)</f>
        <v>4881.3456786806746</v>
      </c>
      <c r="AL5" s="44">
        <f>(('Project W Pop Connected'!AM5*'Water Demand Criteria'!AP$17/1000)*('Wastewater Criteria'!$C$8+'Wastewater Criteria'!$C$10*'Water Demand Criteria'!AP$56+'Water Demand Criteria'!AP$37*'Wastewater Criteria'!$C$11)*(1+'Wastewater Criteria'!$C$23)+('Project Tankers'!AL5*'Wastewater Criteria'!$C$9))*(1+'Wastewater Criteria'!$C$36)</f>
        <v>5046.9395092651639</v>
      </c>
      <c r="AM5" s="44">
        <f>(('Project W Pop Connected'!AN5*'Water Demand Criteria'!AQ$17/1000)*('Wastewater Criteria'!$C$8+'Wastewater Criteria'!$C$10*'Water Demand Criteria'!AQ$56+'Water Demand Criteria'!AQ$37*'Wastewater Criteria'!$C$11)*(1+'Wastewater Criteria'!$C$23)+('Project Tankers'!AM5*'Wastewater Criteria'!$C$9))*(1+'Wastewater Criteria'!$C$36)</f>
        <v>5217.805306700915</v>
      </c>
      <c r="AN5" s="44">
        <f>(('Project W Pop Connected'!AO5*'Water Demand Criteria'!AR$17/1000)*('Wastewater Criteria'!$C$8+'Wastewater Criteria'!$C$10*'Water Demand Criteria'!AR$56+'Water Demand Criteria'!AR$37*'Wastewater Criteria'!$C$11)*(1+'Wastewater Criteria'!$C$23)+('Project Tankers'!AN5*'Wastewater Criteria'!$C$9))*(1+'Wastewater Criteria'!$C$36)</f>
        <v>5394.1007433503701</v>
      </c>
      <c r="AO5" s="44">
        <f>(('Project W Pop Connected'!AP5*'Water Demand Criteria'!AS$17/1000)*('Wastewater Criteria'!$C$8+'Wastewater Criteria'!$C$10*'Water Demand Criteria'!AS$56+'Water Demand Criteria'!AS$37*'Wastewater Criteria'!$C$11)*(1+'Wastewater Criteria'!$C$23)+('Project Tankers'!AO5*'Wastewater Criteria'!$C$9))*(1+'Wastewater Criteria'!$C$36)</f>
        <v>5575.9880231964662</v>
      </c>
      <c r="AP5" s="44">
        <f>(('Project W Pop Connected'!AQ5*'Water Demand Criteria'!AT$17/1000)*('Wastewater Criteria'!$C$8+'Wastewater Criteria'!$C$10*'Water Demand Criteria'!AT$56+'Water Demand Criteria'!AT$37*'Wastewater Criteria'!$C$11)*(1+'Wastewater Criteria'!$C$23)+('Project Tankers'!AP5*'Wastewater Criteria'!$C$9))*(1+'Wastewater Criteria'!$C$36)</f>
        <v>5763.6340085411302</v>
      </c>
      <c r="AQ5" s="44">
        <f>(('Project W Pop Connected'!AR5*'Water Demand Criteria'!AU$17/1000)*('Wastewater Criteria'!$C$8+'Wastewater Criteria'!$C$10*'Water Demand Criteria'!AU$56+'Water Demand Criteria'!AU$37*'Wastewater Criteria'!$C$11)*(1+'Wastewater Criteria'!$C$23)+('Project Tankers'!AQ5*'Wastewater Criteria'!$C$9))*(1+'Wastewater Criteria'!$C$36)</f>
        <v>5957.2103501751035</v>
      </c>
      <c r="AR5" s="44">
        <f>(('Project W Pop Connected'!AS5*'Water Demand Criteria'!AV$17/1000)*('Wastewater Criteria'!$C$8+'Wastewater Criteria'!$C$10*'Water Demand Criteria'!AV$56+'Water Demand Criteria'!AV$37*'Wastewater Criteria'!$C$11)*(1+'Wastewater Criteria'!$C$23)+('Project Tankers'!AR5*'Wastewater Criteria'!$C$9))*(1+'Wastewater Criteria'!$C$36)</f>
        <v>6156.8936211127148</v>
      </c>
      <c r="AS5" s="44">
        <f>(('Project W Pop Connected'!AT5*'Water Demand Criteria'!AW$17/1000)*('Wastewater Criteria'!$C$8+'Wastewater Criteria'!$C$10*'Water Demand Criteria'!AW$56+'Water Demand Criteria'!AW$37*'Wastewater Criteria'!$C$11)*(1+'Wastewater Criteria'!$C$23)+('Project Tankers'!AS5*'Wastewater Criteria'!$C$9))*(1+'Wastewater Criteria'!$C$36)</f>
        <v>6362.8654539877525</v>
      </c>
      <c r="AT5" s="44">
        <f>(('Project W Pop Connected'!AU5*'Water Demand Criteria'!AX$17/1000)*('Wastewater Criteria'!$C$8+'Wastewater Criteria'!$C$10*'Water Demand Criteria'!AX$56+'Water Demand Criteria'!AX$37*'Wastewater Criteria'!$C$11)*(1+'Wastewater Criteria'!$C$23)+('Project Tankers'!AT5*'Wastewater Criteria'!$C$9))*(1+'Wastewater Criteria'!$C$36)</f>
        <v>6575.3126822091599</v>
      </c>
      <c r="AU5" s="44">
        <f>(('Project W Pop Connected'!AV5*'Water Demand Criteria'!AY$17/1000)*('Wastewater Criteria'!$C$8+'Wastewater Criteria'!$C$10*'Water Demand Criteria'!AY$56+'Water Demand Criteria'!AY$37*'Wastewater Criteria'!$C$11)*(1+'Wastewater Criteria'!$C$23)+('Project Tankers'!AU5*'Wastewater Criteria'!$C$9))*(1+'Wastewater Criteria'!$C$36)</f>
        <v>6794.427484977824</v>
      </c>
      <c r="AV5" s="44">
        <f>(('Project W Pop Connected'!AW5*'Water Demand Criteria'!AZ$17/1000)*('Wastewater Criteria'!$C$8+'Wastewater Criteria'!$C$10*'Water Demand Criteria'!AZ$56+'Water Demand Criteria'!AZ$37*'Wastewater Criteria'!$C$11)*(1+'Wastewater Criteria'!$C$23)+('Project Tankers'!AV5*'Wastewater Criteria'!$C$9))*(1+'Wastewater Criteria'!$C$36)</f>
        <v>7020.4075362685562</v>
      </c>
      <c r="AW5" s="44">
        <f>(('Project W Pop Connected'!AX5*'Water Demand Criteria'!BA$17/1000)*('Wastewater Criteria'!$C$8+'Wastewater Criteria'!$C$10*'Water Demand Criteria'!BA$56+'Water Demand Criteria'!BA$37*'Wastewater Criteria'!$C$11)*(1+'Wastewater Criteria'!$C$23)+('Project Tankers'!AW5*'Wastewater Criteria'!$C$9))*(1+'Wastewater Criteria'!$C$36)</f>
        <v>7253.456157884023</v>
      </c>
      <c r="AX5" s="44">
        <f>(('Project W Pop Connected'!AY5*'Water Demand Criteria'!BB$17/1000)*('Wastewater Criteria'!$C$8+'Wastewater Criteria'!$C$10*'Water Demand Criteria'!BB$56+'Water Demand Criteria'!BB$37*'Wastewater Criteria'!$C$11)*(1+'Wastewater Criteria'!$C$23)+('Project Tankers'!AX5*'Wastewater Criteria'!$C$9))*(1+'Wastewater Criteria'!$C$36)</f>
        <v>7421.9091850846607</v>
      </c>
      <c r="AY5" s="44">
        <f>(('Project W Pop Connected'!AZ5*'Water Demand Criteria'!BC$17/1000)*('Wastewater Criteria'!$C$8+'Wastewater Criteria'!$C$10*'Water Demand Criteria'!BC$56+'Water Demand Criteria'!BC$37*'Wastewater Criteria'!$C$11)*(1+'Wastewater Criteria'!$C$23)+('Project Tankers'!AY5*'Wastewater Criteria'!$C$9))*(1+'Wastewater Criteria'!$C$36)</f>
        <v>7594.4050849381138</v>
      </c>
      <c r="AZ5" s="44">
        <f>(('Project W Pop Connected'!BA5*'Water Demand Criteria'!BD$17/1000)*('Wastewater Criteria'!$C$8+'Wastewater Criteria'!$C$10*'Water Demand Criteria'!BD$56+'Water Demand Criteria'!BD$37*'Wastewater Criteria'!$C$11)*(1+'Wastewater Criteria'!$C$23)+('Project Tankers'!AZ5*'Wastewater Criteria'!$C$9))*(1+'Wastewater Criteria'!$C$36)</f>
        <v>7771.0408863880521</v>
      </c>
      <c r="BA5" s="44">
        <f>(('Project W Pop Connected'!BB5*'Water Demand Criteria'!BE$17/1000)*('Wastewater Criteria'!$C$8+'Wastewater Criteria'!$C$10*'Water Demand Criteria'!BE$56+'Water Demand Criteria'!BE$37*'Wastewater Criteria'!$C$11)*(1+'Wastewater Criteria'!$C$23)+('Project Tankers'!BA5*'Wastewater Criteria'!$C$9))*(1+'Wastewater Criteria'!$C$36)</f>
        <v>7951.9159470727882</v>
      </c>
      <c r="BB5" s="44">
        <f>(('Project W Pop Connected'!BC5*'Water Demand Criteria'!BF$17/1000)*('Wastewater Criteria'!$C$8+'Wastewater Criteria'!$C$10*'Water Demand Criteria'!BF$56+'Water Demand Criteria'!BF$37*'Wastewater Criteria'!$C$11)*(1+'Wastewater Criteria'!$C$23)+('Project Tankers'!BB5*'Wastewater Criteria'!$C$9))*(1+'Wastewater Criteria'!$C$36)</f>
        <v>8137.132009213954</v>
      </c>
      <c r="BC5" s="44">
        <f>(('Project W Pop Connected'!BD5*'Water Demand Criteria'!BG$17/1000)*('Wastewater Criteria'!$C$8+'Wastewater Criteria'!$C$10*'Water Demand Criteria'!BG$56+'Water Demand Criteria'!BG$37*'Wastewater Criteria'!$C$11)*(1+'Wastewater Criteria'!$C$23)+('Project Tankers'!BC5*'Wastewater Criteria'!$C$9))*(1+'Wastewater Criteria'!$C$36)</f>
        <v>8326.7932568465112</v>
      </c>
      <c r="BD5" s="44">
        <f>(('Project W Pop Connected'!BE5*'Water Demand Criteria'!BH$17/1000)*('Wastewater Criteria'!$C$8+'Wastewater Criteria'!$C$10*'Water Demand Criteria'!BH$56+'Water Demand Criteria'!BH$37*'Wastewater Criteria'!$C$11)*(1+'Wastewater Criteria'!$C$23)+('Project Tankers'!BD5*'Wastewater Criteria'!$C$9))*(1+'Wastewater Criteria'!$C$36)</f>
        <v>8521.0063744222516</v>
      </c>
      <c r="BE5" s="44">
        <f>(('Project W Pop Connected'!BF5*'Water Demand Criteria'!BI$17/1000)*('Wastewater Criteria'!$C$8+'Wastewater Criteria'!$C$10*'Water Demand Criteria'!BI$56+'Water Demand Criteria'!BI$37*'Wastewater Criteria'!$C$11)*(1+'Wastewater Criteria'!$C$23)+('Project Tankers'!BE5*'Wastewater Criteria'!$C$9))*(1+'Wastewater Criteria'!$C$36)</f>
        <v>8719.8806068198046</v>
      </c>
      <c r="BF5" s="44">
        <f>(('Project W Pop Connected'!BG5*'Water Demand Criteria'!BJ$17/1000)*('Wastewater Criteria'!$C$8+'Wastewater Criteria'!$C$10*'Water Demand Criteria'!BJ$56+'Water Demand Criteria'!BJ$37*'Wastewater Criteria'!$C$11)*(1+'Wastewater Criteria'!$C$23)+('Project Tankers'!BF5*'Wastewater Criteria'!$C$9))*(1+'Wastewater Criteria'!$C$36)</f>
        <v>8923.5278207949032</v>
      </c>
      <c r="BG5" s="44">
        <f>(('Project W Pop Connected'!BH5*'Water Demand Criteria'!BK$17/1000)*('Wastewater Criteria'!$C$8+'Wastewater Criteria'!$C$10*'Water Demand Criteria'!BK$56+'Water Demand Criteria'!BK$37*'Wastewater Criteria'!$C$11)*(1+'Wastewater Criteria'!$C$23)+('Project Tankers'!BG5*'Wastewater Criteria'!$C$9))*(1+'Wastewater Criteria'!$C$36)</f>
        <v>9132.0625679054028</v>
      </c>
      <c r="BH5" s="44">
        <f>(('Project W Pop Connected'!BI5*'Water Demand Criteria'!BL$17/1000)*('Wastewater Criteria'!$C$8+'Wastewater Criteria'!$C$10*'Water Demand Criteria'!BL$56+'Water Demand Criteria'!BL$37*'Wastewater Criteria'!$C$11)*(1+'Wastewater Criteria'!$C$23)+('Project Tankers'!BH5*'Wastewater Criteria'!$C$9))*(1+'Wastewater Criteria'!$C$36)</f>
        <v>9345.6021489465547</v>
      </c>
      <c r="BI5" s="44">
        <f>(('Project W Pop Connected'!BJ5*'Water Demand Criteria'!BM$17/1000)*('Wastewater Criteria'!$C$8+'Wastewater Criteria'!$C$10*'Water Demand Criteria'!BM$56+'Water Demand Criteria'!BM$37*'Wastewater Criteria'!$C$11)*(1+'Wastewater Criteria'!$C$23)+('Project Tankers'!BI5*'Wastewater Criteria'!$C$9))*(1+'Wastewater Criteria'!$C$36)</f>
        <v>9564.2666799326926</v>
      </c>
      <c r="BJ5" s="44">
        <f>(('Project W Pop Connected'!BK5*'Water Demand Criteria'!BN$17/1000)*('Wastewater Criteria'!$C$8+'Wastewater Criteria'!$C$10*'Water Demand Criteria'!BN$56+'Water Demand Criteria'!BN$37*'Wastewater Criteria'!$C$11)*(1+'Wastewater Criteria'!$C$23)+('Project Tankers'!BJ5*'Wastewater Criteria'!$C$9))*(1+'Wastewater Criteria'!$C$36)</f>
        <v>9788.1791596625008</v>
      </c>
      <c r="BK5" s="44">
        <f>(('Project W Pop Connected'!BL5*'Water Demand Criteria'!BO$17/1000)*('Wastewater Criteria'!$C$8+'Wastewater Criteria'!$C$10*'Water Demand Criteria'!BO$56+'Water Demand Criteria'!BO$37*'Wastewater Criteria'!$C$11)*(1+'Wastewater Criteria'!$C$23)+('Project Tankers'!BK5*'Wastewater Criteria'!$C$9))*(1+'Wastewater Criteria'!$C$36)</f>
        <v>10017.465538905821</v>
      </c>
      <c r="BL5" s="44">
        <f>(('Project W Pop Connected'!BM5*'Water Demand Criteria'!BP$17/1000)*('Wastewater Criteria'!$C$8+'Wastewater Criteria'!$C$10*'Water Demand Criteria'!BP$56+'Water Demand Criteria'!BP$37*'Wastewater Criteria'!$C$11)*(1+'Wastewater Criteria'!$C$23)+('Project Tankers'!BL5*'Wastewater Criteria'!$C$9))*(1+'Wastewater Criteria'!$C$36)</f>
        <v>10252.25479125098</v>
      </c>
      <c r="BM5" s="44">
        <f>(('Project W Pop Connected'!BN5*'Water Demand Criteria'!BQ$17/1000)*('Wastewater Criteria'!$C$8+'Wastewater Criteria'!$C$10*'Water Demand Criteria'!BQ$56+'Water Demand Criteria'!BQ$37*'Wastewater Criteria'!$C$11)*(1+'Wastewater Criteria'!$C$23)+('Project Tankers'!BM5*'Wastewater Criteria'!$C$9))*(1+'Wastewater Criteria'!$C$36)</f>
        <v>10492.678985652426</v>
      </c>
      <c r="BN5" s="44">
        <f>(('Project W Pop Connected'!BO5*'Water Demand Criteria'!BR$17/1000)*('Wastewater Criteria'!$C$8+'Wastewater Criteria'!$C$10*'Water Demand Criteria'!BR$56+'Water Demand Criteria'!BR$37*'Wastewater Criteria'!$C$11)*(1+'Wastewater Criteria'!$C$23)+('Project Tankers'!BN5*'Wastewater Criteria'!$C$9))*(1+'Wastewater Criteria'!$C$36)</f>
        <v>10738.873360719508</v>
      </c>
      <c r="BO5" s="44">
        <f>(('Project W Pop Connected'!BP5*'Water Demand Criteria'!BS$17/1000)*('Wastewater Criteria'!$C$8+'Wastewater Criteria'!$C$10*'Water Demand Criteria'!BS$56+'Water Demand Criteria'!BS$37*'Wastewater Criteria'!$C$11)*(1+'Wastewater Criteria'!$C$23)+('Project Tankers'!BO5*'Wastewater Criteria'!$C$9))*(1+'Wastewater Criteria'!$C$36)</f>
        <v>10990.976400788199</v>
      </c>
      <c r="BP5" s="44">
        <f>(('Project W Pop Connected'!BQ5*'Water Demand Criteria'!BT$17/1000)*('Wastewater Criteria'!$C$8+'Wastewater Criteria'!$C$10*'Water Demand Criteria'!BT$56+'Water Demand Criteria'!BT$37*'Wastewater Criteria'!$C$11)*(1+'Wastewater Criteria'!$C$23)+('Project Tankers'!BP5*'Wastewater Criteria'!$C$9))*(1+'Wastewater Criteria'!$C$36)</f>
        <v>11249.129913818539</v>
      </c>
      <c r="BQ5" s="44">
        <f>(('Project W Pop Connected'!BR5*'Water Demand Criteria'!BU$17/1000)*('Wastewater Criteria'!$C$8+'Wastewater Criteria'!$C$10*'Water Demand Criteria'!BU$56+'Water Demand Criteria'!BU$37*'Wastewater Criteria'!$C$11)*(1+'Wastewater Criteria'!$C$23)+('Project Tankers'!BQ5*'Wastewater Criteria'!$C$9))*(1+'Wastewater Criteria'!$C$36)</f>
        <v>11513.479111161609</v>
      </c>
      <c r="BR5" s="44">
        <f>(('Project W Pop Connected'!BS5*'Water Demand Criteria'!BV$17/1000)*('Wastewater Criteria'!$C$8+'Wastewater Criteria'!$C$10*'Water Demand Criteria'!BV$56+'Water Demand Criteria'!BV$37*'Wastewater Criteria'!$C$11)*(1+'Wastewater Criteria'!$C$23)+('Project Tankers'!BR5*'Wastewater Criteria'!$C$9))*(1+'Wastewater Criteria'!$C$36)</f>
        <v>11784.172689240911</v>
      </c>
      <c r="BS5" s="44">
        <f>(('Project W Pop Connected'!BT5*'Water Demand Criteria'!BW$17/1000)*('Wastewater Criteria'!$C$8+'Wastewater Criteria'!$C$10*'Water Demand Criteria'!BW$56+'Water Demand Criteria'!BW$37*'Wastewater Criteria'!$C$11)*(1+'Wastewater Criteria'!$C$23)+('Project Tankers'!BS5*'Wastewater Criteria'!$C$9))*(1+'Wastewater Criteria'!$C$36)</f>
        <v>12061.362913194114</v>
      </c>
      <c r="BT5" s="44">
        <f>(('Project W Pop Connected'!BU5*'Water Demand Criteria'!BX$17/1000)*('Wastewater Criteria'!$C$8+'Wastewater Criteria'!$C$10*'Water Demand Criteria'!BX$56+'Water Demand Criteria'!BX$37*'Wastewater Criteria'!$C$11)*(1+'Wastewater Criteria'!$C$23)+('Project Tankers'!BT5*'Wastewater Criteria'!$C$9))*(1+'Wastewater Criteria'!$C$36)</f>
        <v>12345.205702522193</v>
      </c>
      <c r="BU5" s="44">
        <f>(('Project W Pop Connected'!BV5*'Water Demand Criteria'!BY$17/1000)*('Wastewater Criteria'!$C$8+'Wastewater Criteria'!$C$10*'Water Demand Criteria'!BY$56+'Water Demand Criteria'!BY$37*'Wastewater Criteria'!$C$11)*(1+'Wastewater Criteria'!$C$23)+('Project Tankers'!BU5*'Wastewater Criteria'!$C$9))*(1+'Wastewater Criteria'!$C$36)</f>
        <v>12635.860718794149</v>
      </c>
      <c r="BV5" s="44">
        <f>(('Project W Pop Connected'!BW5*'Water Demand Criteria'!BZ$17/1000)*('Wastewater Criteria'!$C$8+'Wastewater Criteria'!$C$10*'Water Demand Criteria'!BZ$56+'Water Demand Criteria'!BZ$37*'Wastewater Criteria'!$C$11)*(1+'Wastewater Criteria'!$C$23)+('Project Tankers'!BV5*'Wastewater Criteria'!$C$9))*(1+'Wastewater Criteria'!$C$36)</f>
        <v>12933.491455456631</v>
      </c>
      <c r="BW5" s="44">
        <f>(('Project W Pop Connected'!BX5*'Water Demand Criteria'!CA$17/1000)*('Wastewater Criteria'!$C$8+'Wastewater Criteria'!$C$10*'Water Demand Criteria'!CA$56+'Water Demand Criteria'!CA$37*'Wastewater Criteria'!$C$11)*(1+'Wastewater Criteria'!$C$23)+('Project Tankers'!BW5*'Wastewater Criteria'!$C$9))*(1+'Wastewater Criteria'!$C$36)</f>
        <v>13238.265329799015</v>
      </c>
      <c r="BX5" s="44">
        <f>(('Project W Pop Connected'!BY5*'Water Demand Criteria'!CB$17/1000)*('Wastewater Criteria'!$C$8+'Wastewater Criteria'!$C$10*'Water Demand Criteria'!CB$56+'Water Demand Criteria'!CB$37*'Wastewater Criteria'!$C$11)*(1+'Wastewater Criteria'!$C$23)+('Project Tankers'!BX5*'Wastewater Criteria'!$C$9))*(1+'Wastewater Criteria'!$C$36)</f>
        <v>13550.353777125611</v>
      </c>
      <c r="BY5" s="44">
        <f>(('Project W Pop Connected'!BZ5*'Water Demand Criteria'!CC$17/1000)*('Wastewater Criteria'!$C$8+'Wastewater Criteria'!$C$10*'Water Demand Criteria'!CC$56+'Water Demand Criteria'!CC$37*'Wastewater Criteria'!$C$11)*(1+'Wastewater Criteria'!$C$23)+('Project Tankers'!BY5*'Wastewater Criteria'!$C$9))*(1+'Wastewater Criteria'!$C$36)</f>
        <v>13869.932347188047</v>
      </c>
      <c r="BZ5" s="44">
        <f>(('Project W Pop Connected'!CA5*'Water Demand Criteria'!CD$17/1000)*('Wastewater Criteria'!$C$8+'Wastewater Criteria'!$C$10*'Water Demand Criteria'!CD$56+'Water Demand Criteria'!CD$37*'Wastewater Criteria'!$C$11)*(1+'Wastewater Criteria'!$C$23)+('Project Tankers'!BZ5*'Wastewater Criteria'!$C$9))*(1+'Wastewater Criteria'!$C$36)</f>
        <v>14197.180802931978</v>
      </c>
      <c r="CA5" s="44">
        <f>(('Project W Pop Connected'!CB5*'Water Demand Criteria'!CE$17/1000)*('Wastewater Criteria'!$C$8+'Wastewater Criteria'!$C$10*'Water Demand Criteria'!CE$56+'Water Demand Criteria'!CE$37*'Wastewater Criteria'!$C$11)*(1+'Wastewater Criteria'!$C$23)+('Project Tankers'!CA5*'Wastewater Criteria'!$C$9))*(1+'Wastewater Criteria'!$C$36)</f>
        <v>14532.28322161377</v>
      </c>
    </row>
    <row r="6" spans="1:79" x14ac:dyDescent="0.25">
      <c r="A6" s="33">
        <v>5</v>
      </c>
      <c r="B6" s="36" t="s">
        <v>43</v>
      </c>
      <c r="C6" s="34">
        <f>(('Project W Pop Connected'!D6*'Water Demand Criteria'!G$17/1000)*('Wastewater Criteria'!$C$8+'Wastewater Criteria'!$C$10*'Water Demand Criteria'!G$56+'Water Demand Criteria'!G$37*'Wastewater Criteria'!$C$11)*(1+'Wastewater Criteria'!$C$23)+('Project Tankers'!C6*'Wastewater Criteria'!$C$9))*(1+'Wastewater Criteria'!$C$36)</f>
        <v>618.26636996485524</v>
      </c>
      <c r="D6" s="34">
        <f>(('Project W Pop Connected'!E6*'Water Demand Criteria'!H$17/1000)*('Wastewater Criteria'!$C$8+'Wastewater Criteria'!$C$10*'Water Demand Criteria'!H$56+'Water Demand Criteria'!H$37*'Wastewater Criteria'!$C$11)*(1+'Wastewater Criteria'!$C$23)+('Project Tankers'!D6*'Wastewater Criteria'!$C$9))*(1+'Wastewater Criteria'!$C$36)</f>
        <v>658.80404439329789</v>
      </c>
      <c r="E6" s="34">
        <f>(('Project W Pop Connected'!F6*'Water Demand Criteria'!I$17/1000)*('Wastewater Criteria'!$C$8+'Wastewater Criteria'!$C$10*'Water Demand Criteria'!I$56+'Water Demand Criteria'!I$37*'Wastewater Criteria'!$C$11)*(1+'Wastewater Criteria'!$C$23)+('Project Tankers'!E6*'Wastewater Criteria'!$C$9))*(1+'Wastewater Criteria'!$C$36)</f>
        <v>703.01866773126847</v>
      </c>
      <c r="F6" s="34">
        <f>(('Project W Pop Connected'!G6*'Water Demand Criteria'!J$17/1000)*('Wastewater Criteria'!$C$8+'Wastewater Criteria'!$C$10*'Water Demand Criteria'!J$56+'Water Demand Criteria'!J$37*'Wastewater Criteria'!$C$11)*(1+'Wastewater Criteria'!$C$23)+('Project Tankers'!F6*'Wastewater Criteria'!$C$9))*(1+'Wastewater Criteria'!$C$36)</f>
        <v>749.01747553985081</v>
      </c>
      <c r="G6" s="34">
        <f>(('Project W Pop Connected'!H6*'Water Demand Criteria'!K$17/1000)*('Wastewater Criteria'!$C$8+'Wastewater Criteria'!$C$10*'Water Demand Criteria'!K$56+'Water Demand Criteria'!K$37*'Wastewater Criteria'!$C$11)*(1+'Wastewater Criteria'!$C$23)+('Project Tankers'!G6*'Wastewater Criteria'!$C$9))*(1+'Wastewater Criteria'!$C$36)</f>
        <v>796.87816824621416</v>
      </c>
      <c r="H6" s="34">
        <f>(('Project W Pop Connected'!I6*'Water Demand Criteria'!L$17/1000)*('Wastewater Criteria'!$C$8+'Wastewater Criteria'!$C$10*'Water Demand Criteria'!L$56+'Water Demand Criteria'!L$37*'Wastewater Criteria'!$C$11)*(1+'Wastewater Criteria'!$C$23)+('Project Tankers'!H6*'Wastewater Criteria'!$C$9))*(1+'Wastewater Criteria'!$C$36)</f>
        <v>846.64693340442409</v>
      </c>
      <c r="I6" s="34">
        <f>(('Project W Pop Connected'!J6*'Water Demand Criteria'!M$17/1000)*('Wastewater Criteria'!$C$8+'Wastewater Criteria'!$C$10*'Water Demand Criteria'!M$56+'Water Demand Criteria'!M$37*'Wastewater Criteria'!$C$11)*(1+'Wastewater Criteria'!$C$23)+('Project Tankers'!I6*'Wastewater Criteria'!$C$9))*(1+'Wastewater Criteria'!$C$36)</f>
        <v>894.94359574903967</v>
      </c>
      <c r="J6" s="34">
        <f>(('Project W Pop Connected'!K6*'Water Demand Criteria'!N$17/1000)*('Wastewater Criteria'!$C$8+'Wastewater Criteria'!$C$10*'Water Demand Criteria'!N$56+'Water Demand Criteria'!N$37*'Wastewater Criteria'!$C$11)*(1+'Wastewater Criteria'!$C$23)+('Project Tankers'!J6*'Wastewater Criteria'!$C$9))*(1+'Wastewater Criteria'!$C$36)</f>
        <v>948.38310578037294</v>
      </c>
      <c r="K6" s="34">
        <f>(('Project W Pop Connected'!L6*'Water Demand Criteria'!O$17/1000)*('Wastewater Criteria'!$C$8+'Wastewater Criteria'!$C$10*'Water Demand Criteria'!O$56+'Water Demand Criteria'!O$37*'Wastewater Criteria'!$C$11)*(1+'Wastewater Criteria'!$C$23)+('Project Tankers'!K6*'Wastewater Criteria'!$C$9))*(1+'Wastewater Criteria'!$C$36)</f>
        <v>1003.9049706322754</v>
      </c>
      <c r="L6" s="34">
        <f>(('Project W Pop Connected'!M6*'Water Demand Criteria'!P$17/1000)*('Wastewater Criteria'!$C$8+'Wastewater Criteria'!$C$10*'Water Demand Criteria'!P$56+'Water Demand Criteria'!P$37*'Wastewater Criteria'!$C$11)*(1+'Wastewater Criteria'!$C$23)+('Project Tankers'!L6*'Wastewater Criteria'!$C$9))*(1+'Wastewater Criteria'!$C$36)</f>
        <v>1049.6166279228773</v>
      </c>
      <c r="M6" s="34">
        <f>(('Project W Pop Connected'!N6*'Water Demand Criteria'!Q$17/1000)*('Wastewater Criteria'!$C$8+'Wastewater Criteria'!$C$10*'Water Demand Criteria'!Q$56+'Water Demand Criteria'!Q$37*'Wastewater Criteria'!$C$11)*(1+'Wastewater Criteria'!$C$23)+('Project Tankers'!M6*'Wastewater Criteria'!$C$9))*(1+'Wastewater Criteria'!$C$36)</f>
        <v>1121.6780066198528</v>
      </c>
      <c r="N6" s="34">
        <f>(('Project W Pop Connected'!O6*'Water Demand Criteria'!R$17/1000)*('Wastewater Criteria'!$C$8+'Wastewater Criteria'!$C$10*'Water Demand Criteria'!R$56+'Water Demand Criteria'!R$37*'Wastewater Criteria'!$C$11)*(1+'Wastewater Criteria'!$C$23)+('Project Tankers'!N6*'Wastewater Criteria'!$C$9))*(1+'Wastewater Criteria'!$C$36)</f>
        <v>1179.1094099575544</v>
      </c>
      <c r="O6" s="34">
        <f>(('Project W Pop Connected'!P6*'Water Demand Criteria'!S$17/1000)*('Wastewater Criteria'!$C$8+'Wastewater Criteria'!$C$10*'Water Demand Criteria'!S$56+'Water Demand Criteria'!S$37*'Wastewater Criteria'!$C$11)*(1+'Wastewater Criteria'!$C$23)+('Project Tankers'!O6*'Wastewater Criteria'!$C$9))*(1+'Wastewater Criteria'!$C$36)</f>
        <v>1206.9903067137006</v>
      </c>
      <c r="P6" s="34">
        <f>(('Project W Pop Connected'!Q6*'Water Demand Criteria'!T$17/1000)*('Wastewater Criteria'!$C$8+'Wastewater Criteria'!$C$10*'Water Demand Criteria'!T$56+'Water Demand Criteria'!T$37*'Wastewater Criteria'!$C$11)*(1+'Wastewater Criteria'!$C$23)+('Project Tankers'!P6*'Wastewater Criteria'!$C$9))*(1+'Wastewater Criteria'!$C$36)</f>
        <v>1235.9707066122019</v>
      </c>
      <c r="Q6" s="34">
        <f>(('Project W Pop Connected'!R6*'Water Demand Criteria'!U$17/1000)*('Wastewater Criteria'!$C$8+'Wastewater Criteria'!$C$10*'Water Demand Criteria'!U$56+'Water Demand Criteria'!U$37*'Wastewater Criteria'!$C$11)*(1+'Wastewater Criteria'!$C$23)+('Project Tankers'!Q6*'Wastewater Criteria'!$C$9))*(1+'Wastewater Criteria'!$C$36)</f>
        <v>1265.970158203618</v>
      </c>
      <c r="R6" s="34">
        <f>(('Project W Pop Connected'!S6*'Water Demand Criteria'!V$17/1000)*('Wastewater Criteria'!$C$8+'Wastewater Criteria'!$C$10*'Water Demand Criteria'!V$56+'Water Demand Criteria'!V$37*'Wastewater Criteria'!$C$11)*(1+'Wastewater Criteria'!$C$23)+('Project Tankers'!R6*'Wastewater Criteria'!$C$9))*(1+'Wastewater Criteria'!$C$36)</f>
        <v>1297.256832986084</v>
      </c>
      <c r="S6" s="34">
        <f>(('Project W Pop Connected'!T6*'Water Demand Criteria'!W$17/1000)*('Wastewater Criteria'!$C$8+'Wastewater Criteria'!$C$10*'Water Demand Criteria'!W$56+'Water Demand Criteria'!W$37*'Wastewater Criteria'!$C$11)*(1+'Wastewater Criteria'!$C$23)+('Project Tankers'!S6*'Wastewater Criteria'!$C$9))*(1+'Wastewater Criteria'!$C$36)</f>
        <v>1323.3007549800025</v>
      </c>
      <c r="T6" s="34">
        <f>(('Project W Pop Connected'!U6*'Water Demand Criteria'!X$17/1000)*('Wastewater Criteria'!$C$8+'Wastewater Criteria'!$C$10*'Water Demand Criteria'!X$56+'Water Demand Criteria'!X$37*'Wastewater Criteria'!$C$11)*(1+'Wastewater Criteria'!$C$23)+('Project Tankers'!T6*'Wastewater Criteria'!$C$9))*(1+'Wastewater Criteria'!$C$36)</f>
        <v>1346.6393283486561</v>
      </c>
      <c r="U6" s="34">
        <f>(('Project W Pop Connected'!V6*'Water Demand Criteria'!Y$17/1000)*('Wastewater Criteria'!$C$8+'Wastewater Criteria'!$C$10*'Water Demand Criteria'!Y$56+'Water Demand Criteria'!Y$37*'Wastewater Criteria'!$C$11)*(1+'Wastewater Criteria'!$C$23)+('Project Tankers'!U6*'Wastewater Criteria'!$C$9))*(1+'Wastewater Criteria'!$C$36)</f>
        <v>1371.0434045231973</v>
      </c>
      <c r="V6" s="34">
        <f>(('Project W Pop Connected'!W6*'Water Demand Criteria'!Z$17/1000)*('Wastewater Criteria'!$C$8+'Wastewater Criteria'!$C$10*'Water Demand Criteria'!Z$56+'Water Demand Criteria'!Z$37*'Wastewater Criteria'!$C$11)*(1+'Wastewater Criteria'!$C$23)+('Project Tankers'!V6*'Wastewater Criteria'!$C$9))*(1+'Wastewater Criteria'!$C$36)</f>
        <v>1396.2072029586279</v>
      </c>
      <c r="W6" s="34">
        <f>(('Project W Pop Connected'!X6*'Water Demand Criteria'!AA$17/1000)*('Wastewater Criteria'!$C$8+'Wastewater Criteria'!$C$10*'Water Demand Criteria'!AA$56+'Water Demand Criteria'!AA$37*'Wastewater Criteria'!$C$11)*(1+'Wastewater Criteria'!$C$23)+('Project Tankers'!W6*'Wastewater Criteria'!$C$9))*(1+'Wastewater Criteria'!$C$36)</f>
        <v>1422.1830065368495</v>
      </c>
      <c r="X6" s="34">
        <f>(('Project W Pop Connected'!Y6*'Water Demand Criteria'!AB$17/1000)*('Wastewater Criteria'!$C$8+'Wastewater Criteria'!$C$10*'Water Demand Criteria'!AB$56+'Water Demand Criteria'!AB$37*'Wastewater Criteria'!$C$11)*(1+'Wastewater Criteria'!$C$23)+('Project Tankers'!X6*'Wastewater Criteria'!$C$9))*(1+'Wastewater Criteria'!$C$36)</f>
        <v>1449.0230981405159</v>
      </c>
      <c r="Y6" s="34">
        <f>(('Project W Pop Connected'!Z6*'Water Demand Criteria'!AC$17/1000)*('Wastewater Criteria'!$C$8+'Wastewater Criteria'!$C$10*'Water Demand Criteria'!AC$56+'Water Demand Criteria'!AC$37*'Wastewater Criteria'!$C$11)*(1+'Wastewater Criteria'!$C$23)+('Project Tankers'!Y6*'Wastewater Criteria'!$C$9))*(1+'Wastewater Criteria'!$C$36)</f>
        <v>1476.7797606928834</v>
      </c>
      <c r="Z6" s="34">
        <f>(('Project W Pop Connected'!AA6*'Water Demand Criteria'!AD$17/1000)*('Wastewater Criteria'!$C$8+'Wastewater Criteria'!$C$10*'Water Demand Criteria'!AD$56+'Water Demand Criteria'!AD$37*'Wastewater Criteria'!$C$11)*(1+'Wastewater Criteria'!$C$23)+('Project Tankers'!Z6*'Wastewater Criteria'!$C$9))*(1+'Wastewater Criteria'!$C$36)</f>
        <v>1505.5052770483805</v>
      </c>
      <c r="AA6" s="34">
        <f>(('Project W Pop Connected'!AB6*'Water Demand Criteria'!AE$17/1000)*('Wastewater Criteria'!$C$8+'Wastewater Criteria'!$C$10*'Water Demand Criteria'!AE$56+'Water Demand Criteria'!AE$37*'Wastewater Criteria'!$C$11)*(1+'Wastewater Criteria'!$C$23)+('Project Tankers'!AA6*'Wastewater Criteria'!$C$9))*(1+'Wastewater Criteria'!$C$36)</f>
        <v>1535.2519301749051</v>
      </c>
      <c r="AB6" s="34">
        <f>(('Project W Pop Connected'!AC6*'Water Demand Criteria'!AF$17/1000)*('Wastewater Criteria'!$C$8+'Wastewater Criteria'!$C$10*'Water Demand Criteria'!AF$56+'Water Demand Criteria'!AF$37*'Wastewater Criteria'!$C$11)*(1+'Wastewater Criteria'!$C$23)+('Project Tankers'!AB6*'Wastewater Criteria'!$C$9))*(1+'Wastewater Criteria'!$C$36)</f>
        <v>1566.0720028875724</v>
      </c>
      <c r="AC6" s="34">
        <f>(('Project W Pop Connected'!AD6*'Water Demand Criteria'!AG$17/1000)*('Wastewater Criteria'!$C$8+'Wastewater Criteria'!$C$10*'Water Demand Criteria'!AG$56+'Water Demand Criteria'!AG$37*'Wastewater Criteria'!$C$11)*(1+'Wastewater Criteria'!$C$23)+('Project Tankers'!AC6*'Wastewater Criteria'!$C$9))*(1+'Wastewater Criteria'!$C$36)</f>
        <v>1598.0177781805157</v>
      </c>
      <c r="AD6" s="44">
        <f>(('Project W Pop Connected'!AE6*'Water Demand Criteria'!AH$17/1000)*('Wastewater Criteria'!$C$8+'Wastewater Criteria'!$C$10*'Water Demand Criteria'!AH$56+'Water Demand Criteria'!AH$37*'Wastewater Criteria'!$C$11)*(1+'Wastewater Criteria'!$C$23)+('Project Tankers'!AD6*'Wastewater Criteria'!$C$9))*(1+'Wastewater Criteria'!$C$36)</f>
        <v>1650.2494002908506</v>
      </c>
      <c r="AE6" s="44">
        <f>(('Project W Pop Connected'!AF6*'Water Demand Criteria'!AI$17/1000)*('Wastewater Criteria'!$C$8+'Wastewater Criteria'!$C$10*'Water Demand Criteria'!AI$56+'Water Demand Criteria'!AI$37*'Wastewater Criteria'!$C$11)*(1+'Wastewater Criteria'!$C$23)+('Project Tankers'!AE6*'Wastewater Criteria'!$C$9))*(1+'Wastewater Criteria'!$C$36)</f>
        <v>1704.5283584417755</v>
      </c>
      <c r="AF6" s="44">
        <f>(('Project W Pop Connected'!AG6*'Water Demand Criteria'!AJ$17/1000)*('Wastewater Criteria'!$C$8+'Wastewater Criteria'!$C$10*'Water Demand Criteria'!AJ$56+'Water Demand Criteria'!AJ$37*'Wastewater Criteria'!$C$11)*(1+'Wastewater Criteria'!$C$23)+('Project Tankers'!AF6*'Wastewater Criteria'!$C$9))*(1+'Wastewater Criteria'!$C$36)</f>
        <v>1760.947906574416</v>
      </c>
      <c r="AG6" s="44">
        <f>(('Project W Pop Connected'!AH6*'Water Demand Criteria'!AK$17/1000)*('Wastewater Criteria'!$C$8+'Wastewater Criteria'!$C$10*'Water Demand Criteria'!AK$56+'Water Demand Criteria'!AK$37*'Wastewater Criteria'!$C$11)*(1+'Wastewater Criteria'!$C$23)+('Project Tankers'!AG6*'Wastewater Criteria'!$C$9))*(1+'Wastewater Criteria'!$C$36)</f>
        <v>1819.605897591385</v>
      </c>
      <c r="AH6" s="44">
        <f>(('Project W Pop Connected'!AI6*'Water Demand Criteria'!AL$17/1000)*('Wastewater Criteria'!$C$8+'Wastewater Criteria'!$C$10*'Water Demand Criteria'!AL$56+'Water Demand Criteria'!AL$37*'Wastewater Criteria'!$C$11)*(1+'Wastewater Criteria'!$C$23)+('Project Tankers'!AH6*'Wastewater Criteria'!$C$9))*(1+'Wastewater Criteria'!$C$36)</f>
        <v>1880.6050305480426</v>
      </c>
      <c r="AI6" s="44">
        <f>(('Project W Pop Connected'!AJ6*'Water Demand Criteria'!AM$17/1000)*('Wastewater Criteria'!$C$8+'Wastewater Criteria'!$C$10*'Water Demand Criteria'!AM$56+'Water Demand Criteria'!AM$37*'Wastewater Criteria'!$C$11)*(1+'Wastewater Criteria'!$C$23)+('Project Tankers'!AI6*'Wastewater Criteria'!$C$9))*(1+'Wastewater Criteria'!$C$36)</f>
        <v>1944.0531119729849</v>
      </c>
      <c r="AJ6" s="44">
        <f>(('Project W Pop Connected'!AK6*'Water Demand Criteria'!AN$17/1000)*('Wastewater Criteria'!$C$8+'Wastewater Criteria'!$C$10*'Water Demand Criteria'!AN$56+'Water Demand Criteria'!AN$37*'Wastewater Criteria'!$C$11)*(1+'Wastewater Criteria'!$C$23)+('Project Tankers'!AJ6*'Wastewater Criteria'!$C$9))*(1+'Wastewater Criteria'!$C$36)</f>
        <v>2010.0633321759331</v>
      </c>
      <c r="AK6" s="44">
        <f>(('Project W Pop Connected'!AL6*'Water Demand Criteria'!AO$17/1000)*('Wastewater Criteria'!$C$8+'Wastewater Criteria'!$C$10*'Water Demand Criteria'!AO$56+'Water Demand Criteria'!AO$37*'Wastewater Criteria'!$C$11)*(1+'Wastewater Criteria'!$C$23)+('Project Tankers'!AK6*'Wastewater Criteria'!$C$9))*(1+'Wastewater Criteria'!$C$36)</f>
        <v>2078.3908083537153</v>
      </c>
      <c r="AL6" s="44">
        <f>(('Project W Pop Connected'!AM6*'Water Demand Criteria'!AP$17/1000)*('Wastewater Criteria'!$C$8+'Wastewater Criteria'!$C$10*'Water Demand Criteria'!AP$56+'Water Demand Criteria'!AP$37*'Wastewater Criteria'!$C$11)*(1+'Wastewater Criteria'!$C$23)+('Project Tankers'!AL6*'Wastewater Criteria'!$C$9))*(1+'Wastewater Criteria'!$C$36)</f>
        <v>2148.8977378076243</v>
      </c>
      <c r="AM6" s="44">
        <f>(('Project W Pop Connected'!AN6*'Water Demand Criteria'!AQ$17/1000)*('Wastewater Criteria'!$C$8+'Wastewater Criteria'!$C$10*'Water Demand Criteria'!AQ$56+'Water Demand Criteria'!AQ$37*'Wastewater Criteria'!$C$11)*(1+'Wastewater Criteria'!$C$23)+('Project Tankers'!AM6*'Wastewater Criteria'!$C$9))*(1+'Wastewater Criteria'!$C$36)</f>
        <v>2221.649377668638</v>
      </c>
      <c r="AN6" s="44">
        <f>(('Project W Pop Connected'!AO6*'Water Demand Criteria'!AR$17/1000)*('Wastewater Criteria'!$C$8+'Wastewater Criteria'!$C$10*'Water Demand Criteria'!AR$56+'Water Demand Criteria'!AR$37*'Wastewater Criteria'!$C$11)*(1+'Wastewater Criteria'!$C$23)+('Project Tankers'!AN6*'Wastewater Criteria'!$C$9))*(1+'Wastewater Criteria'!$C$36)</f>
        <v>2296.7128620449316</v>
      </c>
      <c r="AO6" s="44">
        <f>(('Project W Pop Connected'!AP6*'Water Demand Criteria'!AS$17/1000)*('Wastewater Criteria'!$C$8+'Wastewater Criteria'!$C$10*'Water Demand Criteria'!AS$56+'Water Demand Criteria'!AS$37*'Wastewater Criteria'!$C$11)*(1+'Wastewater Criteria'!$C$23)+('Project Tankers'!AO6*'Wastewater Criteria'!$C$9))*(1+'Wastewater Criteria'!$C$36)</f>
        <v>2374.1572545286776</v>
      </c>
      <c r="AP6" s="44">
        <f>(('Project W Pop Connected'!AQ6*'Water Demand Criteria'!AT$17/1000)*('Wastewater Criteria'!$C$8+'Wastewater Criteria'!$C$10*'Water Demand Criteria'!AT$56+'Water Demand Criteria'!AT$37*'Wastewater Criteria'!$C$11)*(1+'Wastewater Criteria'!$C$23)+('Project Tankers'!AP6*'Wastewater Criteria'!$C$9))*(1+'Wastewater Criteria'!$C$36)</f>
        <v>2454.0536021420344</v>
      </c>
      <c r="AQ6" s="44">
        <f>(('Project W Pop Connected'!AR6*'Water Demand Criteria'!AU$17/1000)*('Wastewater Criteria'!$C$8+'Wastewater Criteria'!$C$10*'Water Demand Criteria'!AU$56+'Water Demand Criteria'!AU$37*'Wastewater Criteria'!$C$11)*(1+'Wastewater Criteria'!$C$23)+('Project Tankers'!AQ6*'Wastewater Criteria'!$C$9))*(1+'Wastewater Criteria'!$C$36)</f>
        <v>2536.4749907611508</v>
      </c>
      <c r="AR6" s="44">
        <f>(('Project W Pop Connected'!AS6*'Water Demand Criteria'!AV$17/1000)*('Wastewater Criteria'!$C$8+'Wastewater Criteria'!$C$10*'Water Demand Criteria'!AV$56+'Water Demand Criteria'!AV$37*'Wastewater Criteria'!$C$11)*(1+'Wastewater Criteria'!$C$23)+('Project Tankers'!AR6*'Wastewater Criteria'!$C$9))*(1+'Wastewater Criteria'!$C$36)</f>
        <v>2621.49660205808</v>
      </c>
      <c r="AS6" s="44">
        <f>(('Project W Pop Connected'!AT6*'Water Demand Criteria'!AW$17/1000)*('Wastewater Criteria'!$C$8+'Wastewater Criteria'!$C$10*'Water Demand Criteria'!AW$56+'Water Demand Criteria'!AW$37*'Wastewater Criteria'!$C$11)*(1+'Wastewater Criteria'!$C$23)+('Project Tankers'!AS6*'Wastewater Criteria'!$C$9))*(1+'Wastewater Criteria'!$C$36)</f>
        <v>2709.1957720015112</v>
      </c>
      <c r="AT6" s="44">
        <f>(('Project W Pop Connected'!AU6*'Water Demand Criteria'!AX$17/1000)*('Wastewater Criteria'!$C$8+'Wastewater Criteria'!$C$10*'Water Demand Criteria'!AX$56+'Water Demand Criteria'!AX$37*'Wastewater Criteria'!$C$11)*(1+'Wastewater Criteria'!$C$23)+('Project Tankers'!AT6*'Wastewater Criteria'!$C$9))*(1+'Wastewater Criteria'!$C$36)</f>
        <v>2799.6520509583702</v>
      </c>
      <c r="AU6" s="44">
        <f>(('Project W Pop Connected'!AV6*'Water Demand Criteria'!AY$17/1000)*('Wastewater Criteria'!$C$8+'Wastewater Criteria'!$C$10*'Water Demand Criteria'!AY$56+'Water Demand Criteria'!AY$37*'Wastewater Criteria'!$C$11)*(1+'Wastewater Criteria'!$C$23)+('Project Tankers'!AU6*'Wastewater Criteria'!$C$9))*(1+'Wastewater Criteria'!$C$36)</f>
        <v>2892.947265439414</v>
      </c>
      <c r="AV6" s="44">
        <f>(('Project W Pop Connected'!AW6*'Water Demand Criteria'!AZ$17/1000)*('Wastewater Criteria'!$C$8+'Wastewater Criteria'!$C$10*'Water Demand Criteria'!AZ$56+'Water Demand Criteria'!AZ$37*'Wastewater Criteria'!$C$11)*(1+'Wastewater Criteria'!$C$23)+('Project Tankers'!AV6*'Wastewater Criteria'!$C$9))*(1+'Wastewater Criteria'!$C$36)</f>
        <v>2989.1655815331237</v>
      </c>
      <c r="AW6" s="44">
        <f>(('Project W Pop Connected'!AX6*'Water Demand Criteria'!BA$17/1000)*('Wastewater Criteria'!$C$8+'Wastewater Criteria'!$C$10*'Water Demand Criteria'!BA$56+'Water Demand Criteria'!BA$37*'Wastewater Criteria'!$C$11)*(1+'Wastewater Criteria'!$C$23)+('Project Tankers'!AW6*'Wastewater Criteria'!$C$9))*(1+'Wastewater Criteria'!$C$36)</f>
        <v>3088.3935700733668</v>
      </c>
      <c r="AX6" s="44">
        <f>(('Project W Pop Connected'!AY6*'Water Demand Criteria'!BB$17/1000)*('Wastewater Criteria'!$C$8+'Wastewater Criteria'!$C$10*'Water Demand Criteria'!BB$56+'Water Demand Criteria'!BB$37*'Wastewater Criteria'!$C$11)*(1+'Wastewater Criteria'!$C$23)+('Project Tankers'!AX6*'Wastewater Criteria'!$C$9))*(1+'Wastewater Criteria'!$C$36)</f>
        <v>3160.1178949664545</v>
      </c>
      <c r="AY6" s="44">
        <f>(('Project W Pop Connected'!AZ6*'Water Demand Criteria'!BC$17/1000)*('Wastewater Criteria'!$C$8+'Wastewater Criteria'!$C$10*'Water Demand Criteria'!BC$56+'Water Demand Criteria'!BC$37*'Wastewater Criteria'!$C$11)*(1+'Wastewater Criteria'!$C$23)+('Project Tankers'!AY6*'Wastewater Criteria'!$C$9))*(1+'Wastewater Criteria'!$C$36)</f>
        <v>3233.5636036569772</v>
      </c>
      <c r="AZ6" s="44">
        <f>(('Project W Pop Connected'!BA6*'Water Demand Criteria'!BD$17/1000)*('Wastewater Criteria'!$C$8+'Wastewater Criteria'!$C$10*'Water Demand Criteria'!BD$56+'Water Demand Criteria'!BD$37*'Wastewater Criteria'!$C$11)*(1+'Wastewater Criteria'!$C$23)+('Project Tankers'!AZ6*'Wastewater Criteria'!$C$9))*(1+'Wastewater Criteria'!$C$36)</f>
        <v>3308.7720093560715</v>
      </c>
      <c r="BA6" s="44">
        <f>(('Project W Pop Connected'!BB6*'Water Demand Criteria'!BE$17/1000)*('Wastewater Criteria'!$C$8+'Wastewater Criteria'!$C$10*'Water Demand Criteria'!BE$56+'Water Demand Criteria'!BE$37*'Wastewater Criteria'!$C$11)*(1+'Wastewater Criteria'!$C$23)+('Project Tankers'!BA6*'Wastewater Criteria'!$C$9))*(1+'Wastewater Criteria'!$C$36)</f>
        <v>3385.785416791945</v>
      </c>
      <c r="BB6" s="44">
        <f>(('Project W Pop Connected'!BC6*'Water Demand Criteria'!BF$17/1000)*('Wastewater Criteria'!$C$8+'Wastewater Criteria'!$C$10*'Water Demand Criteria'!BF$56+'Water Demand Criteria'!BF$37*'Wastewater Criteria'!$C$11)*(1+'Wastewater Criteria'!$C$23)+('Project Tankers'!BB6*'Wastewater Criteria'!$C$9))*(1+'Wastewater Criteria'!$C$36)</f>
        <v>3464.6471460062789</v>
      </c>
      <c r="BC6" s="44">
        <f>(('Project W Pop Connected'!BD6*'Water Demand Criteria'!BG$17/1000)*('Wastewater Criteria'!$C$8+'Wastewater Criteria'!$C$10*'Water Demand Criteria'!BG$56+'Water Demand Criteria'!BG$37*'Wastewater Criteria'!$C$11)*(1+'Wastewater Criteria'!$C$23)+('Project Tankers'!BC6*'Wastewater Criteria'!$C$9))*(1+'Wastewater Criteria'!$C$36)</f>
        <v>3545.401556721758</v>
      </c>
      <c r="BD6" s="44">
        <f>(('Project W Pop Connected'!BE6*'Water Demand Criteria'!BH$17/1000)*('Wastewater Criteria'!$C$8+'Wastewater Criteria'!$C$10*'Water Demand Criteria'!BH$56+'Water Demand Criteria'!BH$37*'Wastewater Criteria'!$C$11)*(1+'Wastewater Criteria'!$C$23)+('Project Tankers'!BD6*'Wastewater Criteria'!$C$9))*(1+'Wastewater Criteria'!$C$36)</f>
        <v>3628.0940732944068</v>
      </c>
      <c r="BE6" s="44">
        <f>(('Project W Pop Connected'!BF6*'Water Demand Criteria'!BI$17/1000)*('Wastewater Criteria'!$C$8+'Wastewater Criteria'!$C$10*'Water Demand Criteria'!BI$56+'Water Demand Criteria'!BI$37*'Wastewater Criteria'!$C$11)*(1+'Wastewater Criteria'!$C$23)+('Project Tankers'!BE6*'Wastewater Criteria'!$C$9))*(1+'Wastewater Criteria'!$C$36)</f>
        <v>3712.7712102648006</v>
      </c>
      <c r="BF6" s="44">
        <f>(('Project W Pop Connected'!BG6*'Water Demand Criteria'!BJ$17/1000)*('Wastewater Criteria'!$C$8+'Wastewater Criteria'!$C$10*'Water Demand Criteria'!BJ$56+'Water Demand Criteria'!BJ$37*'Wastewater Criteria'!$C$11)*(1+'Wastewater Criteria'!$C$23)+('Project Tankers'!BF6*'Wastewater Criteria'!$C$9))*(1+'Wastewater Criteria'!$C$36)</f>
        <v>3799.480598522483</v>
      </c>
      <c r="BG6" s="44">
        <f>(('Project W Pop Connected'!BH6*'Water Demand Criteria'!BK$17/1000)*('Wastewater Criteria'!$C$8+'Wastewater Criteria'!$C$10*'Water Demand Criteria'!BK$56+'Water Demand Criteria'!BK$37*'Wastewater Criteria'!$C$11)*(1+'Wastewater Criteria'!$C$23)+('Project Tankers'!BG6*'Wastewater Criteria'!$C$9))*(1+'Wastewater Criteria'!$C$36)</f>
        <v>3888.2710120983506</v>
      </c>
      <c r="BH6" s="44">
        <f>(('Project W Pop Connected'!BI6*'Water Demand Criteria'!BL$17/1000)*('Wastewater Criteria'!$C$8+'Wastewater Criteria'!$C$10*'Water Demand Criteria'!BL$56+'Water Demand Criteria'!BL$37*'Wastewater Criteria'!$C$11)*(1+'Wastewater Criteria'!$C$23)+('Project Tankers'!BH6*'Wastewater Criteria'!$C$9))*(1+'Wastewater Criteria'!$C$36)</f>
        <v>3979.1923956000383</v>
      </c>
      <c r="BI6" s="44">
        <f>(('Project W Pop Connected'!BJ6*'Water Demand Criteria'!BM$17/1000)*('Wastewater Criteria'!$C$8+'Wastewater Criteria'!$C$10*'Water Demand Criteria'!BM$56+'Water Demand Criteria'!BM$37*'Wastewater Criteria'!$C$11)*(1+'Wastewater Criteria'!$C$23)+('Project Tankers'!BI6*'Wastewater Criteria'!$C$9))*(1+'Wastewater Criteria'!$C$36)</f>
        <v>4072.2958923057668</v>
      </c>
      <c r="BJ6" s="44">
        <f>(('Project W Pop Connected'!BK6*'Water Demand Criteria'!BN$17/1000)*('Wastewater Criteria'!$C$8+'Wastewater Criteria'!$C$10*'Water Demand Criteria'!BN$56+'Water Demand Criteria'!BN$37*'Wastewater Criteria'!$C$11)*(1+'Wastewater Criteria'!$C$23)+('Project Tankers'!BJ6*'Wastewater Criteria'!$C$9))*(1+'Wastewater Criteria'!$C$36)</f>
        <v>4167.6338729324334</v>
      </c>
      <c r="BK6" s="44">
        <f>(('Project W Pop Connected'!BL6*'Water Demand Criteria'!BO$17/1000)*('Wastewater Criteria'!$C$8+'Wastewater Criteria'!$C$10*'Water Demand Criteria'!BO$56+'Water Demand Criteria'!BO$37*'Wastewater Criteria'!$C$11)*(1+'Wastewater Criteria'!$C$23)+('Project Tankers'!BK6*'Wastewater Criteria'!$C$9))*(1+'Wastewater Criteria'!$C$36)</f>
        <v>4265.2599650941384</v>
      </c>
      <c r="BL6" s="44">
        <f>(('Project W Pop Connected'!BM6*'Water Demand Criteria'!BP$17/1000)*('Wastewater Criteria'!$C$8+'Wastewater Criteria'!$C$10*'Water Demand Criteria'!BP$56+'Water Demand Criteria'!BP$37*'Wastewater Criteria'!$C$11)*(1+'Wastewater Criteria'!$C$23)+('Project Tankers'!BL6*'Wastewater Criteria'!$C$9))*(1+'Wastewater Criteria'!$C$36)</f>
        <v>4365.2290834677251</v>
      </c>
      <c r="BM6" s="44">
        <f>(('Project W Pop Connected'!BN6*'Water Demand Criteria'!BQ$17/1000)*('Wastewater Criteria'!$C$8+'Wastewater Criteria'!$C$10*'Water Demand Criteria'!BQ$56+'Water Demand Criteria'!BQ$37*'Wastewater Criteria'!$C$11)*(1+'Wastewater Criteria'!$C$23)+('Project Tankers'!BM6*'Wastewater Criteria'!$C$9))*(1+'Wastewater Criteria'!$C$36)</f>
        <v>4467.5974606822792</v>
      </c>
      <c r="BN6" s="44">
        <f>(('Project W Pop Connected'!BO6*'Water Demand Criteria'!BR$17/1000)*('Wastewater Criteria'!$C$8+'Wastewater Criteria'!$C$10*'Water Demand Criteria'!BR$56+'Water Demand Criteria'!BR$37*'Wastewater Criteria'!$C$11)*(1+'Wastewater Criteria'!$C$23)+('Project Tankers'!BN6*'Wastewater Criteria'!$C$9))*(1+'Wastewater Criteria'!$C$36)</f>
        <v>4572.4226789499808</v>
      </c>
      <c r="BO6" s="44">
        <f>(('Project W Pop Connected'!BP6*'Water Demand Criteria'!BS$17/1000)*('Wastewater Criteria'!$C$8+'Wastewater Criteria'!$C$10*'Water Demand Criteria'!BS$56+'Water Demand Criteria'!BS$37*'Wastewater Criteria'!$C$11)*(1+'Wastewater Criteria'!$C$23)+('Project Tankers'!BO6*'Wastewater Criteria'!$C$9))*(1+'Wastewater Criteria'!$C$36)</f>
        <v>4679.7637024561081</v>
      </c>
      <c r="BP6" s="44">
        <f>(('Project W Pop Connected'!BQ6*'Water Demand Criteria'!BT$17/1000)*('Wastewater Criteria'!$C$8+'Wastewater Criteria'!$C$10*'Water Demand Criteria'!BT$56+'Water Demand Criteria'!BT$37*'Wastewater Criteria'!$C$11)*(1+'Wastewater Criteria'!$C$23)+('Project Tankers'!BP6*'Wastewater Criteria'!$C$9))*(1+'Wastewater Criteria'!$C$36)</f>
        <v>4789.6809105263828</v>
      </c>
      <c r="BQ6" s="44">
        <f>(('Project W Pop Connected'!BR6*'Water Demand Criteria'!BU$17/1000)*('Wastewater Criteria'!$C$8+'Wastewater Criteria'!$C$10*'Water Demand Criteria'!BU$56+'Water Demand Criteria'!BU$37*'Wastewater Criteria'!$C$11)*(1+'Wastewater Criteria'!$C$23)+('Project Tankers'!BQ6*'Wastewater Criteria'!$C$9))*(1+'Wastewater Criteria'!$C$36)</f>
        <v>4902.2361315903427</v>
      </c>
      <c r="BR6" s="44">
        <f>(('Project W Pop Connected'!BS6*'Water Demand Criteria'!BV$17/1000)*('Wastewater Criteria'!$C$8+'Wastewater Criteria'!$C$10*'Water Demand Criteria'!BV$56+'Water Demand Criteria'!BV$37*'Wastewater Criteria'!$C$11)*(1+'Wastewater Criteria'!$C$23)+('Project Tankers'!BR6*'Wastewater Criteria'!$C$9))*(1+'Wastewater Criteria'!$C$36)</f>
        <v>5017.4926779598381</v>
      </c>
      <c r="BS6" s="44">
        <f>(('Project W Pop Connected'!BT6*'Water Demand Criteria'!BW$17/1000)*('Wastewater Criteria'!$C$8+'Wastewater Criteria'!$C$10*'Water Demand Criteria'!BW$56+'Water Demand Criteria'!BW$37*'Wastewater Criteria'!$C$11)*(1+'Wastewater Criteria'!$C$23)+('Project Tankers'!BS6*'Wastewater Criteria'!$C$9))*(1+'Wastewater Criteria'!$C$36)</f>
        <v>5135.5153814422029</v>
      </c>
      <c r="BT6" s="44">
        <f>(('Project W Pop Connected'!BU6*'Water Demand Criteria'!BX$17/1000)*('Wastewater Criteria'!$C$8+'Wastewater Criteria'!$C$10*'Water Demand Criteria'!BX$56+'Water Demand Criteria'!BX$37*'Wastewater Criteria'!$C$11)*(1+'Wastewater Criteria'!$C$23)+('Project Tankers'!BT6*'Wastewater Criteria'!$C$9))*(1+'Wastewater Criteria'!$C$36)</f>
        <v>5256.3706298081433</v>
      </c>
      <c r="BU6" s="44">
        <f>(('Project W Pop Connected'!BV6*'Water Demand Criteria'!BY$17/1000)*('Wastewater Criteria'!$C$8+'Wastewater Criteria'!$C$10*'Water Demand Criteria'!BY$56+'Water Demand Criteria'!BY$37*'Wastewater Criteria'!$C$11)*(1+'Wastewater Criteria'!$C$23)+('Project Tankers'!BU6*'Wastewater Criteria'!$C$9))*(1+'Wastewater Criteria'!$C$36)</f>
        <v>5380.126404134865</v>
      </c>
      <c r="BV6" s="44">
        <f>(('Project W Pop Connected'!BW6*'Water Demand Criteria'!BZ$17/1000)*('Wastewater Criteria'!$C$8+'Wastewater Criteria'!$C$10*'Water Demand Criteria'!BZ$56+'Water Demand Criteria'!BZ$37*'Wastewater Criteria'!$C$11)*(1+'Wastewater Criteria'!$C$23)+('Project Tankers'!BV6*'Wastewater Criteria'!$C$9))*(1+'Wastewater Criteria'!$C$36)</f>
        <v>5506.85231704543</v>
      </c>
      <c r="BW6" s="44">
        <f>(('Project W Pop Connected'!BX6*'Water Demand Criteria'!CA$17/1000)*('Wastewater Criteria'!$C$8+'Wastewater Criteria'!$C$10*'Water Demand Criteria'!CA$56+'Water Demand Criteria'!CA$37*'Wastewater Criteria'!$C$11)*(1+'Wastewater Criteria'!$C$23)+('Project Tankers'!BW6*'Wastewater Criteria'!$C$9))*(1+'Wastewater Criteria'!$C$36)</f>
        <v>5636.6196518658498</v>
      </c>
      <c r="BX6" s="44">
        <f>(('Project W Pop Connected'!BY6*'Water Demand Criteria'!CB$17/1000)*('Wastewater Criteria'!$C$8+'Wastewater Criteria'!$C$10*'Water Demand Criteria'!CB$56+'Water Demand Criteria'!CB$37*'Wastewater Criteria'!$C$11)*(1+'Wastewater Criteria'!$C$23)+('Project Tankers'!BX6*'Wastewater Criteria'!$C$9))*(1+'Wastewater Criteria'!$C$36)</f>
        <v>5769.5014027219577</v>
      </c>
      <c r="BY6" s="44">
        <f>(('Project W Pop Connected'!BZ6*'Water Demand Criteria'!CC$17/1000)*('Wastewater Criteria'!$C$8+'Wastewater Criteria'!$C$10*'Water Demand Criteria'!CC$56+'Water Demand Criteria'!CC$37*'Wastewater Criteria'!$C$11)*(1+'Wastewater Criteria'!$C$23)+('Project Tankers'!BY6*'Wastewater Criteria'!$C$9))*(1+'Wastewater Criteria'!$C$36)</f>
        <v>5905.5723155986134</v>
      </c>
      <c r="BZ6" s="44">
        <f>(('Project W Pop Connected'!CA6*'Water Demand Criteria'!CD$17/1000)*('Wastewater Criteria'!$C$8+'Wastewater Criteria'!$C$10*'Water Demand Criteria'!CD$56+'Water Demand Criteria'!CD$37*'Wastewater Criteria'!$C$11)*(1+'Wastewater Criteria'!$C$23)+('Project Tankers'!BZ6*'Wastewater Criteria'!$C$9))*(1+'Wastewater Criteria'!$C$36)</f>
        <v>6044.9089303843048</v>
      </c>
      <c r="CA6" s="44">
        <f>(('Project W Pop Connected'!CB6*'Water Demand Criteria'!CE$17/1000)*('Wastewater Criteria'!$C$8+'Wastewater Criteria'!$C$10*'Water Demand Criteria'!CE$56+'Water Demand Criteria'!CE$37*'Wastewater Criteria'!$C$11)*(1+'Wastewater Criteria'!$C$23)+('Project Tankers'!CA6*'Wastewater Criteria'!$C$9))*(1+'Wastewater Criteria'!$C$36)</f>
        <v>6187.5896239248568</v>
      </c>
    </row>
    <row r="7" spans="1:79" x14ac:dyDescent="0.25">
      <c r="A7" s="33">
        <v>6</v>
      </c>
      <c r="B7" s="36" t="s">
        <v>39</v>
      </c>
      <c r="C7" s="34">
        <f>(('Project W Pop Connected'!D7*'Water Demand Criteria'!G$17/1000)*('Wastewater Criteria'!$C$8+'Wastewater Criteria'!$C$10*'Water Demand Criteria'!G$56+'Water Demand Criteria'!G$37*'Wastewater Criteria'!$C$11)*(1+'Wastewater Criteria'!$C$23)+('Project Tankers'!C7*'Wastewater Criteria'!$C$9))*(1+'Wastewater Criteria'!$C$36)</f>
        <v>85.727149148264274</v>
      </c>
      <c r="D7" s="34">
        <f>(('Project W Pop Connected'!E7*'Water Demand Criteria'!H$17/1000)*('Wastewater Criteria'!$C$8+'Wastewater Criteria'!$C$10*'Water Demand Criteria'!H$56+'Water Demand Criteria'!H$37*'Wastewater Criteria'!$C$11)*(1+'Wastewater Criteria'!$C$23)+('Project Tankers'!D7*'Wastewater Criteria'!$C$9))*(1+'Wastewater Criteria'!$C$36)</f>
        <v>91.347993869364686</v>
      </c>
      <c r="E7" s="34">
        <f>(('Project W Pop Connected'!F7*'Water Demand Criteria'!I$17/1000)*('Wastewater Criteria'!$C$8+'Wastewater Criteria'!$C$10*'Water Demand Criteria'!I$56+'Water Demand Criteria'!I$37*'Wastewater Criteria'!$C$11)*(1+'Wastewater Criteria'!$C$23)+('Project Tankers'!E7*'Wastewater Criteria'!$C$9))*(1+'Wastewater Criteria'!$C$36)</f>
        <v>97.478674419956491</v>
      </c>
      <c r="F7" s="34">
        <f>(('Project W Pop Connected'!G7*'Water Demand Criteria'!J$17/1000)*('Wastewater Criteria'!$C$8+'Wastewater Criteria'!$C$10*'Water Demand Criteria'!J$56+'Water Demand Criteria'!J$37*'Wastewater Criteria'!$C$11)*(1+'Wastewater Criteria'!$C$23)+('Project Tankers'!F7*'Wastewater Criteria'!$C$9))*(1+'Wastewater Criteria'!$C$36)</f>
        <v>103.85674518235753</v>
      </c>
      <c r="G7" s="34">
        <f>(('Project W Pop Connected'!H7*'Water Demand Criteria'!K$17/1000)*('Wastewater Criteria'!$C$8+'Wastewater Criteria'!$C$10*'Water Demand Criteria'!K$56+'Water Demand Criteria'!K$37*'Wastewater Criteria'!$C$11)*(1+'Wastewater Criteria'!$C$23)+('Project Tankers'!G7*'Wastewater Criteria'!$C$9))*(1+'Wastewater Criteria'!$C$36)</f>
        <v>110.49297988846146</v>
      </c>
      <c r="H7" s="34">
        <f>(('Project W Pop Connected'!I7*'Water Demand Criteria'!L$17/1000)*('Wastewater Criteria'!$C$8+'Wastewater Criteria'!$C$10*'Water Demand Criteria'!L$56+'Water Demand Criteria'!L$37*'Wastewater Criteria'!$C$11)*(1+'Wastewater Criteria'!$C$23)+('Project Tankers'!H7*'Wastewater Criteria'!$C$9))*(1+'Wastewater Criteria'!$C$36)</f>
        <v>117.39378278007811</v>
      </c>
      <c r="I7" s="34">
        <f>(('Project W Pop Connected'!J7*'Water Demand Criteria'!M$17/1000)*('Wastewater Criteria'!$C$8+'Wastewater Criteria'!$C$10*'Water Demand Criteria'!M$56+'Water Demand Criteria'!M$37*'Wastewater Criteria'!$C$11)*(1+'Wastewater Criteria'!$C$23)+('Project Tankers'!I7*'Wastewater Criteria'!$C$9))*(1+'Wastewater Criteria'!$C$36)</f>
        <v>124.09046786164829</v>
      </c>
      <c r="J7" s="34">
        <f>(('Project W Pop Connected'!K7*'Water Demand Criteria'!N$17/1000)*('Wastewater Criteria'!$C$8+'Wastewater Criteria'!$C$10*'Water Demand Criteria'!N$56+'Water Demand Criteria'!N$37*'Wastewater Criteria'!$C$11)*(1+'Wastewater Criteria'!$C$23)+('Project Tankers'!J7*'Wastewater Criteria'!$C$9))*(1+'Wastewater Criteria'!$C$36)</f>
        <v>131.50024634778313</v>
      </c>
      <c r="K7" s="34">
        <f>(('Project W Pop Connected'!L7*'Water Demand Criteria'!O$17/1000)*('Wastewater Criteria'!$C$8+'Wastewater Criteria'!$C$10*'Water Demand Criteria'!O$56+'Water Demand Criteria'!O$37*'Wastewater Criteria'!$C$11)*(1+'Wastewater Criteria'!$C$23)+('Project Tankers'!K7*'Wastewater Criteria'!$C$9))*(1+'Wastewater Criteria'!$C$36)</f>
        <v>139.19875854313253</v>
      </c>
      <c r="L7" s="34">
        <f>(('Project W Pop Connected'!M7*'Water Demand Criteria'!P$17/1000)*('Wastewater Criteria'!$C$8+'Wastewater Criteria'!$C$10*'Water Demand Criteria'!P$56+'Water Demand Criteria'!P$37*'Wastewater Criteria'!$C$11)*(1+'Wastewater Criteria'!$C$23)+('Project Tankers'!L7*'Wastewater Criteria'!$C$9))*(1+'Wastewater Criteria'!$C$36)</f>
        <v>145.53701378834106</v>
      </c>
      <c r="M7" s="34">
        <f>(('Project W Pop Connected'!N7*'Water Demand Criteria'!Q$17/1000)*('Wastewater Criteria'!$C$8+'Wastewater Criteria'!$C$10*'Water Demand Criteria'!Q$56+'Water Demand Criteria'!Q$37*'Wastewater Criteria'!$C$11)*(1+'Wastewater Criteria'!$C$23)+('Project Tankers'!M7*'Wastewater Criteria'!$C$9))*(1+'Wastewater Criteria'!$C$36)</f>
        <v>155.52885041328364</v>
      </c>
      <c r="N7" s="34">
        <f>(('Project W Pop Connected'!O7*'Water Demand Criteria'!R$17/1000)*('Wastewater Criteria'!$C$8+'Wastewater Criteria'!$C$10*'Water Demand Criteria'!R$56+'Water Demand Criteria'!R$37*'Wastewater Criteria'!$C$11)*(1+'Wastewater Criteria'!$C$23)+('Project Tankers'!N7*'Wastewater Criteria'!$C$9))*(1+'Wastewater Criteria'!$C$36)</f>
        <v>163.49213407046389</v>
      </c>
      <c r="O7" s="34">
        <f>(('Project W Pop Connected'!P7*'Water Demand Criteria'!S$17/1000)*('Wastewater Criteria'!$C$8+'Wastewater Criteria'!$C$10*'Water Demand Criteria'!S$56+'Water Demand Criteria'!S$37*'Wastewater Criteria'!$C$11)*(1+'Wastewater Criteria'!$C$23)+('Project Tankers'!O7*'Wastewater Criteria'!$C$9))*(1+'Wastewater Criteria'!$C$36)</f>
        <v>167.35802409895982</v>
      </c>
      <c r="P7" s="34">
        <f>(('Project W Pop Connected'!Q7*'Water Demand Criteria'!T$17/1000)*('Wastewater Criteria'!$C$8+'Wastewater Criteria'!$C$10*'Water Demand Criteria'!T$56+'Water Demand Criteria'!T$37*'Wastewater Criteria'!$C$11)*(1+'Wastewater Criteria'!$C$23)+('Project Tankers'!P7*'Wastewater Criteria'!$C$9))*(1+'Wastewater Criteria'!$C$36)</f>
        <v>171.3763682709328</v>
      </c>
      <c r="Q7" s="34">
        <f>(('Project W Pop Connected'!R7*'Water Demand Criteria'!U$17/1000)*('Wastewater Criteria'!$C$8+'Wastewater Criteria'!$C$10*'Water Demand Criteria'!U$56+'Water Demand Criteria'!U$37*'Wastewater Criteria'!$C$11)*(1+'Wastewater Criteria'!$C$23)+('Project Tankers'!Q7*'Wastewater Criteria'!$C$9))*(1+'Wastewater Criteria'!$C$36)</f>
        <v>175.53601140515278</v>
      </c>
      <c r="R7" s="34">
        <f>(('Project W Pop Connected'!S7*'Water Demand Criteria'!V$17/1000)*('Wastewater Criteria'!$C$8+'Wastewater Criteria'!$C$10*'Water Demand Criteria'!V$56+'Water Demand Criteria'!V$37*'Wastewater Criteria'!$C$11)*(1+'Wastewater Criteria'!$C$23)+('Project Tankers'!R7*'Wastewater Criteria'!$C$9))*(1+'Wastewater Criteria'!$C$36)</f>
        <v>179.87413743905333</v>
      </c>
      <c r="S7" s="34">
        <f>(('Project W Pop Connected'!T7*'Water Demand Criteria'!W$17/1000)*('Wastewater Criteria'!$C$8+'Wastewater Criteria'!$C$10*'Water Demand Criteria'!W$56+'Water Demand Criteria'!W$37*'Wastewater Criteria'!$C$11)*(1+'Wastewater Criteria'!$C$23)+('Project Tankers'!S7*'Wastewater Criteria'!$C$9))*(1+'Wastewater Criteria'!$C$36)</f>
        <v>183.48531749613025</v>
      </c>
      <c r="T7" s="34">
        <f>(('Project W Pop Connected'!U7*'Water Demand Criteria'!X$17/1000)*('Wastewater Criteria'!$C$8+'Wastewater Criteria'!$C$10*'Water Demand Criteria'!X$56+'Water Demand Criteria'!X$37*'Wastewater Criteria'!$C$11)*(1+'Wastewater Criteria'!$C$23)+('Project Tankers'!T7*'Wastewater Criteria'!$C$9))*(1+'Wastewater Criteria'!$C$36)</f>
        <v>186.72138120148111</v>
      </c>
      <c r="U7" s="34">
        <f>(('Project W Pop Connected'!V7*'Water Demand Criteria'!Y$17/1000)*('Wastewater Criteria'!$C$8+'Wastewater Criteria'!$C$10*'Water Demand Criteria'!Y$56+'Water Demand Criteria'!Y$37*'Wastewater Criteria'!$C$11)*(1+'Wastewater Criteria'!$C$23)+('Project Tankers'!U7*'Wastewater Criteria'!$C$9))*(1+'Wastewater Criteria'!$C$36)</f>
        <v>190.10518465525683</v>
      </c>
      <c r="V7" s="34">
        <f>(('Project W Pop Connected'!W7*'Water Demand Criteria'!Z$17/1000)*('Wastewater Criteria'!$C$8+'Wastewater Criteria'!$C$10*'Water Demand Criteria'!Z$56+'Water Demand Criteria'!Z$37*'Wastewater Criteria'!$C$11)*(1+'Wastewater Criteria'!$C$23)+('Project Tankers'!V7*'Wastewater Criteria'!$C$9))*(1+'Wastewater Criteria'!$C$36)</f>
        <v>193.59432915091114</v>
      </c>
      <c r="W7" s="34">
        <f>(('Project W Pop Connected'!X7*'Water Demand Criteria'!AA$17/1000)*('Wastewater Criteria'!$C$8+'Wastewater Criteria'!$C$10*'Water Demand Criteria'!AA$56+'Water Demand Criteria'!AA$37*'Wastewater Criteria'!$C$11)*(1+'Wastewater Criteria'!$C$23)+('Project Tankers'!W7*'Wastewater Criteria'!$C$9))*(1+'Wastewater Criteria'!$C$36)</f>
        <v>197.19606409198965</v>
      </c>
      <c r="X7" s="34">
        <f>(('Project W Pop Connected'!Y7*'Water Demand Criteria'!AB$17/1000)*('Wastewater Criteria'!$C$8+'Wastewater Criteria'!$C$10*'Water Demand Criteria'!AB$56+'Water Demand Criteria'!AB$37*'Wastewater Criteria'!$C$11)*(1+'Wastewater Criteria'!$C$23)+('Project Tankers'!X7*'Wastewater Criteria'!$C$9))*(1+'Wastewater Criteria'!$C$36)</f>
        <v>200.9176388821426</v>
      </c>
      <c r="Y7" s="34">
        <f>(('Project W Pop Connected'!Z7*'Water Demand Criteria'!AC$17/1000)*('Wastewater Criteria'!$C$8+'Wastewater Criteria'!$C$10*'Water Demand Criteria'!AC$56+'Water Demand Criteria'!AC$37*'Wastewater Criteria'!$C$11)*(1+'Wastewater Criteria'!$C$23)+('Project Tankers'!Y7*'Wastewater Criteria'!$C$9))*(1+'Wastewater Criteria'!$C$36)</f>
        <v>204.76630293064989</v>
      </c>
      <c r="Z7" s="34">
        <f>(('Project W Pop Connected'!AA7*'Water Demand Criteria'!AD$17/1000)*('Wastewater Criteria'!$C$8+'Wastewater Criteria'!$C$10*'Water Demand Criteria'!AD$56+'Water Demand Criteria'!AD$37*'Wastewater Criteria'!$C$11)*(1+'Wastewater Criteria'!$C$23)+('Project Tankers'!Z7*'Wastewater Criteria'!$C$9))*(1+'Wastewater Criteria'!$C$36)</f>
        <v>208.749305637248</v>
      </c>
      <c r="AA7" s="34">
        <f>(('Project W Pop Connected'!AB7*'Water Demand Criteria'!AE$17/1000)*('Wastewater Criteria'!$C$8+'Wastewater Criteria'!$C$10*'Water Demand Criteria'!AE$56+'Water Demand Criteria'!AE$37*'Wastewater Criteria'!$C$11)*(1+'Wastewater Criteria'!$C$23)+('Project Tankers'!AA7*'Wastewater Criteria'!$C$9))*(1+'Wastewater Criteria'!$C$36)</f>
        <v>212.87389641740671</v>
      </c>
      <c r="AB7" s="34">
        <f>(('Project W Pop Connected'!AC7*'Water Demand Criteria'!AF$17/1000)*('Wastewater Criteria'!$C$8+'Wastewater Criteria'!$C$10*'Water Demand Criteria'!AF$56+'Water Demand Criteria'!AF$37*'Wastewater Criteria'!$C$11)*(1+'Wastewater Criteria'!$C$23)+('Project Tankers'!AB7*'Wastewater Criteria'!$C$9))*(1+'Wastewater Criteria'!$C$36)</f>
        <v>217.1473246654115</v>
      </c>
      <c r="AC7" s="34">
        <f>(('Project W Pop Connected'!AD7*'Water Demand Criteria'!AG$17/1000)*('Wastewater Criteria'!$C$8+'Wastewater Criteria'!$C$10*'Water Demand Criteria'!AG$56+'Water Demand Criteria'!AG$37*'Wastewater Criteria'!$C$11)*(1+'Wastewater Criteria'!$C$23)+('Project Tankers'!AC7*'Wastewater Criteria'!$C$9))*(1+'Wastewater Criteria'!$C$36)</f>
        <v>221.57683980036992</v>
      </c>
      <c r="AD7" s="44">
        <f>(('Project W Pop Connected'!AE7*'Water Demand Criteria'!AH$17/1000)*('Wastewater Criteria'!$C$8+'Wastewater Criteria'!$C$10*'Water Demand Criteria'!AH$56+'Water Demand Criteria'!AH$37*'Wastewater Criteria'!$C$11)*(1+'Wastewater Criteria'!$C$23)+('Project Tankers'!AD7*'Wastewater Criteria'!$C$9))*(1+'Wastewater Criteria'!$C$36)</f>
        <v>228.81913580162743</v>
      </c>
      <c r="AE7" s="44">
        <f>(('Project W Pop Connected'!AF7*'Water Demand Criteria'!AI$17/1000)*('Wastewater Criteria'!$C$8+'Wastewater Criteria'!$C$10*'Water Demand Criteria'!AI$56+'Water Demand Criteria'!AI$37*'Wastewater Criteria'!$C$11)*(1+'Wastewater Criteria'!$C$23)+('Project Tankers'!AE7*'Wastewater Criteria'!$C$9))*(1+'Wastewater Criteria'!$C$36)</f>
        <v>236.34530990241376</v>
      </c>
      <c r="AF7" s="44">
        <f>(('Project W Pop Connected'!AG7*'Water Demand Criteria'!AJ$17/1000)*('Wastewater Criteria'!$C$8+'Wastewater Criteria'!$C$10*'Water Demand Criteria'!AJ$56+'Water Demand Criteria'!AJ$37*'Wastewater Criteria'!$C$11)*(1+'Wastewater Criteria'!$C$23)+('Project Tankers'!AF7*'Wastewater Criteria'!$C$9))*(1+'Wastewater Criteria'!$C$36)</f>
        <v>244.16829244296423</v>
      </c>
      <c r="AG7" s="44">
        <f>(('Project W Pop Connected'!AH7*'Water Demand Criteria'!AK$17/1000)*('Wastewater Criteria'!$C$8+'Wastewater Criteria'!$C$10*'Water Demand Criteria'!AK$56+'Water Demand Criteria'!AK$37*'Wastewater Criteria'!$C$11)*(1+'Wastewater Criteria'!$C$23)+('Project Tankers'!AG7*'Wastewater Criteria'!$C$9))*(1+'Wastewater Criteria'!$C$36)</f>
        <v>252.30165144312315</v>
      </c>
      <c r="AH7" s="44">
        <f>(('Project W Pop Connected'!AI7*'Water Demand Criteria'!AL$17/1000)*('Wastewater Criteria'!$C$8+'Wastewater Criteria'!$C$10*'Water Demand Criteria'!AL$56+'Water Demand Criteria'!AL$37*'Wastewater Criteria'!$C$11)*(1+'Wastewater Criteria'!$C$23)+('Project Tankers'!AH7*'Wastewater Criteria'!$C$9))*(1+'Wastewater Criteria'!$C$36)</f>
        <v>260.75962687721869</v>
      </c>
      <c r="AI7" s="44">
        <f>(('Project W Pop Connected'!AJ7*'Water Demand Criteria'!AM$17/1000)*('Wastewater Criteria'!$C$8+'Wastewater Criteria'!$C$10*'Water Demand Criteria'!AM$56+'Water Demand Criteria'!AM$37*'Wastewater Criteria'!$C$11)*(1+'Wastewater Criteria'!$C$23)+('Project Tankers'!AI7*'Wastewater Criteria'!$C$9))*(1+'Wastewater Criteria'!$C$36)</f>
        <v>269.55716690805758</v>
      </c>
      <c r="AJ7" s="44">
        <f>(('Project W Pop Connected'!AK7*'Water Demand Criteria'!AN$17/1000)*('Wastewater Criteria'!$C$8+'Wastewater Criteria'!$C$10*'Water Demand Criteria'!AN$56+'Water Demand Criteria'!AN$37*'Wastewater Criteria'!$C$11)*(1+'Wastewater Criteria'!$C$23)+('Project Tankers'!AJ7*'Wastewater Criteria'!$C$9))*(1+'Wastewater Criteria'!$C$36)</f>
        <v>278.70996619903252</v>
      </c>
      <c r="AK7" s="44">
        <f>(('Project W Pop Connected'!AL7*'Water Demand Criteria'!AO$17/1000)*('Wastewater Criteria'!$C$8+'Wastewater Criteria'!$C$10*'Water Demand Criteria'!AO$56+'Water Demand Criteria'!AO$37*'Wastewater Criteria'!$C$11)*(1+'Wastewater Criteria'!$C$23)+('Project Tankers'!AK7*'Wastewater Criteria'!$C$9))*(1+'Wastewater Criteria'!$C$36)</f>
        <v>288.18406996040977</v>
      </c>
      <c r="AL7" s="44">
        <f>(('Project W Pop Connected'!AM7*'Water Demand Criteria'!AP$17/1000)*('Wastewater Criteria'!$C$8+'Wastewater Criteria'!$C$10*'Water Demand Criteria'!AP$56+'Water Demand Criteria'!AP$37*'Wastewater Criteria'!$C$11)*(1+'Wastewater Criteria'!$C$23)+('Project Tankers'!AL7*'Wastewater Criteria'!$C$9))*(1+'Wastewater Criteria'!$C$36)</f>
        <v>297.96037084125021</v>
      </c>
      <c r="AM7" s="44">
        <f>(('Project W Pop Connected'!AN7*'Water Demand Criteria'!AQ$17/1000)*('Wastewater Criteria'!$C$8+'Wastewater Criteria'!$C$10*'Water Demand Criteria'!AQ$56+'Water Demand Criteria'!AQ$37*'Wastewater Criteria'!$C$11)*(1+'Wastewater Criteria'!$C$23)+('Project Tankers'!AM7*'Wastewater Criteria'!$C$9))*(1+'Wastewater Criteria'!$C$36)</f>
        <v>308.04791721952154</v>
      </c>
      <c r="AN7" s="44">
        <f>(('Project W Pop Connected'!AO7*'Water Demand Criteria'!AR$17/1000)*('Wastewater Criteria'!$C$8+'Wastewater Criteria'!$C$10*'Water Demand Criteria'!AR$56+'Water Demand Criteria'!AR$37*'Wastewater Criteria'!$C$11)*(1+'Wastewater Criteria'!$C$23)+('Project Tankers'!AN7*'Wastewater Criteria'!$C$9))*(1+'Wastewater Criteria'!$C$36)</f>
        <v>318.45601772979296</v>
      </c>
      <c r="AO7" s="44">
        <f>(('Project W Pop Connected'!AP7*'Water Demand Criteria'!AS$17/1000)*('Wastewater Criteria'!$C$8+'Wastewater Criteria'!$C$10*'Water Demand Criteria'!AS$56+'Water Demand Criteria'!AS$37*'Wastewater Criteria'!$C$11)*(1+'Wastewater Criteria'!$C$23)+('Project Tankers'!AO7*'Wastewater Criteria'!$C$9))*(1+'Wastewater Criteria'!$C$36)</f>
        <v>329.19424854368668</v>
      </c>
      <c r="AP7" s="44">
        <f>(('Project W Pop Connected'!AQ7*'Water Demand Criteria'!AT$17/1000)*('Wastewater Criteria'!$C$8+'Wastewater Criteria'!$C$10*'Water Demand Criteria'!AT$56+'Water Demand Criteria'!AT$37*'Wastewater Criteria'!$C$11)*(1+'Wastewater Criteria'!$C$23)+('Project Tankers'!AP7*'Wastewater Criteria'!$C$9))*(1+'Wastewater Criteria'!$C$36)</f>
        <v>340.27246084988269</v>
      </c>
      <c r="AQ7" s="44">
        <f>(('Project W Pop Connected'!AR7*'Water Demand Criteria'!AU$17/1000)*('Wastewater Criteria'!$C$8+'Wastewater Criteria'!$C$10*'Water Demand Criteria'!AU$56+'Water Demand Criteria'!AU$37*'Wastewater Criteria'!$C$11)*(1+'Wastewater Criteria'!$C$23)+('Project Tankers'!AQ7*'Wastewater Criteria'!$C$9))*(1+'Wastewater Criteria'!$C$36)</f>
        <v>351.70078853906261</v>
      </c>
      <c r="AR7" s="44">
        <f>(('Project W Pop Connected'!AS7*'Water Demand Criteria'!AV$17/1000)*('Wastewater Criteria'!$C$8+'Wastewater Criteria'!$C$10*'Water Demand Criteria'!AV$56+'Water Demand Criteria'!AV$37*'Wastewater Criteria'!$C$11)*(1+'Wastewater Criteria'!$C$23)+('Project Tankers'!AR7*'Wastewater Criteria'!$C$9))*(1+'Wastewater Criteria'!$C$36)</f>
        <v>363.48965609932134</v>
      </c>
      <c r="AS7" s="44">
        <f>(('Project W Pop Connected'!AT7*'Water Demand Criteria'!AW$17/1000)*('Wastewater Criteria'!$C$8+'Wastewater Criteria'!$C$10*'Water Demand Criteria'!AW$56+'Water Demand Criteria'!AW$37*'Wastewater Criteria'!$C$11)*(1+'Wastewater Criteria'!$C$23)+('Project Tankers'!AS7*'Wastewater Criteria'!$C$9))*(1+'Wastewater Criteria'!$C$36)</f>
        <v>375.64978672772162</v>
      </c>
      <c r="AT7" s="44">
        <f>(('Project W Pop Connected'!AU7*'Water Demand Criteria'!AX$17/1000)*('Wastewater Criteria'!$C$8+'Wastewater Criteria'!$C$10*'Water Demand Criteria'!AX$56+'Water Demand Criteria'!AX$37*'Wastewater Criteria'!$C$11)*(1+'Wastewater Criteria'!$C$23)+('Project Tankers'!AT7*'Wastewater Criteria'!$C$9))*(1+'Wastewater Criteria'!$C$36)</f>
        <v>388.19221066381959</v>
      </c>
      <c r="AU7" s="44">
        <f>(('Project W Pop Connected'!AV7*'Water Demand Criteria'!AY$17/1000)*('Wastewater Criteria'!$C$8+'Wastewater Criteria'!$C$10*'Water Demand Criteria'!AY$56+'Water Demand Criteria'!AY$37*'Wastewater Criteria'!$C$11)*(1+'Wastewater Criteria'!$C$23)+('Project Tankers'!AU7*'Wastewater Criteria'!$C$9))*(1+'Wastewater Criteria'!$C$36)</f>
        <v>401.12827375114284</v>
      </c>
      <c r="AV7" s="44">
        <f>(('Project W Pop Connected'!AW7*'Water Demand Criteria'!AZ$17/1000)*('Wastewater Criteria'!$C$8+'Wastewater Criteria'!$C$10*'Water Demand Criteria'!AZ$56+'Water Demand Criteria'!AZ$37*'Wastewater Criteria'!$C$11)*(1+'Wastewater Criteria'!$C$23)+('Project Tankers'!AV7*'Wastewater Criteria'!$C$9))*(1+'Wastewater Criteria'!$C$36)</f>
        <v>414.46964623276295</v>
      </c>
      <c r="AW7" s="44">
        <f>(('Project W Pop Connected'!AX7*'Water Demand Criteria'!BA$17/1000)*('Wastewater Criteria'!$C$8+'Wastewater Criteria'!$C$10*'Water Demand Criteria'!BA$56+'Water Demand Criteria'!BA$37*'Wastewater Criteria'!$C$11)*(1+'Wastewater Criteria'!$C$23)+('Project Tankers'!AW7*'Wastewater Criteria'!$C$9))*(1+'Wastewater Criteria'!$C$36)</f>
        <v>428.22833178726785</v>
      </c>
      <c r="AX7" s="44">
        <f>(('Project W Pop Connected'!AY7*'Water Demand Criteria'!BB$17/1000)*('Wastewater Criteria'!$C$8+'Wastewater Criteria'!$C$10*'Water Demand Criteria'!BB$56+'Water Demand Criteria'!BB$37*'Wastewater Criteria'!$C$11)*(1+'Wastewater Criteria'!$C$23)+('Project Tankers'!AX7*'Wastewater Criteria'!$C$9))*(1+'Wastewater Criteria'!$C$36)</f>
        <v>438.17343343984174</v>
      </c>
      <c r="AY7" s="44">
        <f>(('Project W Pop Connected'!AZ7*'Water Demand Criteria'!BC$17/1000)*('Wastewater Criteria'!$C$8+'Wastewater Criteria'!$C$10*'Water Demand Criteria'!BC$56+'Water Demand Criteria'!BC$37*'Wastewater Criteria'!$C$11)*(1+'Wastewater Criteria'!$C$23)+('Project Tankers'!AY7*'Wastewater Criteria'!$C$9))*(1+'Wastewater Criteria'!$C$36)</f>
        <v>448.35721753207736</v>
      </c>
      <c r="AZ7" s="44">
        <f>(('Project W Pop Connected'!BA7*'Water Demand Criteria'!BD$17/1000)*('Wastewater Criteria'!$C$8+'Wastewater Criteria'!$C$10*'Water Demand Criteria'!BD$56+'Water Demand Criteria'!BD$37*'Wastewater Criteria'!$C$11)*(1+'Wastewater Criteria'!$C$23)+('Project Tankers'!AZ7*'Wastewater Criteria'!$C$9))*(1+'Wastewater Criteria'!$C$36)</f>
        <v>458.78541244252671</v>
      </c>
      <c r="BA7" s="44">
        <f>(('Project W Pop Connected'!BB7*'Water Demand Criteria'!BE$17/1000)*('Wastewater Criteria'!$C$8+'Wastewater Criteria'!$C$10*'Water Demand Criteria'!BE$56+'Water Demand Criteria'!BE$37*'Wastewater Criteria'!$C$11)*(1+'Wastewater Criteria'!$C$23)+('Project Tankers'!BA7*'Wastewater Criteria'!$C$9))*(1+'Wastewater Criteria'!$C$36)</f>
        <v>469.46388403082676</v>
      </c>
      <c r="BB7" s="44">
        <f>(('Project W Pop Connected'!BC7*'Water Demand Criteria'!BF$17/1000)*('Wastewater Criteria'!$C$8+'Wastewater Criteria'!$C$10*'Water Demand Criteria'!BF$56+'Water Demand Criteria'!BF$37*'Wastewater Criteria'!$C$11)*(1+'Wastewater Criteria'!$C$23)+('Project Tankers'!BB7*'Wastewater Criteria'!$C$9))*(1+'Wastewater Criteria'!$C$36)</f>
        <v>480.39863893724606</v>
      </c>
      <c r="BC7" s="44">
        <f>(('Project W Pop Connected'!BD7*'Water Demand Criteria'!BG$17/1000)*('Wastewater Criteria'!$C$8+'Wastewater Criteria'!$C$10*'Water Demand Criteria'!BG$56+'Water Demand Criteria'!BG$37*'Wastewater Criteria'!$C$11)*(1+'Wastewater Criteria'!$C$23)+('Project Tankers'!BC7*'Wastewater Criteria'!$C$9))*(1+'Wastewater Criteria'!$C$36)</f>
        <v>491.59582796141939</v>
      </c>
      <c r="BD7" s="44">
        <f>(('Project W Pop Connected'!BE7*'Water Demand Criteria'!BH$17/1000)*('Wastewater Criteria'!$C$8+'Wastewater Criteria'!$C$10*'Water Demand Criteria'!BH$56+'Water Demand Criteria'!BH$37*'Wastewater Criteria'!$C$11)*(1+'Wastewater Criteria'!$C$23)+('Project Tankers'!BD7*'Wastewater Criteria'!$C$9))*(1+'Wastewater Criteria'!$C$36)</f>
        <v>503.06174952217305</v>
      </c>
      <c r="BE7" s="44">
        <f>(('Project W Pop Connected'!BF7*'Water Demand Criteria'!BI$17/1000)*('Wastewater Criteria'!$C$8+'Wastewater Criteria'!$C$10*'Water Demand Criteria'!BI$56+'Water Demand Criteria'!BI$37*'Wastewater Criteria'!$C$11)*(1+'Wastewater Criteria'!$C$23)+('Project Tankers'!BE7*'Wastewater Criteria'!$C$9))*(1+'Wastewater Criteria'!$C$36)</f>
        <v>514.80285320038456</v>
      </c>
      <c r="BF7" s="44">
        <f>(('Project W Pop Connected'!BG7*'Water Demand Criteria'!BJ$17/1000)*('Wastewater Criteria'!$C$8+'Wastewater Criteria'!$C$10*'Water Demand Criteria'!BJ$56+'Water Demand Criteria'!BJ$37*'Wastewater Criteria'!$C$11)*(1+'Wastewater Criteria'!$C$23)+('Project Tankers'!BF7*'Wastewater Criteria'!$C$9))*(1+'Wastewater Criteria'!$C$36)</f>
        <v>526.82574336687321</v>
      </c>
      <c r="BG7" s="44">
        <f>(('Project W Pop Connected'!BH7*'Water Demand Criteria'!BK$17/1000)*('Wastewater Criteria'!$C$8+'Wastewater Criteria'!$C$10*'Water Demand Criteria'!BK$56+'Water Demand Criteria'!BK$37*'Wastewater Criteria'!$C$11)*(1+'Wastewater Criteria'!$C$23)+('Project Tankers'!BG7*'Wastewater Criteria'!$C$9))*(1+'Wastewater Criteria'!$C$36)</f>
        <v>539.13718289735777</v>
      </c>
      <c r="BH7" s="44">
        <f>(('Project W Pop Connected'!BI7*'Water Demand Criteria'!BL$17/1000)*('Wastewater Criteria'!$C$8+'Wastewater Criteria'!$C$10*'Water Demand Criteria'!BL$56+'Water Demand Criteria'!BL$37*'Wastewater Criteria'!$C$11)*(1+'Wastewater Criteria'!$C$23)+('Project Tankers'!BH7*'Wastewater Criteria'!$C$9))*(1+'Wastewater Criteria'!$C$36)</f>
        <v>551.74409697657381</v>
      </c>
      <c r="BI7" s="44">
        <f>(('Project W Pop Connected'!BJ7*'Water Demand Criteria'!BM$17/1000)*('Wastewater Criteria'!$C$8+'Wastewater Criteria'!$C$10*'Water Demand Criteria'!BM$56+'Water Demand Criteria'!BM$37*'Wastewater Criteria'!$C$11)*(1+'Wastewater Criteria'!$C$23)+('Project Tankers'!BI7*'Wastewater Criteria'!$C$9))*(1+'Wastewater Criteria'!$C$36)</f>
        <v>564.65357699369099</v>
      </c>
      <c r="BJ7" s="44">
        <f>(('Project W Pop Connected'!BK7*'Water Demand Criteria'!BN$17/1000)*('Wastewater Criteria'!$C$8+'Wastewater Criteria'!$C$10*'Water Demand Criteria'!BN$56+'Water Demand Criteria'!BN$37*'Wastewater Criteria'!$C$11)*(1+'Wastewater Criteria'!$C$23)+('Project Tankers'!BJ7*'Wastewater Criteria'!$C$9))*(1+'Wastewater Criteria'!$C$36)</f>
        <v>577.87288453121903</v>
      </c>
      <c r="BK7" s="44">
        <f>(('Project W Pop Connected'!BL7*'Water Demand Criteria'!BO$17/1000)*('Wastewater Criteria'!$C$8+'Wastewater Criteria'!$C$10*'Water Demand Criteria'!BO$56+'Water Demand Criteria'!BO$37*'Wastewater Criteria'!$C$11)*(1+'Wastewater Criteria'!$C$23)+('Project Tankers'!BK7*'Wastewater Criteria'!$C$9))*(1+'Wastewater Criteria'!$C$36)</f>
        <v>591.40945544964779</v>
      </c>
      <c r="BL7" s="44">
        <f>(('Project W Pop Connected'!BM7*'Water Demand Criteria'!BP$17/1000)*('Wastewater Criteria'!$C$8+'Wastewater Criteria'!$C$10*'Water Demand Criteria'!BP$56+'Water Demand Criteria'!BP$37*'Wastewater Criteria'!$C$11)*(1+'Wastewater Criteria'!$C$23)+('Project Tankers'!BL7*'Wastewater Criteria'!$C$9))*(1+'Wastewater Criteria'!$C$36)</f>
        <v>605.27090407011883</v>
      </c>
      <c r="BM7" s="44">
        <f>(('Project W Pop Connected'!BN7*'Water Demand Criteria'!BQ$17/1000)*('Wastewater Criteria'!$C$8+'Wastewater Criteria'!$C$10*'Water Demand Criteria'!BQ$56+'Water Demand Criteria'!BQ$37*'Wastewater Criteria'!$C$11)*(1+'Wastewater Criteria'!$C$23)+('Project Tankers'!BM7*'Wastewater Criteria'!$C$9))*(1+'Wastewater Criteria'!$C$36)</f>
        <v>619.46502745748114</v>
      </c>
      <c r="BN7" s="44">
        <f>(('Project W Pop Connected'!BO7*'Water Demand Criteria'!BR$17/1000)*('Wastewater Criteria'!$C$8+'Wastewater Criteria'!$C$10*'Water Demand Criteria'!BR$56+'Water Demand Criteria'!BR$37*'Wastewater Criteria'!$C$11)*(1+'Wastewater Criteria'!$C$23)+('Project Tankers'!BN7*'Wastewater Criteria'!$C$9))*(1+'Wastewater Criteria'!$C$36)</f>
        <v>633.99980980614021</v>
      </c>
      <c r="BO7" s="44">
        <f>(('Project W Pop Connected'!BP7*'Water Demand Criteria'!BS$17/1000)*('Wastewater Criteria'!$C$8+'Wastewater Criteria'!$C$10*'Water Demand Criteria'!BS$56+'Water Demand Criteria'!BS$37*'Wastewater Criteria'!$C$11)*(1+'Wastewater Criteria'!$C$23)+('Project Tankers'!BO7*'Wastewater Criteria'!$C$9))*(1+'Wastewater Criteria'!$C$36)</f>
        <v>648.88342693116704</v>
      </c>
      <c r="BP7" s="44">
        <f>(('Project W Pop Connected'!BQ7*'Water Demand Criteria'!BT$17/1000)*('Wastewater Criteria'!$C$8+'Wastewater Criteria'!$C$10*'Water Demand Criteria'!BT$56+'Water Demand Criteria'!BT$37*'Wastewater Criteria'!$C$11)*(1+'Wastewater Criteria'!$C$23)+('Project Tankers'!BP7*'Wastewater Criteria'!$C$9))*(1+'Wastewater Criteria'!$C$36)</f>
        <v>664.12425086719429</v>
      </c>
      <c r="BQ7" s="44">
        <f>(('Project W Pop Connected'!BR7*'Water Demand Criteria'!BU$17/1000)*('Wastewater Criteria'!$C$8+'Wastewater Criteria'!$C$10*'Water Demand Criteria'!BU$56+'Water Demand Criteria'!BU$37*'Wastewater Criteria'!$C$11)*(1+'Wastewater Criteria'!$C$23)+('Project Tankers'!BQ7*'Wastewater Criteria'!$C$9))*(1+'Wastewater Criteria'!$C$36)</f>
        <v>679.73085457768661</v>
      </c>
      <c r="BR7" s="44">
        <f>(('Project W Pop Connected'!BS7*'Water Demand Criteria'!BV$17/1000)*('Wastewater Criteria'!$C$8+'Wastewater Criteria'!$C$10*'Water Demand Criteria'!BV$56+'Water Demand Criteria'!BV$37*'Wastewater Criteria'!$C$11)*(1+'Wastewater Criteria'!$C$23)+('Project Tankers'!BR7*'Wastewater Criteria'!$C$9))*(1+'Wastewater Criteria'!$C$36)</f>
        <v>695.71201677723047</v>
      </c>
      <c r="BS7" s="44">
        <f>(('Project W Pop Connected'!BT7*'Water Demand Criteria'!BW$17/1000)*('Wastewater Criteria'!$C$8+'Wastewater Criteria'!$C$10*'Water Demand Criteria'!BW$56+'Water Demand Criteria'!BW$37*'Wastewater Criteria'!$C$11)*(1+'Wastewater Criteria'!$C$23)+('Project Tankers'!BS7*'Wastewater Criteria'!$C$9))*(1+'Wastewater Criteria'!$C$36)</f>
        <v>712.07672686956369</v>
      </c>
      <c r="BT7" s="44">
        <f>(('Project W Pop Connected'!BU7*'Water Demand Criteria'!BX$17/1000)*('Wastewater Criteria'!$C$8+'Wastewater Criteria'!$C$10*'Water Demand Criteria'!BX$56+'Water Demand Criteria'!BX$37*'Wastewater Criteria'!$C$11)*(1+'Wastewater Criteria'!$C$23)+('Project Tankers'!BT7*'Wastewater Criteria'!$C$9))*(1+'Wastewater Criteria'!$C$36)</f>
        <v>728.83419000411254</v>
      </c>
      <c r="BU7" s="44">
        <f>(('Project W Pop Connected'!BV7*'Water Demand Criteria'!BY$17/1000)*('Wastewater Criteria'!$C$8+'Wastewater Criteria'!$C$10*'Water Demand Criteria'!BY$56+'Water Demand Criteria'!BY$37*'Wastewater Criteria'!$C$11)*(1+'Wastewater Criteria'!$C$23)+('Project Tankers'!BU7*'Wastewater Criteria'!$C$9))*(1+'Wastewater Criteria'!$C$36)</f>
        <v>745.99383225389067</v>
      </c>
      <c r="BV7" s="44">
        <f>(('Project W Pop Connected'!BW7*'Water Demand Criteria'!BZ$17/1000)*('Wastewater Criteria'!$C$8+'Wastewater Criteria'!$C$10*'Water Demand Criteria'!BZ$56+'Water Demand Criteria'!BZ$37*'Wastewater Criteria'!$C$11)*(1+'Wastewater Criteria'!$C$23)+('Project Tankers'!BV7*'Wastewater Criteria'!$C$9))*(1+'Wastewater Criteria'!$C$36)</f>
        <v>763.56530591766352</v>
      </c>
      <c r="BW7" s="44">
        <f>(('Project W Pop Connected'!BX7*'Water Demand Criteria'!CA$17/1000)*('Wastewater Criteria'!$C$8+'Wastewater Criteria'!$C$10*'Water Demand Criteria'!CA$56+'Water Demand Criteria'!CA$37*'Wastewater Criteria'!$C$11)*(1+'Wastewater Criteria'!$C$23)+('Project Tankers'!BW7*'Wastewater Criteria'!$C$9))*(1+'Wastewater Criteria'!$C$36)</f>
        <v>781.55849494936695</v>
      </c>
      <c r="BX7" s="44">
        <f>(('Project W Pop Connected'!BY7*'Water Demand Criteria'!CB$17/1000)*('Wastewater Criteria'!$C$8+'Wastewater Criteria'!$C$10*'Water Demand Criteria'!CB$56+'Water Demand Criteria'!CB$37*'Wastewater Criteria'!$C$11)*(1+'Wastewater Criteria'!$C$23)+('Project Tankers'!BX7*'Wastewater Criteria'!$C$9))*(1+'Wastewater Criteria'!$C$36)</f>
        <v>799.98352051783115</v>
      </c>
      <c r="BY7" s="44">
        <f>(('Project W Pop Connected'!BZ7*'Water Demand Criteria'!CC$17/1000)*('Wastewater Criteria'!$C$8+'Wastewater Criteria'!$C$10*'Water Demand Criteria'!CC$56+'Water Demand Criteria'!CC$37*'Wastewater Criteria'!$C$11)*(1+'Wastewater Criteria'!$C$23)+('Project Tankers'!BY7*'Wastewater Criteria'!$C$9))*(1+'Wastewater Criteria'!$C$36)</f>
        <v>818.85074669993867</v>
      </c>
      <c r="BZ7" s="44">
        <f>(('Project W Pop Connected'!CA7*'Water Demand Criteria'!CD$17/1000)*('Wastewater Criteria'!$C$8+'Wastewater Criteria'!$C$10*'Water Demand Criteria'!CD$56+'Water Demand Criteria'!CD$37*'Wastewater Criteria'!$C$11)*(1+'Wastewater Criteria'!$C$23)+('Project Tankers'!BZ7*'Wastewater Criteria'!$C$9))*(1+'Wastewater Criteria'!$C$36)</f>
        <v>838.1707863104167</v>
      </c>
      <c r="CA7" s="44">
        <f>(('Project W Pop Connected'!CB7*'Water Demand Criteria'!CE$17/1000)*('Wastewater Criteria'!$C$8+'Wastewater Criteria'!$C$10*'Water Demand Criteria'!CE$56+'Water Demand Criteria'!CE$37*'Wastewater Criteria'!$C$11)*(1+'Wastewater Criteria'!$C$23)+('Project Tankers'!CA7*'Wastewater Criteria'!$C$9))*(1+'Wastewater Criteria'!$C$36)</f>
        <v>857.95450687154619</v>
      </c>
    </row>
    <row r="8" spans="1:79" x14ac:dyDescent="0.25">
      <c r="A8" s="33">
        <v>7</v>
      </c>
      <c r="B8" s="36" t="s">
        <v>50</v>
      </c>
      <c r="C8" s="34">
        <f>(('Project W Pop Connected'!D8*'Water Demand Criteria'!G$17/1000)*('Wastewater Criteria'!$C$8+'Wastewater Criteria'!$C$10*'Water Demand Criteria'!G$56+'Water Demand Criteria'!G$37*'Wastewater Criteria'!$C$11)*(1+'Wastewater Criteria'!$C$23)+('Project Tankers'!C8*'Wastewater Criteria'!$C$9))*(1+'Wastewater Criteria'!$C$36)</f>
        <v>56.292352684382401</v>
      </c>
      <c r="D8" s="34">
        <f>(('Project W Pop Connected'!E8*'Water Demand Criteria'!H$17/1000)*('Wastewater Criteria'!$C$8+'Wastewater Criteria'!$C$10*'Water Demand Criteria'!H$56+'Water Demand Criteria'!H$37*'Wastewater Criteria'!$C$11)*(1+'Wastewater Criteria'!$C$23)+('Project Tankers'!D8*'Wastewater Criteria'!$C$9))*(1+'Wastewater Criteria'!$C$36)</f>
        <v>59.983255468016367</v>
      </c>
      <c r="E8" s="34">
        <f>(('Project W Pop Connected'!F8*'Water Demand Criteria'!I$17/1000)*('Wastewater Criteria'!$C$8+'Wastewater Criteria'!$C$10*'Water Demand Criteria'!I$56+'Water Demand Criteria'!I$37*'Wastewater Criteria'!$C$11)*(1+'Wastewater Criteria'!$C$23)+('Project Tankers'!E8*'Wastewater Criteria'!$C$9))*(1+'Wastewater Criteria'!$C$36)</f>
        <v>64.008939690319536</v>
      </c>
      <c r="F8" s="34">
        <f>(('Project W Pop Connected'!G8*'Water Demand Criteria'!J$17/1000)*('Wastewater Criteria'!$C$8+'Wastewater Criteria'!$C$10*'Water Demand Criteria'!J$56+'Water Demand Criteria'!J$37*'Wastewater Criteria'!$C$11)*(1+'Wastewater Criteria'!$C$23)+('Project Tankers'!F8*'Wastewater Criteria'!$C$9))*(1+'Wastewater Criteria'!$C$36)</f>
        <v>68.197071599174663</v>
      </c>
      <c r="G8" s="34">
        <f>(('Project W Pop Connected'!H8*'Water Demand Criteria'!K$17/1000)*('Wastewater Criteria'!$C$8+'Wastewater Criteria'!$C$10*'Water Demand Criteria'!K$56+'Water Demand Criteria'!K$37*'Wastewater Criteria'!$C$11)*(1+'Wastewater Criteria'!$C$23)+('Project Tankers'!G8*'Wastewater Criteria'!$C$9))*(1+'Wastewater Criteria'!$C$36)</f>
        <v>72.554725717897952</v>
      </c>
      <c r="H8" s="34">
        <f>(('Project W Pop Connected'!I8*'Water Demand Criteria'!L$17/1000)*('Wastewater Criteria'!$C$8+'Wastewater Criteria'!$C$10*'Water Demand Criteria'!L$56+'Water Demand Criteria'!L$37*'Wastewater Criteria'!$C$11)*(1+'Wastewater Criteria'!$C$23)+('Project Tankers'!H8*'Wastewater Criteria'!$C$9))*(1+'Wastewater Criteria'!$C$36)</f>
        <v>77.086107363500673</v>
      </c>
      <c r="I8" s="34">
        <f>(('Project W Pop Connected'!J8*'Water Demand Criteria'!M$17/1000)*('Wastewater Criteria'!$C$8+'Wastewater Criteria'!$C$10*'Water Demand Criteria'!M$56+'Water Demand Criteria'!M$37*'Wastewater Criteria'!$C$11)*(1+'Wastewater Criteria'!$C$23)+('Project Tankers'!I8*'Wastewater Criteria'!$C$9))*(1+'Wastewater Criteria'!$C$36)</f>
        <v>81.483455953455788</v>
      </c>
      <c r="J8" s="34">
        <f>(('Project W Pop Connected'!K8*'Water Demand Criteria'!N$17/1000)*('Wastewater Criteria'!$C$8+'Wastewater Criteria'!$C$10*'Water Demand Criteria'!N$56+'Water Demand Criteria'!N$37*'Wastewater Criteria'!$C$11)*(1+'Wastewater Criteria'!$C$23)+('Project Tankers'!J8*'Wastewater Criteria'!$C$9))*(1+'Wastewater Criteria'!$C$36)</f>
        <v>86.349054168243711</v>
      </c>
      <c r="K8" s="34">
        <f>(('Project W Pop Connected'!L8*'Water Demand Criteria'!O$17/1000)*('Wastewater Criteria'!$C$8+'Wastewater Criteria'!$C$10*'Water Demand Criteria'!O$56+'Water Demand Criteria'!O$37*'Wastewater Criteria'!$C$11)*(1+'Wastewater Criteria'!$C$23)+('Project Tankers'!K8*'Wastewater Criteria'!$C$9))*(1+'Wastewater Criteria'!$C$36)</f>
        <v>91.404248093987349</v>
      </c>
      <c r="L8" s="34">
        <f>(('Project W Pop Connected'!M8*'Water Demand Criteria'!P$17/1000)*('Wastewater Criteria'!$C$8+'Wastewater Criteria'!$C$10*'Water Demand Criteria'!P$56+'Water Demand Criteria'!P$37*'Wastewater Criteria'!$C$11)*(1+'Wastewater Criteria'!$C$23)+('Project Tankers'!L8*'Wastewater Criteria'!$C$9))*(1+'Wastewater Criteria'!$C$36)</f>
        <v>95.566235319875886</v>
      </c>
      <c r="M8" s="34">
        <f>(('Project W Pop Connected'!N8*'Water Demand Criteria'!Q$17/1000)*('Wastewater Criteria'!$C$8+'Wastewater Criteria'!$C$10*'Water Demand Criteria'!Q$56+'Water Demand Criteria'!Q$37*'Wastewater Criteria'!$C$11)*(1+'Wastewater Criteria'!$C$23)+('Project Tankers'!M8*'Wastewater Criteria'!$C$9))*(1+'Wastewater Criteria'!$C$36)</f>
        <v>102.12733057201379</v>
      </c>
      <c r="N8" s="34">
        <f>(('Project W Pop Connected'!O8*'Water Demand Criteria'!R$17/1000)*('Wastewater Criteria'!$C$8+'Wastewater Criteria'!$C$10*'Water Demand Criteria'!R$56+'Water Demand Criteria'!R$37*'Wastewater Criteria'!$C$11)*(1+'Wastewater Criteria'!$C$23)+('Project Tankers'!N8*'Wastewater Criteria'!$C$9))*(1+'Wastewater Criteria'!$C$36)</f>
        <v>107.35638550513055</v>
      </c>
      <c r="O8" s="34">
        <f>(('Project W Pop Connected'!P8*'Water Demand Criteria'!S$17/1000)*('Wastewater Criteria'!$C$8+'Wastewater Criteria'!$C$10*'Water Demand Criteria'!S$56+'Water Demand Criteria'!S$37*'Wastewater Criteria'!$C$11)*(1+'Wastewater Criteria'!$C$23)+('Project Tankers'!O8*'Wastewater Criteria'!$C$9))*(1+'Wastewater Criteria'!$C$36)</f>
        <v>109.89490506498153</v>
      </c>
      <c r="P8" s="34">
        <f>(('Project W Pop Connected'!Q8*'Water Demand Criteria'!T$17/1000)*('Wastewater Criteria'!$C$8+'Wastewater Criteria'!$C$10*'Water Demand Criteria'!T$56+'Water Demand Criteria'!T$37*'Wastewater Criteria'!$C$11)*(1+'Wastewater Criteria'!$C$23)+('Project Tankers'!P8*'Wastewater Criteria'!$C$9))*(1+'Wastewater Criteria'!$C$36)</f>
        <v>112.53353296271693</v>
      </c>
      <c r="Q8" s="34">
        <f>(('Project W Pop Connected'!R8*'Water Demand Criteria'!U$17/1000)*('Wastewater Criteria'!$C$8+'Wastewater Criteria'!$C$10*'Water Demand Criteria'!U$56+'Water Demand Criteria'!U$37*'Wastewater Criteria'!$C$11)*(1+'Wastewater Criteria'!$C$23)+('Project Tankers'!Q8*'Wastewater Criteria'!$C$9))*(1+'Wastewater Criteria'!$C$36)</f>
        <v>115.26494419800383</v>
      </c>
      <c r="R8" s="34">
        <f>(('Project W Pop Connected'!S8*'Water Demand Criteria'!V$17/1000)*('Wastewater Criteria'!$C$8+'Wastewater Criteria'!$C$10*'Water Demand Criteria'!V$56+'Water Demand Criteria'!V$37*'Wastewater Criteria'!$C$11)*(1+'Wastewater Criteria'!$C$23)+('Project Tankers'!R8*'Wastewater Criteria'!$C$9))*(1+'Wastewater Criteria'!$C$36)</f>
        <v>118.1135554386189</v>
      </c>
      <c r="S8" s="34">
        <f>(('Project W Pop Connected'!T8*'Water Demand Criteria'!W$17/1000)*('Wastewater Criteria'!$C$8+'Wastewater Criteria'!$C$10*'Water Demand Criteria'!W$56+'Water Demand Criteria'!W$37*'Wastewater Criteria'!$C$11)*(1+'Wastewater Criteria'!$C$23)+('Project Tankers'!S8*'Wastewater Criteria'!$C$9))*(1+'Wastewater Criteria'!$C$36)</f>
        <v>120.48482082419946</v>
      </c>
      <c r="T8" s="34">
        <f>(('Project W Pop Connected'!U8*'Water Demand Criteria'!X$17/1000)*('Wastewater Criteria'!$C$8+'Wastewater Criteria'!$C$10*'Water Demand Criteria'!X$56+'Water Demand Criteria'!X$37*'Wastewater Criteria'!$C$11)*(1+'Wastewater Criteria'!$C$23)+('Project Tankers'!T8*'Wastewater Criteria'!$C$9))*(1+'Wastewater Criteria'!$C$36)</f>
        <v>122.609767719327</v>
      </c>
      <c r="U8" s="34">
        <f>(('Project W Pop Connected'!V8*'Water Demand Criteria'!Y$17/1000)*('Wastewater Criteria'!$C$8+'Wastewater Criteria'!$C$10*'Water Demand Criteria'!Y$56+'Water Demand Criteria'!Y$37*'Wastewater Criteria'!$C$11)*(1+'Wastewater Criteria'!$C$23)+('Project Tankers'!U8*'Wastewater Criteria'!$C$9))*(1+'Wastewater Criteria'!$C$36)</f>
        <v>124.83172726571453</v>
      </c>
      <c r="V8" s="34">
        <f>(('Project W Pop Connected'!W8*'Water Demand Criteria'!Z$17/1000)*('Wastewater Criteria'!$C$8+'Wastewater Criteria'!$C$10*'Water Demand Criteria'!Z$56+'Water Demand Criteria'!Z$37*'Wastewater Criteria'!$C$11)*(1+'Wastewater Criteria'!$C$23)+('Project Tankers'!V8*'Wastewater Criteria'!$C$9))*(1+'Wastewater Criteria'!$C$36)</f>
        <v>127.12285854055081</v>
      </c>
      <c r="W8" s="34">
        <f>(('Project W Pop Connected'!X8*'Water Demand Criteria'!AA$17/1000)*('Wastewater Criteria'!$C$8+'Wastewater Criteria'!$C$10*'Water Demand Criteria'!AA$56+'Water Demand Criteria'!AA$37*'Wastewater Criteria'!$C$11)*(1+'Wastewater Criteria'!$C$23)+('Project Tankers'!W8*'Wastewater Criteria'!$C$9))*(1+'Wastewater Criteria'!$C$36)</f>
        <v>129.48792183255651</v>
      </c>
      <c r="X8" s="34">
        <f>(('Project W Pop Connected'!Y8*'Water Demand Criteria'!AB$17/1000)*('Wastewater Criteria'!$C$8+'Wastewater Criteria'!$C$10*'Water Demand Criteria'!AB$56+'Water Demand Criteria'!AB$37*'Wastewater Criteria'!$C$11)*(1+'Wastewater Criteria'!$C$23)+('Project Tankers'!X8*'Wastewater Criteria'!$C$9))*(1+'Wastewater Criteria'!$C$36)</f>
        <v>131.93167743052089</v>
      </c>
      <c r="Y8" s="34">
        <f>(('Project W Pop Connected'!Z8*'Water Demand Criteria'!AC$17/1000)*('Wastewater Criteria'!$C$8+'Wastewater Criteria'!$C$10*'Water Demand Criteria'!AC$56+'Water Demand Criteria'!AC$37*'Wastewater Criteria'!$C$11)*(1+'Wastewater Criteria'!$C$23)+('Project Tankers'!Y8*'Wastewater Criteria'!$C$9))*(1+'Wastewater Criteria'!$C$36)</f>
        <v>134.45888562692994</v>
      </c>
      <c r="Z8" s="34">
        <f>(('Project W Pop Connected'!AA8*'Water Demand Criteria'!AD$17/1000)*('Wastewater Criteria'!$C$8+'Wastewater Criteria'!$C$10*'Water Demand Criteria'!AD$56+'Water Demand Criteria'!AD$37*'Wastewater Criteria'!$C$11)*(1+'Wastewater Criteria'!$C$23)+('Project Tankers'!Z8*'Wastewater Criteria'!$C$9))*(1+'Wastewater Criteria'!$C$36)</f>
        <v>137.07430670800309</v>
      </c>
      <c r="AA8" s="34">
        <f>(('Project W Pop Connected'!AB8*'Water Demand Criteria'!AE$17/1000)*('Wastewater Criteria'!$C$8+'Wastewater Criteria'!$C$10*'Water Demand Criteria'!AE$56+'Water Demand Criteria'!AE$37*'Wastewater Criteria'!$C$11)*(1+'Wastewater Criteria'!$C$23)+('Project Tankers'!AA8*'Wastewater Criteria'!$C$9))*(1+'Wastewater Criteria'!$C$36)</f>
        <v>139.78270097029082</v>
      </c>
      <c r="AB8" s="34">
        <f>(('Project W Pop Connected'!AC8*'Water Demand Criteria'!AF$17/1000)*('Wastewater Criteria'!$C$8+'Wastewater Criteria'!$C$10*'Water Demand Criteria'!AF$56+'Water Demand Criteria'!AF$37*'Wastewater Criteria'!$C$11)*(1+'Wastewater Criteria'!$C$23)+('Project Tankers'!AB8*'Wastewater Criteria'!$C$9))*(1+'Wastewater Criteria'!$C$36)</f>
        <v>142.58882869643318</v>
      </c>
      <c r="AC8" s="34">
        <f>(('Project W Pop Connected'!AD8*'Water Demand Criteria'!AG$17/1000)*('Wastewater Criteria'!$C$8+'Wastewater Criteria'!$C$10*'Water Demand Criteria'!AG$56+'Water Demand Criteria'!AG$37*'Wastewater Criteria'!$C$11)*(1+'Wastewater Criteria'!$C$23)+('Project Tankers'!AC8*'Wastewater Criteria'!$C$9))*(1+'Wastewater Criteria'!$C$36)</f>
        <v>145.49745018536947</v>
      </c>
      <c r="AD8" s="44">
        <f>(('Project W Pop Connected'!AE8*'Water Demand Criteria'!AH$17/1000)*('Wastewater Criteria'!$C$8+'Wastewater Criteria'!$C$10*'Water Demand Criteria'!AH$56+'Water Demand Criteria'!AH$37*'Wastewater Criteria'!$C$11)*(1+'Wastewater Criteria'!$C$23)+('Project Tankers'!AD8*'Wastewater Criteria'!$C$9))*(1+'Wastewater Criteria'!$C$36)</f>
        <v>150.25307176847372</v>
      </c>
      <c r="AE8" s="44">
        <f>(('Project W Pop Connected'!AF8*'Water Demand Criteria'!AI$17/1000)*('Wastewater Criteria'!$C$8+'Wastewater Criteria'!$C$10*'Water Demand Criteria'!AI$56+'Water Demand Criteria'!AI$37*'Wastewater Criteria'!$C$11)*(1+'Wastewater Criteria'!$C$23)+('Project Tankers'!AE8*'Wastewater Criteria'!$C$9))*(1+'Wastewater Criteria'!$C$36)</f>
        <v>155.19510064794574</v>
      </c>
      <c r="AF8" s="44">
        <f>(('Project W Pop Connected'!AG8*'Water Demand Criteria'!AJ$17/1000)*('Wastewater Criteria'!$C$8+'Wastewater Criteria'!$C$10*'Water Demand Criteria'!AJ$56+'Water Demand Criteria'!AJ$37*'Wastewater Criteria'!$C$11)*(1+'Wastewater Criteria'!$C$23)+('Project Tankers'!AF8*'Wastewater Criteria'!$C$9))*(1+'Wastewater Criteria'!$C$36)</f>
        <v>160.33202747441482</v>
      </c>
      <c r="AG8" s="44">
        <f>(('Project W Pop Connected'!AH8*'Water Demand Criteria'!AK$17/1000)*('Wastewater Criteria'!$C$8+'Wastewater Criteria'!$C$10*'Water Demand Criteria'!AK$56+'Water Demand Criteria'!AK$37*'Wastewater Criteria'!$C$11)*(1+'Wastewater Criteria'!$C$23)+('Project Tankers'!AG8*'Wastewater Criteria'!$C$9))*(1+'Wastewater Criteria'!$C$36)</f>
        <v>165.67276162800016</v>
      </c>
      <c r="AH8" s="44">
        <f>(('Project W Pop Connected'!AI8*'Water Demand Criteria'!AL$17/1000)*('Wastewater Criteria'!$C$8+'Wastewater Criteria'!$C$10*'Water Demand Criteria'!AL$56+'Water Demand Criteria'!AL$37*'Wastewater Criteria'!$C$11)*(1+'Wastewater Criteria'!$C$23)+('Project Tankers'!AH8*'Wastewater Criteria'!$C$9))*(1+'Wastewater Criteria'!$C$36)</f>
        <v>171.22665372475595</v>
      </c>
      <c r="AI8" s="44">
        <f>(('Project W Pop Connected'!AJ8*'Water Demand Criteria'!AM$17/1000)*('Wastewater Criteria'!$C$8+'Wastewater Criteria'!$C$10*'Water Demand Criteria'!AM$56+'Water Demand Criteria'!AM$37*'Wastewater Criteria'!$C$11)*(1+'Wastewater Criteria'!$C$23)+('Project Tankers'!AI8*'Wastewater Criteria'!$C$9))*(1+'Wastewater Criteria'!$C$36)</f>
        <v>177.0035194095631</v>
      </c>
      <c r="AJ8" s="44">
        <f>(('Project W Pop Connected'!AK8*'Water Demand Criteria'!AN$17/1000)*('Wastewater Criteria'!$C$8+'Wastewater Criteria'!$C$10*'Water Demand Criteria'!AN$56+'Water Demand Criteria'!AN$37*'Wastewater Criteria'!$C$11)*(1+'Wastewater Criteria'!$C$23)+('Project Tankers'!AJ8*'Wastewater Criteria'!$C$9))*(1+'Wastewater Criteria'!$C$36)</f>
        <v>183.01366451360519</v>
      </c>
      <c r="AK8" s="44">
        <f>(('Project W Pop Connected'!AL8*'Water Demand Criteria'!AO$17/1000)*('Wastewater Criteria'!$C$8+'Wastewater Criteria'!$C$10*'Water Demand Criteria'!AO$56+'Water Demand Criteria'!AO$37*'Wastewater Criteria'!$C$11)*(1+'Wastewater Criteria'!$C$23)+('Project Tankers'!AK8*'Wastewater Criteria'!$C$9))*(1+'Wastewater Criteria'!$C$36)</f>
        <v>189.23479277463611</v>
      </c>
      <c r="AL8" s="44">
        <f>(('Project W Pop Connected'!AM8*'Water Demand Criteria'!AP$17/1000)*('Wastewater Criteria'!$C$8+'Wastewater Criteria'!$C$10*'Water Demand Criteria'!AP$56+'Water Demand Criteria'!AP$37*'Wastewater Criteria'!$C$11)*(1+'Wastewater Criteria'!$C$23)+('Project Tankers'!AL8*'Wastewater Criteria'!$C$9))*(1+'Wastewater Criteria'!$C$36)</f>
        <v>195.65435743531467</v>
      </c>
      <c r="AM8" s="44">
        <f>(('Project W Pop Connected'!AN8*'Water Demand Criteria'!AQ$17/1000)*('Wastewater Criteria'!$C$8+'Wastewater Criteria'!$C$10*'Water Demand Criteria'!AQ$56+'Water Demand Criteria'!AQ$37*'Wastewater Criteria'!$C$11)*(1+'Wastewater Criteria'!$C$23)+('Project Tankers'!AM8*'Wastewater Criteria'!$C$9))*(1+'Wastewater Criteria'!$C$36)</f>
        <v>202.27830007294531</v>
      </c>
      <c r="AN8" s="44">
        <f>(('Project W Pop Connected'!AO8*'Water Demand Criteria'!AR$17/1000)*('Wastewater Criteria'!$C$8+'Wastewater Criteria'!$C$10*'Water Demand Criteria'!AR$56+'Water Demand Criteria'!AR$37*'Wastewater Criteria'!$C$11)*(1+'Wastewater Criteria'!$C$23)+('Project Tankers'!AN8*'Wastewater Criteria'!$C$9))*(1+'Wastewater Criteria'!$C$36)</f>
        <v>209.11273316117732</v>
      </c>
      <c r="AO8" s="44">
        <f>(('Project W Pop Connected'!AP8*'Water Demand Criteria'!AS$17/1000)*('Wastewater Criteria'!$C$8+'Wastewater Criteria'!$C$10*'Water Demand Criteria'!AS$56+'Water Demand Criteria'!AS$37*'Wastewater Criteria'!$C$11)*(1+'Wastewater Criteria'!$C$23)+('Project Tankers'!AO8*'Wastewater Criteria'!$C$9))*(1+'Wastewater Criteria'!$C$36)</f>
        <v>216.16394485068031</v>
      </c>
      <c r="AP8" s="44">
        <f>(('Project W Pop Connected'!AQ8*'Water Demand Criteria'!AT$17/1000)*('Wastewater Criteria'!$C$8+'Wastewater Criteria'!$C$10*'Water Demand Criteria'!AT$56+'Water Demand Criteria'!AT$37*'Wastewater Criteria'!$C$11)*(1+'Wastewater Criteria'!$C$23)+('Project Tankers'!AP8*'Wastewater Criteria'!$C$9))*(1+'Wastewater Criteria'!$C$36)</f>
        <v>223.4384038808565</v>
      </c>
      <c r="AQ8" s="44">
        <f>(('Project W Pop Connected'!AR8*'Water Demand Criteria'!AU$17/1000)*('Wastewater Criteria'!$C$8+'Wastewater Criteria'!$C$10*'Water Demand Criteria'!AU$56+'Water Demand Criteria'!AU$37*'Wastewater Criteria'!$C$11)*(1+'Wastewater Criteria'!$C$23)+('Project Tankers'!AQ8*'Wastewater Criteria'!$C$9))*(1+'Wastewater Criteria'!$C$36)</f>
        <v>230.94276462612493</v>
      </c>
      <c r="AR8" s="44">
        <f>(('Project W Pop Connected'!AS8*'Water Demand Criteria'!AV$17/1000)*('Wastewater Criteria'!$C$8+'Wastewater Criteria'!$C$10*'Water Demand Criteria'!AV$56+'Water Demand Criteria'!AV$37*'Wastewater Criteria'!$C$11)*(1+'Wastewater Criteria'!$C$23)+('Project Tankers'!AR8*'Wastewater Criteria'!$C$9))*(1+'Wastewater Criteria'!$C$36)</f>
        <v>238.68387228040874</v>
      </c>
      <c r="AS8" s="44">
        <f>(('Project W Pop Connected'!AT8*'Water Demand Criteria'!AW$17/1000)*('Wastewater Criteria'!$C$8+'Wastewater Criteria'!$C$10*'Water Demand Criteria'!AW$56+'Water Demand Criteria'!AW$37*'Wastewater Criteria'!$C$11)*(1+'Wastewater Criteria'!$C$23)+('Project Tankers'!AS8*'Wastewater Criteria'!$C$9))*(1+'Wastewater Criteria'!$C$36)</f>
        <v>246.66876818355129</v>
      </c>
      <c r="AT8" s="44">
        <f>(('Project W Pop Connected'!AU8*'Water Demand Criteria'!AX$17/1000)*('Wastewater Criteria'!$C$8+'Wastewater Criteria'!$C$10*'Water Demand Criteria'!AX$56+'Water Demand Criteria'!AX$37*'Wastewater Criteria'!$C$11)*(1+'Wastewater Criteria'!$C$23)+('Project Tankers'!AT8*'Wastewater Criteria'!$C$9))*(1+'Wastewater Criteria'!$C$36)</f>
        <v>254.90469529348911</v>
      </c>
      <c r="AU8" s="44">
        <f>(('Project W Pop Connected'!AV8*'Water Demand Criteria'!AY$17/1000)*('Wastewater Criteria'!$C$8+'Wastewater Criteria'!$C$10*'Water Demand Criteria'!AY$56+'Water Demand Criteria'!AY$37*'Wastewater Criteria'!$C$11)*(1+'Wastewater Criteria'!$C$23)+('Project Tankers'!AU8*'Wastewater Criteria'!$C$9))*(1+'Wastewater Criteria'!$C$36)</f>
        <v>263.39910380810801</v>
      </c>
      <c r="AV8" s="44">
        <f>(('Project W Pop Connected'!AW8*'Water Demand Criteria'!AZ$17/1000)*('Wastewater Criteria'!$C$8+'Wastewater Criteria'!$C$10*'Water Demand Criteria'!AZ$56+'Water Demand Criteria'!AZ$37*'Wastewater Criteria'!$C$11)*(1+'Wastewater Criteria'!$C$23)+('Project Tankers'!AV8*'Wastewater Criteria'!$C$9))*(1+'Wastewater Criteria'!$C$36)</f>
        <v>272.1596569408174</v>
      </c>
      <c r="AW8" s="44">
        <f>(('Project W Pop Connected'!AX8*'Water Demand Criteria'!BA$17/1000)*('Wastewater Criteria'!$C$8+'Wastewater Criteria'!$C$10*'Water Demand Criteria'!BA$56+'Water Demand Criteria'!BA$37*'Wastewater Criteria'!$C$11)*(1+'Wastewater Criteria'!$C$23)+('Project Tankers'!AW8*'Wastewater Criteria'!$C$9))*(1+'Wastewater Criteria'!$C$36)</f>
        <v>281.19423685398118</v>
      </c>
      <c r="AX8" s="44">
        <f>(('Project W Pop Connected'!AY8*'Water Demand Criteria'!BB$17/1000)*('Wastewater Criteria'!$C$8+'Wastewater Criteria'!$C$10*'Water Demand Criteria'!BB$56+'Water Demand Criteria'!BB$37*'Wastewater Criteria'!$C$11)*(1+'Wastewater Criteria'!$C$23)+('Project Tankers'!AX8*'Wastewater Criteria'!$C$9))*(1+'Wastewater Criteria'!$C$36)</f>
        <v>287.72464379356688</v>
      </c>
      <c r="AY8" s="44">
        <f>(('Project W Pop Connected'!AZ8*'Water Demand Criteria'!BC$17/1000)*('Wastewater Criteria'!$C$8+'Wastewater Criteria'!$C$10*'Water Demand Criteria'!BC$56+'Water Demand Criteria'!BC$37*'Wastewater Criteria'!$C$11)*(1+'Wastewater Criteria'!$C$23)+('Project Tankers'!AY8*'Wastewater Criteria'!$C$9))*(1+'Wastewater Criteria'!$C$36)</f>
        <v>294.41178049970267</v>
      </c>
      <c r="AZ8" s="44">
        <f>(('Project W Pop Connected'!BA8*'Water Demand Criteria'!BD$17/1000)*('Wastewater Criteria'!$C$8+'Wastewater Criteria'!$C$10*'Water Demand Criteria'!BD$56+'Water Demand Criteria'!BD$37*'Wastewater Criteria'!$C$11)*(1+'Wastewater Criteria'!$C$23)+('Project Tankers'!AZ8*'Wastewater Criteria'!$C$9))*(1+'Wastewater Criteria'!$C$36)</f>
        <v>301.25940848678573</v>
      </c>
      <c r="BA8" s="44">
        <f>(('Project W Pop Connected'!BB8*'Water Demand Criteria'!BE$17/1000)*('Wastewater Criteria'!$C$8+'Wastewater Criteria'!$C$10*'Water Demand Criteria'!BE$56+'Water Demand Criteria'!BE$37*'Wastewater Criteria'!$C$11)*(1+'Wastewater Criteria'!$C$23)+('Project Tankers'!BA8*'Wastewater Criteria'!$C$9))*(1+'Wastewater Criteria'!$C$36)</f>
        <v>308.27137954555872</v>
      </c>
      <c r="BB8" s="44">
        <f>(('Project W Pop Connected'!BC8*'Water Demand Criteria'!BF$17/1000)*('Wastewater Criteria'!$C$8+'Wastewater Criteria'!$C$10*'Water Demand Criteria'!BF$56+'Water Demand Criteria'!BF$37*'Wastewater Criteria'!$C$11)*(1+'Wastewater Criteria'!$C$23)+('Project Tankers'!BB8*'Wastewater Criteria'!$C$9))*(1+'Wastewater Criteria'!$C$36)</f>
        <v>315.45163790974232</v>
      </c>
      <c r="BC8" s="44">
        <f>(('Project W Pop Connected'!BD8*'Water Demand Criteria'!BG$17/1000)*('Wastewater Criteria'!$C$8+'Wastewater Criteria'!$C$10*'Water Demand Criteria'!BG$56+'Water Demand Criteria'!BG$37*'Wastewater Criteria'!$C$11)*(1+'Wastewater Criteria'!$C$23)+('Project Tankers'!BC8*'Wastewater Criteria'!$C$9))*(1+'Wastewater Criteria'!$C$36)</f>
        <v>322.80422247466623</v>
      </c>
      <c r="BD8" s="44">
        <f>(('Project W Pop Connected'!BE8*'Water Demand Criteria'!BH$17/1000)*('Wastewater Criteria'!$C$8+'Wastewater Criteria'!$C$10*'Water Demand Criteria'!BH$56+'Water Demand Criteria'!BH$37*'Wastewater Criteria'!$C$11)*(1+'Wastewater Criteria'!$C$23)+('Project Tankers'!BD8*'Wastewater Criteria'!$C$9))*(1+'Wastewater Criteria'!$C$36)</f>
        <v>330.3332690691484</v>
      </c>
      <c r="BE8" s="44">
        <f>(('Project W Pop Connected'!BF8*'Water Demand Criteria'!BI$17/1000)*('Wastewater Criteria'!$C$8+'Wastewater Criteria'!$C$10*'Water Demand Criteria'!BI$56+'Water Demand Criteria'!BI$37*'Wastewater Criteria'!$C$11)*(1+'Wastewater Criteria'!$C$23)+('Project Tankers'!BE8*'Wastewater Criteria'!$C$9))*(1+'Wastewater Criteria'!$C$36)</f>
        <v>338.04301278189814</v>
      </c>
      <c r="BF8" s="44">
        <f>(('Project W Pop Connected'!BG8*'Water Demand Criteria'!BJ$17/1000)*('Wastewater Criteria'!$C$8+'Wastewater Criteria'!$C$10*'Water Demand Criteria'!BJ$56+'Water Demand Criteria'!BJ$37*'Wastewater Criteria'!$C$11)*(1+'Wastewater Criteria'!$C$23)+('Project Tankers'!BF8*'Wastewater Criteria'!$C$9))*(1+'Wastewater Criteria'!$C$36)</f>
        <v>345.93779034375382</v>
      </c>
      <c r="BG8" s="44">
        <f>(('Project W Pop Connected'!BH8*'Water Demand Criteria'!BK$17/1000)*('Wastewater Criteria'!$C$8+'Wastewater Criteria'!$C$10*'Water Demand Criteria'!BK$56+'Water Demand Criteria'!BK$37*'Wastewater Criteria'!$C$11)*(1+'Wastewater Criteria'!$C$23)+('Project Tankers'!BG8*'Wastewater Criteria'!$C$9))*(1+'Wastewater Criteria'!$C$36)</f>
        <v>354.02204256709405</v>
      </c>
      <c r="BH8" s="44">
        <f>(('Project W Pop Connected'!BI8*'Water Demand Criteria'!BL$17/1000)*('Wastewater Criteria'!$C$8+'Wastewater Criteria'!$C$10*'Water Demand Criteria'!BL$56+'Water Demand Criteria'!BL$37*'Wastewater Criteria'!$C$11)*(1+'Wastewater Criteria'!$C$23)+('Project Tankers'!BH8*'Wastewater Criteria'!$C$9))*(1+'Wastewater Criteria'!$C$36)</f>
        <v>362.30031684379452</v>
      </c>
      <c r="BI8" s="44">
        <f>(('Project W Pop Connected'!BJ8*'Water Demand Criteria'!BM$17/1000)*('Wastewater Criteria'!$C$8+'Wastewater Criteria'!$C$10*'Water Demand Criteria'!BM$56+'Water Demand Criteria'!BM$37*'Wastewater Criteria'!$C$11)*(1+'Wastewater Criteria'!$C$23)+('Project Tankers'!BI8*'Wastewater Criteria'!$C$9))*(1+'Wastewater Criteria'!$C$36)</f>
        <v>370.77726970313574</v>
      </c>
      <c r="BJ8" s="44">
        <f>(('Project W Pop Connected'!BK8*'Water Demand Criteria'!BN$17/1000)*('Wastewater Criteria'!$C$8+'Wastewater Criteria'!$C$10*'Water Demand Criteria'!BN$56+'Water Demand Criteria'!BN$37*'Wastewater Criteria'!$C$11)*(1+'Wastewater Criteria'!$C$23)+('Project Tankers'!BJ8*'Wastewater Criteria'!$C$9))*(1+'Wastewater Criteria'!$C$36)</f>
        <v>379.45766943110112</v>
      </c>
      <c r="BK8" s="44">
        <f>(('Project W Pop Connected'!BL8*'Water Demand Criteria'!BO$17/1000)*('Wastewater Criteria'!$C$8+'Wastewater Criteria'!$C$10*'Water Demand Criteria'!BO$56+'Water Demand Criteria'!BO$37*'Wastewater Criteria'!$C$11)*(1+'Wastewater Criteria'!$C$23)+('Project Tankers'!BK8*'Wastewater Criteria'!$C$9))*(1+'Wastewater Criteria'!$C$36)</f>
        <v>388.34639875253777</v>
      </c>
      <c r="BL8" s="44">
        <f>(('Project W Pop Connected'!BM8*'Water Demand Criteria'!BP$17/1000)*('Wastewater Criteria'!$C$8+'Wastewater Criteria'!$C$10*'Water Demand Criteria'!BP$56+'Water Demand Criteria'!BP$37*'Wastewater Criteria'!$C$11)*(1+'Wastewater Criteria'!$C$23)+('Project Tankers'!BL8*'Wastewater Criteria'!$C$9))*(1+'Wastewater Criteria'!$C$36)</f>
        <v>397.44845757768883</v>
      </c>
      <c r="BM8" s="44">
        <f>(('Project W Pop Connected'!BN8*'Water Demand Criteria'!BQ$17/1000)*('Wastewater Criteria'!$C$8+'Wastewater Criteria'!$C$10*'Water Demand Criteria'!BQ$56+'Water Demand Criteria'!BQ$37*'Wastewater Criteria'!$C$11)*(1+'Wastewater Criteria'!$C$23)+('Project Tankers'!BM8*'Wastewater Criteria'!$C$9))*(1+'Wastewater Criteria'!$C$36)</f>
        <v>406.76896581464348</v>
      </c>
      <c r="BN8" s="44">
        <f>(('Project W Pop Connected'!BO8*'Water Demand Criteria'!BR$17/1000)*('Wastewater Criteria'!$C$8+'Wastewater Criteria'!$C$10*'Water Demand Criteria'!BR$56+'Water Demand Criteria'!BR$37*'Wastewater Criteria'!$C$11)*(1+'Wastewater Criteria'!$C$23)+('Project Tankers'!BN8*'Wastewater Criteria'!$C$9))*(1+'Wastewater Criteria'!$C$36)</f>
        <v>416.31316624928513</v>
      </c>
      <c r="BO8" s="44">
        <f>(('Project W Pop Connected'!BP8*'Water Demand Criteria'!BS$17/1000)*('Wastewater Criteria'!$C$8+'Wastewater Criteria'!$C$10*'Water Demand Criteria'!BS$56+'Water Demand Criteria'!BS$37*'Wastewater Criteria'!$C$11)*(1+'Wastewater Criteria'!$C$23)+('Project Tankers'!BO8*'Wastewater Criteria'!$C$9))*(1+'Wastewater Criteria'!$C$36)</f>
        <v>426.08642749435802</v>
      </c>
      <c r="BP8" s="44">
        <f>(('Project W Pop Connected'!BQ8*'Water Demand Criteria'!BT$17/1000)*('Wastewater Criteria'!$C$8+'Wastewater Criteria'!$C$10*'Water Demand Criteria'!BT$56+'Water Demand Criteria'!BT$37*'Wastewater Criteria'!$C$11)*(1+'Wastewater Criteria'!$C$23)+('Project Tankers'!BP8*'Wastewater Criteria'!$C$9))*(1+'Wastewater Criteria'!$C$36)</f>
        <v>436.09424700931288</v>
      </c>
      <c r="BQ8" s="44">
        <f>(('Project W Pop Connected'!BR8*'Water Demand Criteria'!BU$17/1000)*('Wastewater Criteria'!$C$8+'Wastewater Criteria'!$C$10*'Water Demand Criteria'!BU$56+'Water Demand Criteria'!BU$37*'Wastewater Criteria'!$C$11)*(1+'Wastewater Criteria'!$C$23)+('Project Tankers'!BQ8*'Wastewater Criteria'!$C$9))*(1+'Wastewater Criteria'!$C$36)</f>
        <v>446.34225419262651</v>
      </c>
      <c r="BR8" s="44">
        <f>(('Project W Pop Connected'!BS8*'Water Demand Criteria'!BV$17/1000)*('Wastewater Criteria'!$C$8+'Wastewater Criteria'!$C$10*'Water Demand Criteria'!BV$56+'Water Demand Criteria'!BV$37*'Wastewater Criteria'!$C$11)*(1+'Wastewater Criteria'!$C$23)+('Project Tankers'!BR8*'Wastewater Criteria'!$C$9))*(1+'Wastewater Criteria'!$C$36)</f>
        <v>456.83621354833969</v>
      </c>
      <c r="BS8" s="44">
        <f>(('Project W Pop Connected'!BT8*'Water Demand Criteria'!BW$17/1000)*('Wastewater Criteria'!$C$8+'Wastewater Criteria'!$C$10*'Water Demand Criteria'!BW$56+'Water Demand Criteria'!BW$37*'Wastewater Criteria'!$C$11)*(1+'Wastewater Criteria'!$C$23)+('Project Tankers'!BS8*'Wastewater Criteria'!$C$9))*(1+'Wastewater Criteria'!$C$36)</f>
        <v>467.58202792858998</v>
      </c>
      <c r="BT8" s="44">
        <f>(('Project W Pop Connected'!BU8*'Water Demand Criteria'!BX$17/1000)*('Wastewater Criteria'!$C$8+'Wastewater Criteria'!$C$10*'Water Demand Criteria'!BX$56+'Water Demand Criteria'!BX$37*'Wastewater Criteria'!$C$11)*(1+'Wastewater Criteria'!$C$23)+('Project Tankers'!BT8*'Wastewater Criteria'!$C$9))*(1+'Wastewater Criteria'!$C$36)</f>
        <v>478.58574185396623</v>
      </c>
      <c r="BU8" s="44">
        <f>(('Project W Pop Connected'!BV8*'Water Demand Criteria'!BY$17/1000)*('Wastewater Criteria'!$C$8+'Wastewater Criteria'!$C$10*'Water Demand Criteria'!BY$56+'Water Demand Criteria'!BY$37*'Wastewater Criteria'!$C$11)*(1+'Wastewater Criteria'!$C$23)+('Project Tankers'!BU8*'Wastewater Criteria'!$C$9))*(1+'Wastewater Criteria'!$C$36)</f>
        <v>489.85354491355162</v>
      </c>
      <c r="BV8" s="44">
        <f>(('Project W Pop Connected'!BW8*'Water Demand Criteria'!BZ$17/1000)*('Wastewater Criteria'!$C$8+'Wastewater Criteria'!$C$10*'Water Demand Criteria'!BZ$56+'Water Demand Criteria'!BZ$37*'Wastewater Criteria'!$C$11)*(1+'Wastewater Criteria'!$C$23)+('Project Tankers'!BV8*'Wastewater Criteria'!$C$9))*(1+'Wastewater Criteria'!$C$36)</f>
        <v>501.39177524656697</v>
      </c>
      <c r="BW8" s="44">
        <f>(('Project W Pop Connected'!BX8*'Water Demand Criteria'!CA$17/1000)*('Wastewater Criteria'!$C$8+'Wastewater Criteria'!$C$10*'Water Demand Criteria'!CA$56+'Water Demand Criteria'!CA$37*'Wastewater Criteria'!$C$11)*(1+'Wastewater Criteria'!$C$23)+('Project Tankers'!BW8*'Wastewater Criteria'!$C$9))*(1+'Wastewater Criteria'!$C$36)</f>
        <v>513.20692310757465</v>
      </c>
      <c r="BX8" s="44">
        <f>(('Project W Pop Connected'!BY8*'Water Demand Criteria'!CB$17/1000)*('Wastewater Criteria'!$C$8+'Wastewater Criteria'!$C$10*'Water Demand Criteria'!CB$56+'Water Demand Criteria'!CB$37*'Wastewater Criteria'!$C$11)*(1+'Wastewater Criteria'!$C$23)+('Project Tankers'!BX8*'Wastewater Criteria'!$C$9))*(1+'Wastewater Criteria'!$C$36)</f>
        <v>525.30563451724652</v>
      </c>
      <c r="BY8" s="44">
        <f>(('Project W Pop Connected'!BZ8*'Water Demand Criteria'!CC$17/1000)*('Wastewater Criteria'!$C$8+'Wastewater Criteria'!$C$10*'Water Demand Criteria'!CC$56+'Water Demand Criteria'!CC$37*'Wastewater Criteria'!$C$11)*(1+'Wastewater Criteria'!$C$23)+('Project Tankers'!BY8*'Wastewater Criteria'!$C$9))*(1+'Wastewater Criteria'!$C$36)</f>
        <v>537.69471500075065</v>
      </c>
      <c r="BZ8" s="44">
        <f>(('Project W Pop Connected'!CA8*'Water Demand Criteria'!CD$17/1000)*('Wastewater Criteria'!$C$8+'Wastewater Criteria'!$C$10*'Water Demand Criteria'!CD$56+'Water Demand Criteria'!CD$37*'Wastewater Criteria'!$C$11)*(1+'Wastewater Criteria'!$C$23)+('Project Tankers'!BZ8*'Wastewater Criteria'!$C$9))*(1+'Wastewater Criteria'!$C$36)</f>
        <v>550.38113341585881</v>
      </c>
      <c r="CA8" s="44">
        <f>(('Project W Pop Connected'!CB8*'Water Demand Criteria'!CE$17/1000)*('Wastewater Criteria'!$C$8+'Wastewater Criteria'!$C$10*'Water Demand Criteria'!CE$56+'Water Demand Criteria'!CE$37*'Wastewater Criteria'!$C$11)*(1+'Wastewater Criteria'!$C$23)+('Project Tankers'!CA8*'Wastewater Criteria'!$C$9))*(1+'Wastewater Criteria'!$C$36)</f>
        <v>563.37202587292961</v>
      </c>
    </row>
    <row r="9" spans="1:79" x14ac:dyDescent="0.25">
      <c r="A9" s="33">
        <v>8</v>
      </c>
      <c r="B9" s="36" t="s">
        <v>47</v>
      </c>
      <c r="C9" s="34">
        <f>(('Project W Pop Connected'!D9*'Water Demand Criteria'!G$17/1000)*('Wastewater Criteria'!$C$8+'Wastewater Criteria'!$C$10*'Water Demand Criteria'!G$56+'Water Demand Criteria'!G$37*'Wastewater Criteria'!$C$11)*(1+'Wastewater Criteria'!$C$23)+('Project Tankers'!C9*'Wastewater Criteria'!$C$9))*(1+'Wastewater Criteria'!$C$36)</f>
        <v>364.61167232679503</v>
      </c>
      <c r="D9" s="34">
        <f>(('Project W Pop Connected'!E9*'Water Demand Criteria'!H$17/1000)*('Wastewater Criteria'!$C$8+'Wastewater Criteria'!$C$10*'Water Demand Criteria'!H$56+'Water Demand Criteria'!H$37*'Wastewater Criteria'!$C$11)*(1+'Wastewater Criteria'!$C$23)+('Project Tankers'!D9*'Wastewater Criteria'!$C$9))*(1+'Wastewater Criteria'!$C$36)</f>
        <v>388.51804987476629</v>
      </c>
      <c r="E9" s="34">
        <f>(('Project W Pop Connected'!F9*'Water Demand Criteria'!I$17/1000)*('Wastewater Criteria'!$C$8+'Wastewater Criteria'!$C$10*'Water Demand Criteria'!I$56+'Water Demand Criteria'!I$37*'Wastewater Criteria'!$C$11)*(1+'Wastewater Criteria'!$C$23)+('Project Tankers'!E9*'Wastewater Criteria'!$C$9))*(1+'Wastewater Criteria'!$C$36)</f>
        <v>414.59284310259972</v>
      </c>
      <c r="F9" s="34">
        <f>(('Project W Pop Connected'!G9*'Water Demand Criteria'!J$17/1000)*('Wastewater Criteria'!$C$8+'Wastewater Criteria'!$C$10*'Water Demand Criteria'!J$56+'Water Demand Criteria'!J$37*'Wastewater Criteria'!$C$11)*(1+'Wastewater Criteria'!$C$23)+('Project Tankers'!F9*'Wastewater Criteria'!$C$9))*(1+'Wastewater Criteria'!$C$36)</f>
        <v>441.7198276110397</v>
      </c>
      <c r="G9" s="34">
        <f>(('Project W Pop Connected'!H9*'Water Demand Criteria'!K$17/1000)*('Wastewater Criteria'!$C$8+'Wastewater Criteria'!$C$10*'Water Demand Criteria'!K$56+'Water Demand Criteria'!K$37*'Wastewater Criteria'!$C$11)*(1+'Wastewater Criteria'!$C$23)+('Project Tankers'!G9*'Wastewater Criteria'!$C$9))*(1+'Wastewater Criteria'!$C$36)</f>
        <v>469.94482585472224</v>
      </c>
      <c r="H9" s="34">
        <f>(('Project W Pop Connected'!I9*'Water Demand Criteria'!L$17/1000)*('Wastewater Criteria'!$C$8+'Wastewater Criteria'!$C$10*'Water Demand Criteria'!L$56+'Water Demand Criteria'!L$37*'Wastewater Criteria'!$C$11)*(1+'Wastewater Criteria'!$C$23)+('Project Tankers'!H9*'Wastewater Criteria'!$C$9))*(1+'Wastewater Criteria'!$C$36)</f>
        <v>499.29507612792719</v>
      </c>
      <c r="I9" s="34">
        <f>(('Project W Pop Connected'!J9*'Water Demand Criteria'!M$17/1000)*('Wastewater Criteria'!$C$8+'Wastewater Criteria'!$C$10*'Water Demand Criteria'!M$56+'Water Demand Criteria'!M$37*'Wastewater Criteria'!$C$11)*(1+'Wastewater Criteria'!$C$23)+('Project Tankers'!I9*'Wastewater Criteria'!$C$9))*(1+'Wastewater Criteria'!$C$36)</f>
        <v>527.77717976599786</v>
      </c>
      <c r="J9" s="34">
        <f>(('Project W Pop Connected'!K9*'Water Demand Criteria'!N$17/1000)*('Wastewater Criteria'!$C$8+'Wastewater Criteria'!$C$10*'Water Demand Criteria'!N$56+'Water Demand Criteria'!N$37*'Wastewater Criteria'!$C$11)*(1+'Wastewater Criteria'!$C$23)+('Project Tankers'!J9*'Wastewater Criteria'!$C$9))*(1+'Wastewater Criteria'!$C$36)</f>
        <v>559.29218699816624</v>
      </c>
      <c r="K9" s="34">
        <f>(('Project W Pop Connected'!L9*'Water Demand Criteria'!O$17/1000)*('Wastewater Criteria'!$C$8+'Wastewater Criteria'!$C$10*'Water Demand Criteria'!O$56+'Water Demand Criteria'!O$37*'Wastewater Criteria'!$C$11)*(1+'Wastewater Criteria'!$C$23)+('Project Tankers'!K9*'Wastewater Criteria'!$C$9))*(1+'Wastewater Criteria'!$C$36)</f>
        <v>592.03522620876629</v>
      </c>
      <c r="L9" s="34">
        <f>(('Project W Pop Connected'!M9*'Water Demand Criteria'!P$17/1000)*('Wastewater Criteria'!$C$8+'Wastewater Criteria'!$C$10*'Water Demand Criteria'!P$56+'Water Demand Criteria'!P$37*'Wastewater Criteria'!$C$11)*(1+'Wastewater Criteria'!$C$23)+('Project Tankers'!L9*'Wastewater Criteria'!$C$9))*(1+'Wastewater Criteria'!$C$36)</f>
        <v>618.99286877066572</v>
      </c>
      <c r="M9" s="34">
        <f>(('Project W Pop Connected'!N9*'Water Demand Criteria'!Q$17/1000)*('Wastewater Criteria'!$C$8+'Wastewater Criteria'!$C$10*'Water Demand Criteria'!Q$56+'Water Demand Criteria'!Q$37*'Wastewater Criteria'!$C$11)*(1+'Wastewater Criteria'!$C$23)+('Project Tankers'!M9*'Wastewater Criteria'!$C$9))*(1+'Wastewater Criteria'!$C$36)</f>
        <v>661.48979416282657</v>
      </c>
      <c r="N9" s="34">
        <f>(('Project W Pop Connected'!O9*'Water Demand Criteria'!R$17/1000)*('Wastewater Criteria'!$C$8+'Wastewater Criteria'!$C$10*'Water Demand Criteria'!R$56+'Water Demand Criteria'!R$37*'Wastewater Criteria'!$C$11)*(1+'Wastewater Criteria'!$C$23)+('Project Tankers'!N9*'Wastewater Criteria'!$C$9))*(1+'Wastewater Criteria'!$C$36)</f>
        <v>695.35894997058062</v>
      </c>
      <c r="O9" s="34">
        <f>(('Project W Pop Connected'!P9*'Water Demand Criteria'!S$17/1000)*('Wastewater Criteria'!$C$8+'Wastewater Criteria'!$C$10*'Water Demand Criteria'!S$56+'Water Demand Criteria'!S$37*'Wastewater Criteria'!$C$11)*(1+'Wastewater Criteria'!$C$23)+('Project Tankers'!O9*'Wastewater Criteria'!$C$9))*(1+'Wastewater Criteria'!$C$36)</f>
        <v>711.80121642089239</v>
      </c>
      <c r="P9" s="34">
        <f>(('Project W Pop Connected'!Q9*'Water Demand Criteria'!T$17/1000)*('Wastewater Criteria'!$C$8+'Wastewater Criteria'!$C$10*'Water Demand Criteria'!T$56+'Water Demand Criteria'!T$37*'Wastewater Criteria'!$C$11)*(1+'Wastewater Criteria'!$C$23)+('Project Tankers'!P9*'Wastewater Criteria'!$C$9))*(1+'Wastewater Criteria'!$C$36)</f>
        <v>728.89189543080283</v>
      </c>
      <c r="Q9" s="34">
        <f>(('Project W Pop Connected'!R9*'Water Demand Criteria'!U$17/1000)*('Wastewater Criteria'!$C$8+'Wastewater Criteria'!$C$10*'Water Demand Criteria'!U$56+'Water Demand Criteria'!U$37*'Wastewater Criteria'!$C$11)*(1+'Wastewater Criteria'!$C$23)+('Project Tankers'!Q9*'Wastewater Criteria'!$C$9))*(1+'Wastewater Criteria'!$C$36)</f>
        <v>746.58354217887791</v>
      </c>
      <c r="R9" s="34">
        <f>(('Project W Pop Connected'!S9*'Water Demand Criteria'!V$17/1000)*('Wastewater Criteria'!$C$8+'Wastewater Criteria'!$C$10*'Water Demand Criteria'!V$56+'Water Demand Criteria'!V$37*'Wastewater Criteria'!$C$11)*(1+'Wastewater Criteria'!$C$23)+('Project Tankers'!R9*'Wastewater Criteria'!$C$9))*(1+'Wastewater Criteria'!$C$36)</f>
        <v>765.03430606989775</v>
      </c>
      <c r="S9" s="34">
        <f>(('Project W Pop Connected'!T9*'Water Demand Criteria'!W$17/1000)*('Wastewater Criteria'!$C$8+'Wastewater Criteria'!$C$10*'Water Demand Criteria'!W$56+'Water Demand Criteria'!W$37*'Wastewater Criteria'!$C$11)*(1+'Wastewater Criteria'!$C$23)+('Project Tankers'!S9*'Wastewater Criteria'!$C$9))*(1+'Wastewater Criteria'!$C$36)</f>
        <v>780.39324909746551</v>
      </c>
      <c r="T9" s="34">
        <f>(('Project W Pop Connected'!U9*'Water Demand Criteria'!X$17/1000)*('Wastewater Criteria'!$C$8+'Wastewater Criteria'!$C$10*'Water Demand Criteria'!X$56+'Water Demand Criteria'!X$37*'Wastewater Criteria'!$C$11)*(1+'Wastewater Criteria'!$C$23)+('Project Tankers'!T9*'Wastewater Criteria'!$C$9))*(1+'Wastewater Criteria'!$C$36)</f>
        <v>794.15676055313486</v>
      </c>
      <c r="U9" s="34">
        <f>(('Project W Pop Connected'!V9*'Water Demand Criteria'!Y$17/1000)*('Wastewater Criteria'!$C$8+'Wastewater Criteria'!$C$10*'Water Demand Criteria'!Y$56+'Water Demand Criteria'!Y$37*'Wastewater Criteria'!$C$11)*(1+'Wastewater Criteria'!$C$23)+('Project Tankers'!U9*'Wastewater Criteria'!$C$9))*(1+'Wastewater Criteria'!$C$36)</f>
        <v>808.54863347045932</v>
      </c>
      <c r="V9" s="34">
        <f>(('Project W Pop Connected'!W9*'Water Demand Criteria'!Z$17/1000)*('Wastewater Criteria'!$C$8+'Wastewater Criteria'!$C$10*'Water Demand Criteria'!Z$56+'Water Demand Criteria'!Z$37*'Wastewater Criteria'!$C$11)*(1+'Wastewater Criteria'!$C$23)+('Project Tankers'!V9*'Wastewater Criteria'!$C$9))*(1+'Wastewater Criteria'!$C$36)</f>
        <v>823.38853917349547</v>
      </c>
      <c r="W9" s="34">
        <f>(('Project W Pop Connected'!X9*'Water Demand Criteria'!AA$17/1000)*('Wastewater Criteria'!$C$8+'Wastewater Criteria'!$C$10*'Water Demand Criteria'!AA$56+'Water Demand Criteria'!AA$37*'Wastewater Criteria'!$C$11)*(1+'Wastewater Criteria'!$C$23)+('Project Tankers'!W9*'Wastewater Criteria'!$C$9))*(1+'Wastewater Criteria'!$C$36)</f>
        <v>838.7073105684625</v>
      </c>
      <c r="X9" s="34">
        <f>(('Project W Pop Connected'!Y9*'Water Demand Criteria'!AB$17/1000)*('Wastewater Criteria'!$C$8+'Wastewater Criteria'!$C$10*'Water Demand Criteria'!AB$56+'Water Demand Criteria'!AB$37*'Wastewater Criteria'!$C$11)*(1+'Wastewater Criteria'!$C$23)+('Project Tankers'!X9*'Wastewater Criteria'!$C$9))*(1+'Wastewater Criteria'!$C$36)</f>
        <v>854.53578056202446</v>
      </c>
      <c r="Y9" s="34">
        <f>(('Project W Pop Connected'!Z9*'Water Demand Criteria'!AC$17/1000)*('Wastewater Criteria'!$C$8+'Wastewater Criteria'!$C$10*'Water Demand Criteria'!AC$56+'Water Demand Criteria'!AC$37*'Wastewater Criteria'!$C$11)*(1+'Wastewater Criteria'!$C$23)+('Project Tankers'!Y9*'Wastewater Criteria'!$C$9))*(1+'Wastewater Criteria'!$C$36)</f>
        <v>870.90478208478964</v>
      </c>
      <c r="Z9" s="34">
        <f>(('Project W Pop Connected'!AA9*'Water Demand Criteria'!AD$17/1000)*('Wastewater Criteria'!$C$8+'Wastewater Criteria'!$C$10*'Water Demand Criteria'!AD$56+'Water Demand Criteria'!AD$37*'Wastewater Criteria'!$C$11)*(1+'Wastewater Criteria'!$C$23)+('Project Tankers'!Z9*'Wastewater Criteria'!$C$9))*(1+'Wastewater Criteria'!$C$36)</f>
        <v>887.84514802677643</v>
      </c>
      <c r="AA9" s="34">
        <f>(('Project W Pop Connected'!AB9*'Water Demand Criteria'!AE$17/1000)*('Wastewater Criteria'!$C$8+'Wastewater Criteria'!$C$10*'Water Demand Criteria'!AE$56+'Water Demand Criteria'!AE$37*'Wastewater Criteria'!$C$11)*(1+'Wastewater Criteria'!$C$23)+('Project Tankers'!AA9*'Wastewater Criteria'!$C$9))*(1+'Wastewater Criteria'!$C$36)</f>
        <v>905.38771134491969</v>
      </c>
      <c r="AB9" s="34">
        <f>(('Project W Pop Connected'!AC9*'Water Demand Criteria'!AF$17/1000)*('Wastewater Criteria'!$C$8+'Wastewater Criteria'!$C$10*'Water Demand Criteria'!AF$56+'Water Demand Criteria'!AF$37*'Wastewater Criteria'!$C$11)*(1+'Wastewater Criteria'!$C$23)+('Project Tankers'!AB9*'Wastewater Criteria'!$C$9))*(1+'Wastewater Criteria'!$C$36)</f>
        <v>923.5633049060541</v>
      </c>
      <c r="AC9" s="34">
        <f>(('Project W Pop Connected'!AD9*'Water Demand Criteria'!AG$17/1000)*('Wastewater Criteria'!$C$8+'Wastewater Criteria'!$C$10*'Water Demand Criteria'!AG$56+'Water Demand Criteria'!AG$37*'Wastewater Criteria'!$C$11)*(1+'Wastewater Criteria'!$C$23)+('Project Tankers'!AC9*'Wastewater Criteria'!$C$9))*(1+'Wastewater Criteria'!$C$36)</f>
        <v>942.40276168258583</v>
      </c>
      <c r="AD9" s="44">
        <f>(('Project W Pop Connected'!AE9*'Water Demand Criteria'!AH$17/1000)*('Wastewater Criteria'!$C$8+'Wastewater Criteria'!$C$10*'Water Demand Criteria'!AH$56+'Water Demand Criteria'!AH$37*'Wastewater Criteria'!$C$11)*(1+'Wastewater Criteria'!$C$23)+('Project Tankers'!AD9*'Wastewater Criteria'!$C$9))*(1+'Wastewater Criteria'!$C$36)</f>
        <v>973.20543834616251</v>
      </c>
      <c r="AE9" s="44">
        <f>(('Project W Pop Connected'!AF9*'Water Demand Criteria'!AI$17/1000)*('Wastewater Criteria'!$C$8+'Wastewater Criteria'!$C$10*'Water Demand Criteria'!AI$56+'Water Demand Criteria'!AI$37*'Wastewater Criteria'!$C$11)*(1+'Wastewater Criteria'!$C$23)+('Project Tankers'!AE9*'Wastewater Criteria'!$C$9))*(1+'Wastewater Criteria'!$C$36)</f>
        <v>1005.2154952811522</v>
      </c>
      <c r="AF9" s="44">
        <f>(('Project W Pop Connected'!AG9*'Water Demand Criteria'!AJ$17/1000)*('Wastewater Criteria'!$C$8+'Wastewater Criteria'!$C$10*'Water Demand Criteria'!AJ$56+'Water Demand Criteria'!AJ$37*'Wastewater Criteria'!$C$11)*(1+'Wastewater Criteria'!$C$23)+('Project Tankers'!AF9*'Wastewater Criteria'!$C$9))*(1+'Wastewater Criteria'!$C$36)</f>
        <v>1038.4879273523545</v>
      </c>
      <c r="AG9" s="44">
        <f>(('Project W Pop Connected'!AH9*'Water Demand Criteria'!AK$17/1000)*('Wastewater Criteria'!$C$8+'Wastewater Criteria'!$C$10*'Water Demand Criteria'!AK$56+'Water Demand Criteria'!AK$37*'Wastewater Criteria'!$C$11)*(1+'Wastewater Criteria'!$C$23)+('Project Tankers'!AG9*'Wastewater Criteria'!$C$9))*(1+'Wastewater Criteria'!$C$36)</f>
        <v>1073.0804415808784</v>
      </c>
      <c r="AH9" s="44">
        <f>(('Project W Pop Connected'!AI9*'Water Demand Criteria'!AL$17/1000)*('Wastewater Criteria'!$C$8+'Wastewater Criteria'!$C$10*'Water Demand Criteria'!AL$56+'Water Demand Criteria'!AL$37*'Wastewater Criteria'!$C$11)*(1+'Wastewater Criteria'!$C$23)+('Project Tankers'!AH9*'Wastewater Criteria'!$C$9))*(1+'Wastewater Criteria'!$C$36)</f>
        <v>1109.053602920829</v>
      </c>
      <c r="AI9" s="44">
        <f>(('Project W Pop Connected'!AJ9*'Water Demand Criteria'!AM$17/1000)*('Wastewater Criteria'!$C$8+'Wastewater Criteria'!$C$10*'Water Demand Criteria'!AM$56+'Water Demand Criteria'!AM$37*'Wastewater Criteria'!$C$11)*(1+'Wastewater Criteria'!$C$23)+('Project Tankers'!AI9*'Wastewater Criteria'!$C$9))*(1+'Wastewater Criteria'!$C$36)</f>
        <v>1146.4709883684475</v>
      </c>
      <c r="AJ9" s="44">
        <f>(('Project W Pop Connected'!AK9*'Water Demand Criteria'!AN$17/1000)*('Wastewater Criteria'!$C$8+'Wastewater Criteria'!$C$10*'Water Demand Criteria'!AN$56+'Water Demand Criteria'!AN$37*'Wastewater Criteria'!$C$11)*(1+'Wastewater Criteria'!$C$23)+('Project Tankers'!AJ9*'Wastewater Criteria'!$C$9))*(1+'Wastewater Criteria'!$C$36)</f>
        <v>1185.399349909809</v>
      </c>
      <c r="AK9" s="44">
        <f>(('Project W Pop Connected'!AL9*'Water Demand Criteria'!AO$17/1000)*('Wastewater Criteria'!$C$8+'Wastewater Criteria'!$C$10*'Water Demand Criteria'!AO$56+'Water Demand Criteria'!AO$37*'Wastewater Criteria'!$C$11)*(1+'Wastewater Criteria'!$C$23)+('Project Tankers'!AK9*'Wastewater Criteria'!$C$9))*(1+'Wastewater Criteria'!$C$36)</f>
        <v>1225.6942722366796</v>
      </c>
      <c r="AL9" s="44">
        <f>(('Project W Pop Connected'!AM9*'Water Demand Criteria'!AP$17/1000)*('Wastewater Criteria'!$C$8+'Wastewater Criteria'!$C$10*'Water Demand Criteria'!AP$56+'Water Demand Criteria'!AP$37*'Wastewater Criteria'!$C$11)*(1+'Wastewater Criteria'!$C$23)+('Project Tankers'!AL9*'Wastewater Criteria'!$C$9))*(1+'Wastewater Criteria'!$C$36)</f>
        <v>1267.274488641267</v>
      </c>
      <c r="AM9" s="44">
        <f>(('Project W Pop Connected'!AN9*'Water Demand Criteria'!AQ$17/1000)*('Wastewater Criteria'!$C$8+'Wastewater Criteria'!$C$10*'Water Demand Criteria'!AQ$56+'Water Demand Criteria'!AQ$37*'Wastewater Criteria'!$C$11)*(1+'Wastewater Criteria'!$C$23)+('Project Tankers'!AM9*'Wastewater Criteria'!$C$9))*(1+'Wastewater Criteria'!$C$36)</f>
        <v>1310.1784833640411</v>
      </c>
      <c r="AN9" s="44">
        <f>(('Project W Pop Connected'!AO9*'Water Demand Criteria'!AR$17/1000)*('Wastewater Criteria'!$C$8+'Wastewater Criteria'!$C$10*'Water Demand Criteria'!AR$56+'Water Demand Criteria'!AR$37*'Wastewater Criteria'!$C$11)*(1+'Wastewater Criteria'!$C$23)+('Project Tankers'!AN9*'Wastewater Criteria'!$C$9))*(1+'Wastewater Criteria'!$C$36)</f>
        <v>1354.4458475596259</v>
      </c>
      <c r="AO9" s="44">
        <f>(('Project W Pop Connected'!AP9*'Water Demand Criteria'!AS$17/1000)*('Wastewater Criteria'!$C$8+'Wastewater Criteria'!$C$10*'Water Demand Criteria'!AS$56+'Water Demand Criteria'!AS$37*'Wastewater Criteria'!$C$11)*(1+'Wastewater Criteria'!$C$23)+('Project Tankers'!AO9*'Wastewater Criteria'!$C$9))*(1+'Wastewater Criteria'!$C$36)</f>
        <v>1400.1173102617563</v>
      </c>
      <c r="AP9" s="44">
        <f>(('Project W Pop Connected'!AQ9*'Water Demand Criteria'!AT$17/1000)*('Wastewater Criteria'!$C$8+'Wastewater Criteria'!$C$10*'Water Demand Criteria'!AT$56+'Water Demand Criteria'!AT$37*'Wastewater Criteria'!$C$11)*(1+'Wastewater Criteria'!$C$23)+('Project Tankers'!AP9*'Wastewater Criteria'!$C$9))*(1+'Wastewater Criteria'!$C$36)</f>
        <v>1447.2347701969697</v>
      </c>
      <c r="AQ9" s="44">
        <f>(('Project W Pop Connected'!AR9*'Water Demand Criteria'!AU$17/1000)*('Wastewater Criteria'!$C$8+'Wastewater Criteria'!$C$10*'Water Demand Criteria'!AU$56+'Water Demand Criteria'!AU$37*'Wastewater Criteria'!$C$11)*(1+'Wastewater Criteria'!$C$23)+('Project Tankers'!AQ9*'Wastewater Criteria'!$C$9))*(1+'Wastewater Criteria'!$C$36)</f>
        <v>1495.841328469937</v>
      </c>
      <c r="AR9" s="44">
        <f>(('Project W Pop Connected'!AS9*'Water Demand Criteria'!AV$17/1000)*('Wastewater Criteria'!$C$8+'Wastewater Criteria'!$C$10*'Water Demand Criteria'!AV$56+'Water Demand Criteria'!AV$37*'Wastewater Criteria'!$C$11)*(1+'Wastewater Criteria'!$C$23)+('Project Tankers'!AR9*'Wastewater Criteria'!$C$9))*(1+'Wastewater Criteria'!$C$36)</f>
        <v>1545.9813221439492</v>
      </c>
      <c r="AS9" s="44">
        <f>(('Project W Pop Connected'!AT9*'Water Demand Criteria'!AW$17/1000)*('Wastewater Criteria'!$C$8+'Wastewater Criteria'!$C$10*'Water Demand Criteria'!AW$56+'Water Demand Criteria'!AW$37*'Wastewater Criteria'!$C$11)*(1+'Wastewater Criteria'!$C$23)+('Project Tankers'!AS9*'Wastewater Criteria'!$C$9))*(1+'Wastewater Criteria'!$C$36)</f>
        <v>1597.7003587406896</v>
      </c>
      <c r="AT9" s="44">
        <f>(('Project W Pop Connected'!AU9*'Water Demand Criteria'!AX$17/1000)*('Wastewater Criteria'!$C$8+'Wastewater Criteria'!$C$10*'Water Demand Criteria'!AX$56+'Water Demand Criteria'!AX$37*'Wastewater Criteria'!$C$11)*(1+'Wastewater Criteria'!$C$23)+('Project Tankers'!AT9*'Wastewater Criteria'!$C$9))*(1+'Wastewater Criteria'!$C$36)</f>
        <v>1651.0453516840939</v>
      </c>
      <c r="AU9" s="44">
        <f>(('Project W Pop Connected'!AV9*'Water Demand Criteria'!AY$17/1000)*('Wastewater Criteria'!$C$8+'Wastewater Criteria'!$C$10*'Water Demand Criteria'!AY$56+'Water Demand Criteria'!AY$37*'Wastewater Criteria'!$C$11)*(1+'Wastewater Criteria'!$C$23)+('Project Tankers'!AU9*'Wastewater Criteria'!$C$9))*(1+'Wastewater Criteria'!$C$36)</f>
        <v>1706.0645567137219</v>
      </c>
      <c r="AV9" s="44">
        <f>(('Project W Pop Connected'!AW9*'Water Demand Criteria'!AZ$17/1000)*('Wastewater Criteria'!$C$8+'Wastewater Criteria'!$C$10*'Water Demand Criteria'!AZ$56+'Water Demand Criteria'!AZ$37*'Wastewater Criteria'!$C$11)*(1+'Wastewater Criteria'!$C$23)+('Project Tankers'!AV9*'Wastewater Criteria'!$C$9))*(1+'Wastewater Criteria'!$C$36)</f>
        <v>1762.8076092937772</v>
      </c>
      <c r="AW9" s="44">
        <f>(('Project W Pop Connected'!AX9*'Water Demand Criteria'!BA$17/1000)*('Wastewater Criteria'!$C$8+'Wastewater Criteria'!$C$10*'Water Demand Criteria'!BA$56+'Water Demand Criteria'!BA$37*'Wastewater Criteria'!$C$11)*(1+'Wastewater Criteria'!$C$23)+('Project Tankers'!AW9*'Wastewater Criteria'!$C$9))*(1+'Wastewater Criteria'!$C$36)</f>
        <v>1821.3255630445824</v>
      </c>
      <c r="AX9" s="44">
        <f>(('Project W Pop Connected'!AY9*'Water Demand Criteria'!BB$17/1000)*('Wastewater Criteria'!$C$8+'Wastewater Criteria'!$C$10*'Water Demand Criteria'!BB$56+'Water Demand Criteria'!BB$37*'Wastewater Criteria'!$C$11)*(1+'Wastewater Criteria'!$C$23)+('Project Tankers'!AX9*'Wastewater Criteria'!$C$9))*(1+'Wastewater Criteria'!$C$36)</f>
        <v>1863.6237169086942</v>
      </c>
      <c r="AY9" s="44">
        <f>(('Project W Pop Connected'!AZ9*'Water Demand Criteria'!BC$17/1000)*('Wastewater Criteria'!$C$8+'Wastewater Criteria'!$C$10*'Water Demand Criteria'!BC$56+'Water Demand Criteria'!BC$37*'Wastewater Criteria'!$C$11)*(1+'Wastewater Criteria'!$C$23)+('Project Tankers'!AY9*'Wastewater Criteria'!$C$9))*(1+'Wastewater Criteria'!$C$36)</f>
        <v>1906.9370264655447</v>
      </c>
      <c r="AZ9" s="44">
        <f>(('Project W Pop Connected'!BA9*'Water Demand Criteria'!BD$17/1000)*('Wastewater Criteria'!$C$8+'Wastewater Criteria'!$C$10*'Water Demand Criteria'!BD$56+'Water Demand Criteria'!BD$37*'Wastewater Criteria'!$C$11)*(1+'Wastewater Criteria'!$C$23)+('Project Tankers'!AZ9*'Wastewater Criteria'!$C$9))*(1+'Wastewater Criteria'!$C$36)</f>
        <v>1951.2898554517594</v>
      </c>
      <c r="BA9" s="44">
        <f>(('Project W Pop Connected'!BB9*'Water Demand Criteria'!BE$17/1000)*('Wastewater Criteria'!$C$8+'Wastewater Criteria'!$C$10*'Water Demand Criteria'!BE$56+'Water Demand Criteria'!BE$37*'Wastewater Criteria'!$C$11)*(1+'Wastewater Criteria'!$C$23)+('Project Tankers'!BA9*'Wastewater Criteria'!$C$9))*(1+'Wastewater Criteria'!$C$36)</f>
        <v>1996.7071523336431</v>
      </c>
      <c r="BB9" s="44">
        <f>(('Project W Pop Connected'!BC9*'Water Demand Criteria'!BF$17/1000)*('Wastewater Criteria'!$C$8+'Wastewater Criteria'!$C$10*'Water Demand Criteria'!BF$56+'Water Demand Criteria'!BF$37*'Wastewater Criteria'!$C$11)*(1+'Wastewater Criteria'!$C$23)+('Project Tankers'!BB9*'Wastewater Criteria'!$C$9))*(1+'Wastewater Criteria'!$C$36)</f>
        <v>2043.2144643406925</v>
      </c>
      <c r="BC9" s="44">
        <f>(('Project W Pop Connected'!BD9*'Water Demand Criteria'!BG$17/1000)*('Wastewater Criteria'!$C$8+'Wastewater Criteria'!$C$10*'Water Demand Criteria'!BG$56+'Water Demand Criteria'!BG$37*'Wastewater Criteria'!$C$11)*(1+'Wastewater Criteria'!$C$23)+('Project Tankers'!BC9*'Wastewater Criteria'!$C$9))*(1+'Wastewater Criteria'!$C$36)</f>
        <v>2090.8379518359106</v>
      </c>
      <c r="BD9" s="44">
        <f>(('Project W Pop Connected'!BE9*'Water Demand Criteria'!BH$17/1000)*('Wastewater Criteria'!$C$8+'Wastewater Criteria'!$C$10*'Water Demand Criteria'!BH$56+'Water Demand Criteria'!BH$37*'Wastewater Criteria'!$C$11)*(1+'Wastewater Criteria'!$C$23)+('Project Tankers'!BD9*'Wastewater Criteria'!$C$9))*(1+'Wastewater Criteria'!$C$36)</f>
        <v>2139.6044030310145</v>
      </c>
      <c r="BE9" s="44">
        <f>(('Project W Pop Connected'!BF9*'Water Demand Criteria'!BI$17/1000)*('Wastewater Criteria'!$C$8+'Wastewater Criteria'!$C$10*'Water Demand Criteria'!BI$56+'Water Demand Criteria'!BI$37*'Wastewater Criteria'!$C$11)*(1+'Wastewater Criteria'!$C$23)+('Project Tankers'!BE9*'Wastewater Criteria'!$C$9))*(1+'Wastewater Criteria'!$C$36)</f>
        <v>2189.5412490548006</v>
      </c>
      <c r="BF9" s="44">
        <f>(('Project W Pop Connected'!BG9*'Water Demand Criteria'!BJ$17/1000)*('Wastewater Criteria'!$C$8+'Wastewater Criteria'!$C$10*'Water Demand Criteria'!BJ$56+'Water Demand Criteria'!BJ$37*'Wastewater Criteria'!$C$11)*(1+'Wastewater Criteria'!$C$23)+('Project Tankers'!BF9*'Wastewater Criteria'!$C$9))*(1+'Wastewater Criteria'!$C$36)</f>
        <v>2240.6765793831582</v>
      </c>
      <c r="BG9" s="44">
        <f>(('Project W Pop Connected'!BH9*'Water Demand Criteria'!BK$17/1000)*('Wastewater Criteria'!$C$8+'Wastewater Criteria'!$C$10*'Water Demand Criteria'!BK$56+'Water Demand Criteria'!BK$37*'Wastewater Criteria'!$C$11)*(1+'Wastewater Criteria'!$C$23)+('Project Tankers'!BG9*'Wastewater Criteria'!$C$9))*(1+'Wastewater Criteria'!$C$36)</f>
        <v>2293.0391576393954</v>
      </c>
      <c r="BH9" s="44">
        <f>(('Project W Pop Connected'!BI9*'Water Demand Criteria'!BL$17/1000)*('Wastewater Criteria'!$C$8+'Wastewater Criteria'!$C$10*'Water Demand Criteria'!BL$56+'Water Demand Criteria'!BL$37*'Wastewater Criteria'!$C$11)*(1+'Wastewater Criteria'!$C$23)+('Project Tankers'!BH9*'Wastewater Criteria'!$C$9))*(1+'Wastewater Criteria'!$C$36)</f>
        <v>2346.6584377737822</v>
      </c>
      <c r="BI9" s="44">
        <f>(('Project W Pop Connected'!BJ9*'Water Demand Criteria'!BM$17/1000)*('Wastewater Criteria'!$C$8+'Wastewater Criteria'!$C$10*'Water Demand Criteria'!BM$56+'Water Demand Criteria'!BM$37*'Wastewater Criteria'!$C$11)*(1+'Wastewater Criteria'!$C$23)+('Project Tankers'!BI9*'Wastewater Criteria'!$C$9))*(1+'Wastewater Criteria'!$C$36)</f>
        <v>2401.5645806313951</v>
      </c>
      <c r="BJ9" s="44">
        <f>(('Project W Pop Connected'!BK9*'Water Demand Criteria'!BN$17/1000)*('Wastewater Criteria'!$C$8+'Wastewater Criteria'!$C$10*'Water Demand Criteria'!BN$56+'Water Demand Criteria'!BN$37*'Wastewater Criteria'!$C$11)*(1+'Wastewater Criteria'!$C$23)+('Project Tankers'!BJ9*'Wastewater Criteria'!$C$9))*(1+'Wastewater Criteria'!$C$36)</f>
        <v>2457.7884709175901</v>
      </c>
      <c r="BK9" s="44">
        <f>(('Project W Pop Connected'!BL9*'Water Demand Criteria'!BO$17/1000)*('Wastewater Criteria'!$C$8+'Wastewater Criteria'!$C$10*'Water Demand Criteria'!BO$56+'Water Demand Criteria'!BO$37*'Wastewater Criteria'!$C$11)*(1+'Wastewater Criteria'!$C$23)+('Project Tankers'!BK9*'Wastewater Criteria'!$C$9))*(1+'Wastewater Criteria'!$C$36)</f>
        <v>2515.3617345706539</v>
      </c>
      <c r="BL9" s="44">
        <f>(('Project W Pop Connected'!BM9*'Water Demand Criteria'!BP$17/1000)*('Wastewater Criteria'!$C$8+'Wastewater Criteria'!$C$10*'Water Demand Criteria'!BP$56+'Water Demand Criteria'!BP$37*'Wastewater Criteria'!$C$11)*(1+'Wastewater Criteria'!$C$23)+('Project Tankers'!BL9*'Wastewater Criteria'!$C$9))*(1+'Wastewater Criteria'!$C$36)</f>
        <v>2574.3167565513909</v>
      </c>
      <c r="BM9" s="44">
        <f>(('Project W Pop Connected'!BN9*'Water Demand Criteria'!BQ$17/1000)*('Wastewater Criteria'!$C$8+'Wastewater Criteria'!$C$10*'Water Demand Criteria'!BQ$56+'Water Demand Criteria'!BQ$37*'Wastewater Criteria'!$C$11)*(1+'Wastewater Criteria'!$C$23)+('Project Tankers'!BM9*'Wastewater Criteria'!$C$9))*(1+'Wastewater Criteria'!$C$36)</f>
        <v>2634.6866990596664</v>
      </c>
      <c r="BN9" s="44">
        <f>(('Project W Pop Connected'!BO9*'Water Demand Criteria'!BR$17/1000)*('Wastewater Criteria'!$C$8+'Wastewater Criteria'!$C$10*'Water Demand Criteria'!BR$56+'Water Demand Criteria'!BR$37*'Wastewater Criteria'!$C$11)*(1+'Wastewater Criteria'!$C$23)+('Project Tankers'!BN9*'Wastewater Criteria'!$C$9))*(1+'Wastewater Criteria'!$C$36)</f>
        <v>2696.5055201881401</v>
      </c>
      <c r="BO9" s="44">
        <f>(('Project W Pop Connected'!BP9*'Water Demand Criteria'!BS$17/1000)*('Wastewater Criteria'!$C$8+'Wastewater Criteria'!$C$10*'Water Demand Criteria'!BS$56+'Water Demand Criteria'!BS$37*'Wastewater Criteria'!$C$11)*(1+'Wastewater Criteria'!$C$23)+('Project Tankers'!BO9*'Wastewater Criteria'!$C$9))*(1+'Wastewater Criteria'!$C$36)</f>
        <v>2759.8079930236972</v>
      </c>
      <c r="BP9" s="44">
        <f>(('Project W Pop Connected'!BQ9*'Water Demand Criteria'!BT$17/1000)*('Wastewater Criteria'!$C$8+'Wastewater Criteria'!$C$10*'Water Demand Criteria'!BT$56+'Water Demand Criteria'!BT$37*'Wastewater Criteria'!$C$11)*(1+'Wastewater Criteria'!$C$23)+('Project Tankers'!BP9*'Wastewater Criteria'!$C$9))*(1+'Wastewater Criteria'!$C$36)</f>
        <v>2824.6297252073077</v>
      </c>
      <c r="BQ9" s="44">
        <f>(('Project W Pop Connected'!BR9*'Water Demand Criteria'!BU$17/1000)*('Wastewater Criteria'!$C$8+'Wastewater Criteria'!$C$10*'Water Demand Criteria'!BU$56+'Water Demand Criteria'!BU$37*'Wastewater Criteria'!$C$11)*(1+'Wastewater Criteria'!$C$23)+('Project Tankers'!BQ9*'Wastewater Criteria'!$C$9))*(1+'Wastewater Criteria'!$C$36)</f>
        <v>2891.0071789633253</v>
      </c>
      <c r="BR9" s="44">
        <f>(('Project W Pop Connected'!BS9*'Water Demand Criteria'!BV$17/1000)*('Wastewater Criteria'!$C$8+'Wastewater Criteria'!$C$10*'Water Demand Criteria'!BV$56+'Water Demand Criteria'!BV$37*'Wastewater Criteria'!$C$11)*(1+'Wastewater Criteria'!$C$23)+('Project Tankers'!BR9*'Wastewater Criteria'!$C$9))*(1+'Wastewater Criteria'!$C$36)</f>
        <v>2958.9776916094875</v>
      </c>
      <c r="BS9" s="44">
        <f>(('Project W Pop Connected'!BT9*'Water Demand Criteria'!BW$17/1000)*('Wastewater Criteria'!$C$8+'Wastewater Criteria'!$C$10*'Water Demand Criteria'!BW$56+'Water Demand Criteria'!BW$37*'Wastewater Criteria'!$C$11)*(1+'Wastewater Criteria'!$C$23)+('Project Tankers'!BS9*'Wastewater Criteria'!$C$9))*(1+'Wastewater Criteria'!$C$36)</f>
        <v>3028.5794965591563</v>
      </c>
      <c r="BT9" s="44">
        <f>(('Project W Pop Connected'!BU9*'Water Demand Criteria'!BX$17/1000)*('Wastewater Criteria'!$C$8+'Wastewater Criteria'!$C$10*'Water Demand Criteria'!BX$56+'Water Demand Criteria'!BX$37*'Wastewater Criteria'!$C$11)*(1+'Wastewater Criteria'!$C$23)+('Project Tankers'!BT9*'Wastewater Criteria'!$C$9))*(1+'Wastewater Criteria'!$C$36)</f>
        <v>3099.8517448276179</v>
      </c>
      <c r="BU9" s="44">
        <f>(('Project W Pop Connected'!BV9*'Water Demand Criteria'!BY$17/1000)*('Wastewater Criteria'!$C$8+'Wastewater Criteria'!$C$10*'Water Demand Criteria'!BY$56+'Water Demand Criteria'!BY$37*'Wastewater Criteria'!$C$11)*(1+'Wastewater Criteria'!$C$23)+('Project Tankers'!BU9*'Wastewater Criteria'!$C$9))*(1+'Wastewater Criteria'!$C$36)</f>
        <v>3172.8345270545228</v>
      </c>
      <c r="BV9" s="44">
        <f>(('Project W Pop Connected'!BW9*'Water Demand Criteria'!BZ$17/1000)*('Wastewater Criteria'!$C$8+'Wastewater Criteria'!$C$10*'Water Demand Criteria'!BZ$56+'Water Demand Criteria'!BZ$37*'Wastewater Criteria'!$C$11)*(1+'Wastewater Criteria'!$C$23)+('Project Tankers'!BV9*'Wastewater Criteria'!$C$9))*(1+'Wastewater Criteria'!$C$36)</f>
        <v>3247.5688960548732</v>
      </c>
      <c r="BW9" s="44">
        <f>(('Project W Pop Connected'!BX9*'Water Demand Criteria'!CA$17/1000)*('Wastewater Criteria'!$C$8+'Wastewater Criteria'!$C$10*'Water Demand Criteria'!CA$56+'Water Demand Criteria'!CA$37*'Wastewater Criteria'!$C$11)*(1+'Wastewater Criteria'!$C$23)+('Project Tankers'!BW9*'Wastewater Criteria'!$C$9))*(1+'Wastewater Criteria'!$C$36)</f>
        <v>3324.0968899112318</v>
      </c>
      <c r="BX9" s="44">
        <f>(('Project W Pop Connected'!BY9*'Water Demand Criteria'!CB$17/1000)*('Wastewater Criteria'!$C$8+'Wastewater Criteria'!$C$10*'Water Demand Criteria'!CB$56+'Water Demand Criteria'!CB$37*'Wastewater Criteria'!$C$11)*(1+'Wastewater Criteria'!$C$23)+('Project Tankers'!BX9*'Wastewater Criteria'!$C$9))*(1+'Wastewater Criteria'!$C$36)</f>
        <v>3402.4615556201438</v>
      </c>
      <c r="BY9" s="44">
        <f>(('Project W Pop Connected'!BZ9*'Water Demand Criteria'!CC$17/1000)*('Wastewater Criteria'!$C$8+'Wastewater Criteria'!$C$10*'Water Demand Criteria'!CC$56+'Water Demand Criteria'!CC$37*'Wastewater Criteria'!$C$11)*(1+'Wastewater Criteria'!$C$23)+('Project Tankers'!BY9*'Wastewater Criteria'!$C$9))*(1+'Wastewater Criteria'!$C$36)</f>
        <v>3482.706973306068</v>
      </c>
      <c r="BZ9" s="44">
        <f>(('Project W Pop Connected'!CA9*'Water Demand Criteria'!CD$17/1000)*('Wastewater Criteria'!$C$8+'Wastewater Criteria'!$C$10*'Water Demand Criteria'!CD$56+'Water Demand Criteria'!CD$37*'Wastewater Criteria'!$C$11)*(1+'Wastewater Criteria'!$C$23)+('Project Tankers'!BZ9*'Wastewater Criteria'!$C$9))*(1+'Wastewater Criteria'!$C$36)</f>
        <v>3564.8782810164562</v>
      </c>
      <c r="CA9" s="44">
        <f>(('Project W Pop Connected'!CB9*'Water Demand Criteria'!CE$17/1000)*('Wastewater Criteria'!$C$8+'Wastewater Criteria'!$C$10*'Water Demand Criteria'!CE$56+'Water Demand Criteria'!CE$37*'Wastewater Criteria'!$C$11)*(1+'Wastewater Criteria'!$C$23)+('Project Tankers'!CA9*'Wastewater Criteria'!$C$9))*(1+'Wastewater Criteria'!$C$36)</f>
        <v>3649.0217001118926</v>
      </c>
    </row>
    <row r="10" spans="1:79" x14ac:dyDescent="0.25">
      <c r="A10" s="33">
        <v>9</v>
      </c>
      <c r="B10" s="36" t="s">
        <v>37</v>
      </c>
      <c r="C10" s="34">
        <f>(('Project W Pop Connected'!D10*'Water Demand Criteria'!G$17/1000)*('Wastewater Criteria'!$C$8+'Wastewater Criteria'!$C$10*'Water Demand Criteria'!G$56+'Water Demand Criteria'!G$37*'Wastewater Criteria'!$C$11)*(1+'Wastewater Criteria'!$C$23)+('Project Tankers'!C10*'Wastewater Criteria'!$C$9))*(1+'Wastewater Criteria'!$C$36)</f>
        <v>16.548595246975069</v>
      </c>
      <c r="D10" s="34">
        <f>(('Project W Pop Connected'!E10*'Water Demand Criteria'!H$17/1000)*('Wastewater Criteria'!$C$8+'Wastewater Criteria'!$C$10*'Water Demand Criteria'!H$56+'Water Demand Criteria'!H$37*'Wastewater Criteria'!$C$11)*(1+'Wastewater Criteria'!$C$23)+('Project Tankers'!D10*'Wastewater Criteria'!$C$9))*(1+'Wastewater Criteria'!$C$36)</f>
        <v>17.633631727946984</v>
      </c>
      <c r="E10" s="34">
        <f>(('Project W Pop Connected'!F10*'Water Demand Criteria'!I$17/1000)*('Wastewater Criteria'!$C$8+'Wastewater Criteria'!$C$10*'Water Demand Criteria'!I$56+'Water Demand Criteria'!I$37*'Wastewater Criteria'!$C$11)*(1+'Wastewater Criteria'!$C$23)+('Project Tankers'!E10*'Wastewater Criteria'!$C$9))*(1+'Wastewater Criteria'!$C$36)</f>
        <v>18.817085884865019</v>
      </c>
      <c r="F10" s="34">
        <f>(('Project W Pop Connected'!G10*'Water Demand Criteria'!J$17/1000)*('Wastewater Criteria'!$C$8+'Wastewater Criteria'!$C$10*'Water Demand Criteria'!J$56+'Water Demand Criteria'!J$37*'Wastewater Criteria'!$C$11)*(1+'Wastewater Criteria'!$C$23)+('Project Tankers'!F10*'Wastewater Criteria'!$C$9))*(1+'Wastewater Criteria'!$C$36)</f>
        <v>20.04829574722725</v>
      </c>
      <c r="G10" s="34">
        <f>(('Project W Pop Connected'!H10*'Water Demand Criteria'!K$17/1000)*('Wastewater Criteria'!$C$8+'Wastewater Criteria'!$C$10*'Water Demand Criteria'!K$56+'Water Demand Criteria'!K$37*'Wastewater Criteria'!$C$11)*(1+'Wastewater Criteria'!$C$23)+('Project Tankers'!G10*'Wastewater Criteria'!$C$9))*(1+'Wastewater Criteria'!$C$36)</f>
        <v>21.329341054418194</v>
      </c>
      <c r="H10" s="34">
        <f>(('Project W Pop Connected'!I10*'Water Demand Criteria'!L$17/1000)*('Wastewater Criteria'!$C$8+'Wastewater Criteria'!$C$10*'Water Demand Criteria'!L$56+'Water Demand Criteria'!L$37*'Wastewater Criteria'!$C$11)*(1+'Wastewater Criteria'!$C$23)+('Project Tankers'!H10*'Wastewater Criteria'!$C$9))*(1+'Wastewater Criteria'!$C$36)</f>
        <v>22.661458068306221</v>
      </c>
      <c r="I10" s="34">
        <f>(('Project W Pop Connected'!J10*'Water Demand Criteria'!M$17/1000)*('Wastewater Criteria'!$C$8+'Wastewater Criteria'!$C$10*'Water Demand Criteria'!M$56+'Water Demand Criteria'!M$37*'Wastewater Criteria'!$C$11)*(1+'Wastewater Criteria'!$C$23)+('Project Tankers'!I10*'Wastewater Criteria'!$C$9))*(1+'Wastewater Criteria'!$C$36)</f>
        <v>23.954172593546037</v>
      </c>
      <c r="J10" s="34">
        <f>(('Project W Pop Connected'!K10*'Water Demand Criteria'!N$17/1000)*('Wastewater Criteria'!$C$8+'Wastewater Criteria'!$C$10*'Water Demand Criteria'!N$56+'Water Demand Criteria'!N$37*'Wastewater Criteria'!$C$11)*(1+'Wastewater Criteria'!$C$23)+('Project Tankers'!J10*'Wastewater Criteria'!$C$9))*(1+'Wastewater Criteria'!$C$36)</f>
        <v>25.384541225363211</v>
      </c>
      <c r="K10" s="34">
        <f>(('Project W Pop Connected'!L10*'Water Demand Criteria'!O$17/1000)*('Wastewater Criteria'!$C$8+'Wastewater Criteria'!$C$10*'Water Demand Criteria'!O$56+'Water Demand Criteria'!O$37*'Wastewater Criteria'!$C$11)*(1+'Wastewater Criteria'!$C$23)+('Project Tankers'!K10*'Wastewater Criteria'!$C$9))*(1+'Wastewater Criteria'!$C$36)</f>
        <v>26.87064642763001</v>
      </c>
      <c r="L10" s="34">
        <f>(('Project W Pop Connected'!M10*'Water Demand Criteria'!P$17/1000)*('Wastewater Criteria'!$C$8+'Wastewater Criteria'!$C$10*'Water Demand Criteria'!P$56+'Water Demand Criteria'!P$37*'Wastewater Criteria'!$C$11)*(1+'Wastewater Criteria'!$C$23)+('Project Tankers'!L10*'Wastewater Criteria'!$C$9))*(1+'Wastewater Criteria'!$C$36)</f>
        <v>28.094170383192417</v>
      </c>
      <c r="M10" s="34">
        <f>(('Project W Pop Connected'!N10*'Water Demand Criteria'!Q$17/1000)*('Wastewater Criteria'!$C$8+'Wastewater Criteria'!$C$10*'Water Demand Criteria'!Q$56+'Water Demand Criteria'!Q$37*'Wastewater Criteria'!$C$11)*(1+'Wastewater Criteria'!$C$23)+('Project Tankers'!M10*'Wastewater Criteria'!$C$9))*(1+'Wastewater Criteria'!$C$36)</f>
        <v>30.022974288640199</v>
      </c>
      <c r="N10" s="34">
        <f>(('Project W Pop Connected'!O10*'Water Demand Criteria'!R$17/1000)*('Wastewater Criteria'!$C$8+'Wastewater Criteria'!$C$10*'Water Demand Criteria'!R$56+'Water Demand Criteria'!R$37*'Wastewater Criteria'!$C$11)*(1+'Wastewater Criteria'!$C$23)+('Project Tankers'!N10*'Wastewater Criteria'!$C$9))*(1+'Wastewater Criteria'!$C$36)</f>
        <v>31.560190437652842</v>
      </c>
      <c r="O10" s="34">
        <f>(('Project W Pop Connected'!P10*'Water Demand Criteria'!S$17/1000)*('Wastewater Criteria'!$C$8+'Wastewater Criteria'!$C$10*'Water Demand Criteria'!S$56+'Water Demand Criteria'!S$37*'Wastewater Criteria'!$C$11)*(1+'Wastewater Criteria'!$C$23)+('Project Tankers'!O10*'Wastewater Criteria'!$C$9))*(1+'Wastewater Criteria'!$C$36)</f>
        <v>32.306454019103001</v>
      </c>
      <c r="P10" s="34">
        <f>(('Project W Pop Connected'!Q10*'Water Demand Criteria'!T$17/1000)*('Wastewater Criteria'!$C$8+'Wastewater Criteria'!$C$10*'Water Demand Criteria'!T$56+'Water Demand Criteria'!T$37*'Wastewater Criteria'!$C$11)*(1+'Wastewater Criteria'!$C$23)+('Project Tankers'!P10*'Wastewater Criteria'!$C$9))*(1+'Wastewater Criteria'!$C$36)</f>
        <v>33.082147039642081</v>
      </c>
      <c r="Q10" s="34">
        <f>(('Project W Pop Connected'!R10*'Water Demand Criteria'!U$17/1000)*('Wastewater Criteria'!$C$8+'Wastewater Criteria'!$C$10*'Water Demand Criteria'!U$56+'Water Demand Criteria'!U$37*'Wastewater Criteria'!$C$11)*(1+'Wastewater Criteria'!$C$23)+('Project Tankers'!Q10*'Wastewater Criteria'!$C$9))*(1+'Wastewater Criteria'!$C$36)</f>
        <v>33.885116125678238</v>
      </c>
      <c r="R10" s="34">
        <f>(('Project W Pop Connected'!S10*'Water Demand Criteria'!V$17/1000)*('Wastewater Criteria'!$C$8+'Wastewater Criteria'!$C$10*'Water Demand Criteria'!V$56+'Water Demand Criteria'!V$37*'Wastewater Criteria'!$C$11)*(1+'Wastewater Criteria'!$C$23)+('Project Tankers'!R10*'Wastewater Criteria'!$C$9))*(1+'Wastewater Criteria'!$C$36)</f>
        <v>34.722539189184346</v>
      </c>
      <c r="S10" s="34">
        <f>(('Project W Pop Connected'!T10*'Water Demand Criteria'!W$17/1000)*('Wastewater Criteria'!$C$8+'Wastewater Criteria'!$C$10*'Water Demand Criteria'!W$56+'Water Demand Criteria'!W$37*'Wastewater Criteria'!$C$11)*(1+'Wastewater Criteria'!$C$23)+('Project Tankers'!S10*'Wastewater Criteria'!$C$9))*(1+'Wastewater Criteria'!$C$36)</f>
        <v>35.419634073620074</v>
      </c>
      <c r="T10" s="34">
        <f>(('Project W Pop Connected'!U10*'Water Demand Criteria'!X$17/1000)*('Wastewater Criteria'!$C$8+'Wastewater Criteria'!$C$10*'Water Demand Criteria'!X$56+'Water Demand Criteria'!X$37*'Wastewater Criteria'!$C$11)*(1+'Wastewater Criteria'!$C$23)+('Project Tankers'!T10*'Wastewater Criteria'!$C$9))*(1+'Wastewater Criteria'!$C$36)</f>
        <v>36.044317257247933</v>
      </c>
      <c r="U10" s="34">
        <f>(('Project W Pop Connected'!V10*'Water Demand Criteria'!Y$17/1000)*('Wastewater Criteria'!$C$8+'Wastewater Criteria'!$C$10*'Water Demand Criteria'!Y$56+'Water Demand Criteria'!Y$37*'Wastewater Criteria'!$C$11)*(1+'Wastewater Criteria'!$C$23)+('Project Tankers'!U10*'Wastewater Criteria'!$C$9))*(1+'Wastewater Criteria'!$C$36)</f>
        <v>36.697519822691987</v>
      </c>
      <c r="V10" s="34">
        <f>(('Project W Pop Connected'!W10*'Water Demand Criteria'!Z$17/1000)*('Wastewater Criteria'!$C$8+'Wastewater Criteria'!$C$10*'Water Demand Criteria'!Z$56+'Water Demand Criteria'!Z$37*'Wastewater Criteria'!$C$11)*(1+'Wastewater Criteria'!$C$23)+('Project Tankers'!V10*'Wastewater Criteria'!$C$9))*(1+'Wastewater Criteria'!$C$36)</f>
        <v>37.371057209511321</v>
      </c>
      <c r="W10" s="34">
        <f>(('Project W Pop Connected'!X10*'Water Demand Criteria'!AA$17/1000)*('Wastewater Criteria'!$C$8+'Wastewater Criteria'!$C$10*'Water Demand Criteria'!AA$56+'Water Demand Criteria'!AA$37*'Wastewater Criteria'!$C$11)*(1+'Wastewater Criteria'!$C$23)+('Project Tankers'!W10*'Wastewater Criteria'!$C$9))*(1+'Wastewater Criteria'!$C$36)</f>
        <v>38.066328827884078</v>
      </c>
      <c r="X10" s="34">
        <f>(('Project W Pop Connected'!Y10*'Water Demand Criteria'!AB$17/1000)*('Wastewater Criteria'!$C$8+'Wastewater Criteria'!$C$10*'Water Demand Criteria'!AB$56+'Water Demand Criteria'!AB$37*'Wastewater Criteria'!$C$11)*(1+'Wastewater Criteria'!$C$23)+('Project Tankers'!X10*'Wastewater Criteria'!$C$9))*(1+'Wastewater Criteria'!$C$36)</f>
        <v>38.784734088008548</v>
      </c>
      <c r="Y10" s="34">
        <f>(('Project W Pop Connected'!Z10*'Water Demand Criteria'!AC$17/1000)*('Wastewater Criteria'!$C$8+'Wastewater Criteria'!$C$10*'Water Demand Criteria'!AC$56+'Water Demand Criteria'!AC$37*'Wastewater Criteria'!$C$11)*(1+'Wastewater Criteria'!$C$23)+('Project Tankers'!Y10*'Wastewater Criteria'!$C$9))*(1+'Wastewater Criteria'!$C$36)</f>
        <v>39.527672401169767</v>
      </c>
      <c r="Z10" s="34">
        <f>(('Project W Pop Connected'!AA10*'Water Demand Criteria'!AD$17/1000)*('Wastewater Criteria'!$C$8+'Wastewater Criteria'!$C$10*'Water Demand Criteria'!AD$56+'Water Demand Criteria'!AD$37*'Wastewater Criteria'!$C$11)*(1+'Wastewater Criteria'!$C$23)+('Project Tankers'!Z10*'Wastewater Criteria'!$C$9))*(1+'Wastewater Criteria'!$C$36)</f>
        <v>40.296543176810538</v>
      </c>
      <c r="AA10" s="34">
        <f>(('Project W Pop Connected'!AB10*'Water Demand Criteria'!AE$17/1000)*('Wastewater Criteria'!$C$8+'Wastewater Criteria'!$C$10*'Water Demand Criteria'!AE$56+'Water Demand Criteria'!AE$37*'Wastewater Criteria'!$C$11)*(1+'Wastewater Criteria'!$C$23)+('Project Tankers'!AA10*'Wastewater Criteria'!$C$9))*(1+'Wastewater Criteria'!$C$36)</f>
        <v>41.092745827410795</v>
      </c>
      <c r="AB10" s="34">
        <f>(('Project W Pop Connected'!AC10*'Water Demand Criteria'!AF$17/1000)*('Wastewater Criteria'!$C$8+'Wastewater Criteria'!$C$10*'Water Demand Criteria'!AF$56+'Water Demand Criteria'!AF$37*'Wastewater Criteria'!$C$11)*(1+'Wastewater Criteria'!$C$23)+('Project Tankers'!AB10*'Wastewater Criteria'!$C$9))*(1+'Wastewater Criteria'!$C$36)</f>
        <v>41.917679761361086</v>
      </c>
      <c r="AC10" s="34">
        <f>(('Project W Pop Connected'!AD10*'Water Demand Criteria'!AG$17/1000)*('Wastewater Criteria'!$C$8+'Wastewater Criteria'!$C$10*'Water Demand Criteria'!AG$56+'Water Demand Criteria'!AG$37*'Wastewater Criteria'!$C$11)*(1+'Wastewater Criteria'!$C$23)+('Project Tankers'!AC10*'Wastewater Criteria'!$C$9))*(1+'Wastewater Criteria'!$C$36)</f>
        <v>42.772744391843553</v>
      </c>
      <c r="AD10" s="44">
        <f>(('Project W Pop Connected'!AE10*'Water Demand Criteria'!AH$17/1000)*('Wastewater Criteria'!$C$8+'Wastewater Criteria'!$C$10*'Water Demand Criteria'!AH$56+'Water Demand Criteria'!AH$37*'Wastewater Criteria'!$C$11)*(1+'Wastewater Criteria'!$C$23)+('Project Tankers'!AD10*'Wastewater Criteria'!$C$9))*(1+'Wastewater Criteria'!$C$36)</f>
        <v>44.170782543985034</v>
      </c>
      <c r="AE10" s="44">
        <f>(('Project W Pop Connected'!AF10*'Water Demand Criteria'!AI$17/1000)*('Wastewater Criteria'!$C$8+'Wastewater Criteria'!$C$10*'Water Demand Criteria'!AI$56+'Water Demand Criteria'!AI$37*'Wastewater Criteria'!$C$11)*(1+'Wastewater Criteria'!$C$23)+('Project Tankers'!AE10*'Wastewater Criteria'!$C$9))*(1+'Wastewater Criteria'!$C$36)</f>
        <v>45.623619949516581</v>
      </c>
      <c r="AF10" s="44">
        <f>(('Project W Pop Connected'!AG10*'Water Demand Criteria'!AJ$17/1000)*('Wastewater Criteria'!$C$8+'Wastewater Criteria'!$C$10*'Water Demand Criteria'!AJ$56+'Water Demand Criteria'!AJ$37*'Wastewater Criteria'!$C$11)*(1+'Wastewater Criteria'!$C$23)+('Project Tankers'!AF10*'Wastewater Criteria'!$C$9))*(1+'Wastewater Criteria'!$C$36)</f>
        <v>47.133752655129172</v>
      </c>
      <c r="AG10" s="44">
        <f>(('Project W Pop Connected'!AH10*'Water Demand Criteria'!AK$17/1000)*('Wastewater Criteria'!$C$8+'Wastewater Criteria'!$C$10*'Water Demand Criteria'!AK$56+'Water Demand Criteria'!AK$37*'Wastewater Criteria'!$C$11)*(1+'Wastewater Criteria'!$C$23)+('Project Tankers'!AG10*'Wastewater Criteria'!$C$9))*(1+'Wastewater Criteria'!$C$36)</f>
        <v>48.703799803894022</v>
      </c>
      <c r="AH10" s="44">
        <f>(('Project W Pop Connected'!AI10*'Water Demand Criteria'!AL$17/1000)*('Wastewater Criteria'!$C$8+'Wastewater Criteria'!$C$10*'Water Demand Criteria'!AL$56+'Water Demand Criteria'!AL$37*'Wastewater Criteria'!$C$11)*(1+'Wastewater Criteria'!$C$23)+('Project Tankers'!AH10*'Wastewater Criteria'!$C$9))*(1+'Wastewater Criteria'!$C$36)</f>
        <v>50.336510251615003</v>
      </c>
      <c r="AI10" s="44">
        <f>(('Project W Pop Connected'!AJ10*'Water Demand Criteria'!AM$17/1000)*('Wastewater Criteria'!$C$8+'Wastewater Criteria'!$C$10*'Water Demand Criteria'!AM$56+'Water Demand Criteria'!AM$37*'Wastewater Criteria'!$C$11)*(1+'Wastewater Criteria'!$C$23)+('Project Tankers'!AI10*'Wastewater Criteria'!$C$9))*(1+'Wastewater Criteria'!$C$36)</f>
        <v>52.034769561365529</v>
      </c>
      <c r="AJ10" s="44">
        <f>(('Project W Pop Connected'!AK10*'Water Demand Criteria'!AN$17/1000)*('Wastewater Criteria'!$C$8+'Wastewater Criteria'!$C$10*'Water Demand Criteria'!AN$56+'Water Demand Criteria'!AN$37*'Wastewater Criteria'!$C$11)*(1+'Wastewater Criteria'!$C$23)+('Project Tankers'!AJ10*'Wastewater Criteria'!$C$9))*(1+'Wastewater Criteria'!$C$36)</f>
        <v>53.801607399180305</v>
      </c>
      <c r="AK10" s="44">
        <f>(('Project W Pop Connected'!AL10*'Water Demand Criteria'!AO$17/1000)*('Wastewater Criteria'!$C$8+'Wastewater Criteria'!$C$10*'Water Demand Criteria'!AO$56+'Water Demand Criteria'!AO$37*'Wastewater Criteria'!$C$11)*(1+'Wastewater Criteria'!$C$23)+('Project Tankers'!AK10*'Wastewater Criteria'!$C$9))*(1+'Wastewater Criteria'!$C$36)</f>
        <v>55.630469201218339</v>
      </c>
      <c r="AL10" s="44">
        <f>(('Project W Pop Connected'!AM10*'Water Demand Criteria'!AP$17/1000)*('Wastewater Criteria'!$C$8+'Wastewater Criteria'!$C$10*'Water Demand Criteria'!AP$56+'Water Demand Criteria'!AP$37*'Wastewater Criteria'!$C$11)*(1+'Wastewater Criteria'!$C$23)+('Project Tankers'!AL10*'Wastewater Criteria'!$C$9))*(1+'Wastewater Criteria'!$C$36)</f>
        <v>57.517666523152727</v>
      </c>
      <c r="AM10" s="44">
        <f>(('Project W Pop Connected'!AN10*'Water Demand Criteria'!AQ$17/1000)*('Wastewater Criteria'!$C$8+'Wastewater Criteria'!$C$10*'Water Demand Criteria'!AQ$56+'Water Demand Criteria'!AQ$37*'Wastewater Criteria'!$C$11)*(1+'Wastewater Criteria'!$C$23)+('Project Tankers'!AM10*'Wastewater Criteria'!$C$9))*(1+'Wastewater Criteria'!$C$36)</f>
        <v>59.464946045540557</v>
      </c>
      <c r="AN10" s="44">
        <f>(('Project W Pop Connected'!AO10*'Water Demand Criteria'!AR$17/1000)*('Wastewater Criteria'!$C$8+'Wastewater Criteria'!$C$10*'Water Demand Criteria'!AR$56+'Water Demand Criteria'!AR$37*'Wastewater Criteria'!$C$11)*(1+'Wastewater Criteria'!$C$23)+('Project Tankers'!AN10*'Wastewater Criteria'!$C$9))*(1+'Wastewater Criteria'!$C$36)</f>
        <v>61.47410468834611</v>
      </c>
      <c r="AO10" s="44">
        <f>(('Project W Pop Connected'!AP10*'Water Demand Criteria'!AS$17/1000)*('Wastewater Criteria'!$C$8+'Wastewater Criteria'!$C$10*'Water Demand Criteria'!AS$56+'Water Demand Criteria'!AS$37*'Wastewater Criteria'!$C$11)*(1+'Wastewater Criteria'!$C$23)+('Project Tankers'!AO10*'Wastewater Criteria'!$C$9))*(1+'Wastewater Criteria'!$C$36)</f>
        <v>63.546991016344592</v>
      </c>
      <c r="AP10" s="44">
        <f>(('Project W Pop Connected'!AQ10*'Water Demand Criteria'!AT$17/1000)*('Wastewater Criteria'!$C$8+'Wastewater Criteria'!$C$10*'Water Demand Criteria'!AT$56+'Water Demand Criteria'!AT$37*'Wastewater Criteria'!$C$11)*(1+'Wastewater Criteria'!$C$23)+('Project Tankers'!AP10*'Wastewater Criteria'!$C$9))*(1+'Wastewater Criteria'!$C$36)</f>
        <v>65.685506683046995</v>
      </c>
      <c r="AQ10" s="44">
        <f>(('Project W Pop Connected'!AR10*'Water Demand Criteria'!AU$17/1000)*('Wastewater Criteria'!$C$8+'Wastewater Criteria'!$C$10*'Water Demand Criteria'!AU$56+'Water Demand Criteria'!AU$37*'Wastewater Criteria'!$C$11)*(1+'Wastewater Criteria'!$C$23)+('Project Tankers'!AQ10*'Wastewater Criteria'!$C$9))*(1+'Wastewater Criteria'!$C$36)</f>
        <v>67.891607914186125</v>
      </c>
      <c r="AR10" s="44">
        <f>(('Project W Pop Connected'!AS10*'Water Demand Criteria'!AV$17/1000)*('Wastewater Criteria'!$C$8+'Wastewater Criteria'!$C$10*'Water Demand Criteria'!AV$56+'Water Demand Criteria'!AV$37*'Wastewater Criteria'!$C$11)*(1+'Wastewater Criteria'!$C$23)+('Project Tankers'!AR10*'Wastewater Criteria'!$C$9))*(1+'Wastewater Criteria'!$C$36)</f>
        <v>70.167307031831001</v>
      </c>
      <c r="AS10" s="44">
        <f>(('Project W Pop Connected'!AT10*'Water Demand Criteria'!AW$17/1000)*('Wastewater Criteria'!$C$8+'Wastewater Criteria'!$C$10*'Water Demand Criteria'!AW$56+'Water Demand Criteria'!AW$37*'Wastewater Criteria'!$C$11)*(1+'Wastewater Criteria'!$C$23)+('Project Tankers'!AS10*'Wastewater Criteria'!$C$9))*(1+'Wastewater Criteria'!$C$36)</f>
        <v>72.514674020224732</v>
      </c>
      <c r="AT10" s="44">
        <f>(('Project W Pop Connected'!AU10*'Water Demand Criteria'!AX$17/1000)*('Wastewater Criteria'!$C$8+'Wastewater Criteria'!$C$10*'Water Demand Criteria'!AX$56+'Water Demand Criteria'!AX$37*'Wastewater Criteria'!$C$11)*(1+'Wastewater Criteria'!$C$23)+('Project Tankers'!AT10*'Wastewater Criteria'!$C$9))*(1+'Wastewater Criteria'!$C$36)</f>
        <v>74.935838134471496</v>
      </c>
      <c r="AU10" s="44">
        <f>(('Project W Pop Connected'!AV10*'Water Demand Criteria'!AY$17/1000)*('Wastewater Criteria'!$C$8+'Wastewater Criteria'!$C$10*'Water Demand Criteria'!AY$56+'Water Demand Criteria'!AY$37*'Wastewater Criteria'!$C$11)*(1+'Wastewater Criteria'!$C$23)+('Project Tankers'!AU10*'Wastewater Criteria'!$C$9))*(1+'Wastewater Criteria'!$C$36)</f>
        <v>77.43298955322696</v>
      </c>
      <c r="AV10" s="44">
        <f>(('Project W Pop Connected'!AW10*'Water Demand Criteria'!AZ$17/1000)*('Wastewater Criteria'!$C$8+'Wastewater Criteria'!$C$10*'Water Demand Criteria'!AZ$56+'Water Demand Criteria'!AZ$37*'Wastewater Criteria'!$C$11)*(1+'Wastewater Criteria'!$C$23)+('Project Tankers'!AV10*'Wastewater Criteria'!$C$9))*(1+'Wastewater Criteria'!$C$36)</f>
        <v>80.008381076577663</v>
      </c>
      <c r="AW10" s="44">
        <f>(('Project W Pop Connected'!AX10*'Water Demand Criteria'!BA$17/1000)*('Wastewater Criteria'!$C$8+'Wastewater Criteria'!$C$10*'Water Demand Criteria'!BA$56+'Water Demand Criteria'!BA$37*'Wastewater Criteria'!$C$11)*(1+'Wastewater Criteria'!$C$23)+('Project Tankers'!AW10*'Wastewater Criteria'!$C$9))*(1+'Wastewater Criteria'!$C$36)</f>
        <v>82.664329870327009</v>
      </c>
      <c r="AX10" s="44">
        <f>(('Project W Pop Connected'!AY10*'Water Demand Criteria'!BB$17/1000)*('Wastewater Criteria'!$C$8+'Wastewater Criteria'!$C$10*'Water Demand Criteria'!BB$56+'Water Demand Criteria'!BB$37*'Wastewater Criteria'!$C$11)*(1+'Wastewater Criteria'!$C$23)+('Project Tankers'!AX10*'Wastewater Criteria'!$C$9))*(1+'Wastewater Criteria'!$C$36)</f>
        <v>84.584112151361836</v>
      </c>
      <c r="AY10" s="44">
        <f>(('Project W Pop Connected'!AZ10*'Water Demand Criteria'!BC$17/1000)*('Wastewater Criteria'!$C$8+'Wastewater Criteria'!$C$10*'Water Demand Criteria'!BC$56+'Water Demand Criteria'!BC$37*'Wastewater Criteria'!$C$11)*(1+'Wastewater Criteria'!$C$23)+('Project Tankers'!AY10*'Wastewater Criteria'!$C$9))*(1+'Wastewater Criteria'!$C$36)</f>
        <v>86.549969207141501</v>
      </c>
      <c r="AZ10" s="44">
        <f>(('Project W Pop Connected'!BA10*'Water Demand Criteria'!BD$17/1000)*('Wastewater Criteria'!$C$8+'Wastewater Criteria'!$C$10*'Water Demand Criteria'!BD$56+'Water Demand Criteria'!BD$37*'Wastewater Criteria'!$C$11)*(1+'Wastewater Criteria'!$C$23)+('Project Tankers'!AZ10*'Wastewater Criteria'!$C$9))*(1+'Wastewater Criteria'!$C$36)</f>
        <v>88.563006832259887</v>
      </c>
      <c r="BA10" s="44">
        <f>(('Project W Pop Connected'!BB10*'Water Demand Criteria'!BE$17/1000)*('Wastewater Criteria'!$C$8+'Wastewater Criteria'!$C$10*'Water Demand Criteria'!BE$56+'Water Demand Criteria'!BE$37*'Wastewater Criteria'!$C$11)*(1+'Wastewater Criteria'!$C$23)+('Project Tankers'!BA10*'Wastewater Criteria'!$C$9))*(1+'Wastewater Criteria'!$C$36)</f>
        <v>90.624357360381111</v>
      </c>
      <c r="BB10" s="44">
        <f>(('Project W Pop Connected'!BC10*'Water Demand Criteria'!BF$17/1000)*('Wastewater Criteria'!$C$8+'Wastewater Criteria'!$C$10*'Water Demand Criteria'!BF$56+'Water Demand Criteria'!BF$37*'Wastewater Criteria'!$C$11)*(1+'Wastewater Criteria'!$C$23)+('Project Tankers'!BB10*'Wastewater Criteria'!$C$9))*(1+'Wastewater Criteria'!$C$36)</f>
        <v>92.735180301177238</v>
      </c>
      <c r="BC10" s="44">
        <f>(('Project W Pop Connected'!BD10*'Water Demand Criteria'!BG$17/1000)*('Wastewater Criteria'!$C$8+'Wastewater Criteria'!$C$10*'Water Demand Criteria'!BG$56+'Water Demand Criteria'!BG$37*'Wastewater Criteria'!$C$11)*(1+'Wastewater Criteria'!$C$23)+('Project Tankers'!BC10*'Wastewater Criteria'!$C$9))*(1+'Wastewater Criteria'!$C$36)</f>
        <v>94.896662992552478</v>
      </c>
      <c r="BD10" s="44">
        <f>(('Project W Pop Connected'!BE10*'Water Demand Criteria'!BH$17/1000)*('Wastewater Criteria'!$C$8+'Wastewater Criteria'!$C$10*'Water Demand Criteria'!BH$56+'Water Demand Criteria'!BH$37*'Wastewater Criteria'!$C$11)*(1+'Wastewater Criteria'!$C$23)+('Project Tankers'!BD10*'Wastewater Criteria'!$C$9))*(1+'Wastewater Criteria'!$C$36)</f>
        <v>97.11002126852074</v>
      </c>
      <c r="BE10" s="44">
        <f>(('Project W Pop Connected'!BF10*'Water Demand Criteria'!BI$17/1000)*('Wastewater Criteria'!$C$8+'Wastewater Criteria'!$C$10*'Water Demand Criteria'!BI$56+'Water Demand Criteria'!BI$37*'Wastewater Criteria'!$C$11)*(1+'Wastewater Criteria'!$C$23)+('Project Tankers'!BE10*'Wastewater Criteria'!$C$9))*(1+'Wastewater Criteria'!$C$36)</f>
        <v>99.37650014311221</v>
      </c>
      <c r="BF10" s="44">
        <f>(('Project W Pop Connected'!BG10*'Water Demand Criteria'!BJ$17/1000)*('Wastewater Criteria'!$C$8+'Wastewater Criteria'!$C$10*'Water Demand Criteria'!BJ$56+'Water Demand Criteria'!BJ$37*'Wastewater Criteria'!$C$11)*(1+'Wastewater Criteria'!$C$23)+('Project Tankers'!BF10*'Wastewater Criteria'!$C$9))*(1+'Wastewater Criteria'!$C$36)</f>
        <v>101.69737451069386</v>
      </c>
      <c r="BG10" s="44">
        <f>(('Project W Pop Connected'!BH10*'Water Demand Criteria'!BK$17/1000)*('Wastewater Criteria'!$C$8+'Wastewater Criteria'!$C$10*'Water Demand Criteria'!BK$56+'Water Demand Criteria'!BK$37*'Wastewater Criteria'!$C$11)*(1+'Wastewater Criteria'!$C$23)+('Project Tankers'!BG10*'Wastewater Criteria'!$C$9))*(1+'Wastewater Criteria'!$C$36)</f>
        <v>104.07394986309752</v>
      </c>
      <c r="BH10" s="44">
        <f>(('Project W Pop Connected'!BI10*'Water Demand Criteria'!BL$17/1000)*('Wastewater Criteria'!$C$8+'Wastewater Criteria'!$C$10*'Water Demand Criteria'!BL$56+'Water Demand Criteria'!BL$37*'Wastewater Criteria'!$C$11)*(1+'Wastewater Criteria'!$C$23)+('Project Tankers'!BH10*'Wastewater Criteria'!$C$9))*(1+'Wastewater Criteria'!$C$36)</f>
        <v>106.50756302395884</v>
      </c>
      <c r="BI10" s="44">
        <f>(('Project W Pop Connected'!BJ10*'Water Demand Criteria'!BM$17/1000)*('Wastewater Criteria'!$C$8+'Wastewater Criteria'!$C$10*'Water Demand Criteria'!BM$56+'Water Demand Criteria'!BM$37*'Wastewater Criteria'!$C$11)*(1+'Wastewater Criteria'!$C$23)+('Project Tankers'!BI10*'Wastewater Criteria'!$C$9))*(1+'Wastewater Criteria'!$C$36)</f>
        <v>108.99958290068085</v>
      </c>
      <c r="BJ10" s="44">
        <f>(('Project W Pop Connected'!BK10*'Water Demand Criteria'!BN$17/1000)*('Wastewater Criteria'!$C$8+'Wastewater Criteria'!$C$10*'Water Demand Criteria'!BN$56+'Water Demand Criteria'!BN$37*'Wastewater Criteria'!$C$11)*(1+'Wastewater Criteria'!$C$23)+('Project Tankers'!BJ10*'Wastewater Criteria'!$C$9))*(1+'Wastewater Criteria'!$C$36)</f>
        <v>111.55141125444416</v>
      </c>
      <c r="BK10" s="44">
        <f>(('Project W Pop Connected'!BL10*'Water Demand Criteria'!BO$17/1000)*('Wastewater Criteria'!$C$8+'Wastewater Criteria'!$C$10*'Water Demand Criteria'!BO$56+'Water Demand Criteria'!BO$37*'Wastewater Criteria'!$C$11)*(1+'Wastewater Criteria'!$C$23)+('Project Tankers'!BK10*'Wastewater Criteria'!$C$9))*(1+'Wastewater Criteria'!$C$36)</f>
        <v>114.16448348869781</v>
      </c>
      <c r="BL10" s="44">
        <f>(('Project W Pop Connected'!BM10*'Water Demand Criteria'!BP$17/1000)*('Wastewater Criteria'!$C$8+'Wastewater Criteria'!$C$10*'Water Demand Criteria'!BP$56+'Water Demand Criteria'!BP$37*'Wastewater Criteria'!$C$11)*(1+'Wastewater Criteria'!$C$23)+('Project Tankers'!BL10*'Wastewater Criteria'!$C$9))*(1+'Wastewater Criteria'!$C$36)</f>
        <v>116.84026945657354</v>
      </c>
      <c r="BM10" s="44">
        <f>(('Project W Pop Connected'!BN10*'Water Demand Criteria'!BQ$17/1000)*('Wastewater Criteria'!$C$8+'Wastewater Criteria'!$C$10*'Water Demand Criteria'!BQ$56+'Water Demand Criteria'!BQ$37*'Wastewater Criteria'!$C$11)*(1+'Wastewater Criteria'!$C$23)+('Project Tankers'!BM10*'Wastewater Criteria'!$C$9))*(1+'Wastewater Criteria'!$C$36)</f>
        <v>119.58027428767824</v>
      </c>
      <c r="BN10" s="44">
        <f>(('Project W Pop Connected'!BO10*'Water Demand Criteria'!BR$17/1000)*('Wastewater Criteria'!$C$8+'Wastewater Criteria'!$C$10*'Water Demand Criteria'!BR$56+'Water Demand Criteria'!BR$37*'Wastewater Criteria'!$C$11)*(1+'Wastewater Criteria'!$C$23)+('Project Tankers'!BN10*'Wastewater Criteria'!$C$9))*(1+'Wastewater Criteria'!$C$36)</f>
        <v>122.38603923472954</v>
      </c>
      <c r="BO10" s="44">
        <f>(('Project W Pop Connected'!BP10*'Water Demand Criteria'!BS$17/1000)*('Wastewater Criteria'!$C$8+'Wastewater Criteria'!$C$10*'Water Demand Criteria'!BS$56+'Water Demand Criteria'!BS$37*'Wastewater Criteria'!$C$11)*(1+'Wastewater Criteria'!$C$23)+('Project Tankers'!BO10*'Wastewater Criteria'!$C$9))*(1+'Wastewater Criteria'!$C$36)</f>
        <v>125.25914254051004</v>
      </c>
      <c r="BP10" s="44">
        <f>(('Project W Pop Connected'!BQ10*'Water Demand Criteria'!BT$17/1000)*('Wastewater Criteria'!$C$8+'Wastewater Criteria'!$C$10*'Water Demand Criteria'!BT$56+'Water Demand Criteria'!BT$37*'Wastewater Criteria'!$C$11)*(1+'Wastewater Criteria'!$C$23)+('Project Tankers'!BP10*'Wastewater Criteria'!$C$9))*(1+'Wastewater Criteria'!$C$36)</f>
        <v>128.20120032562926</v>
      </c>
      <c r="BQ10" s="44">
        <f>(('Project W Pop Connected'!BR10*'Water Demand Criteria'!BU$17/1000)*('Wastewater Criteria'!$C$8+'Wastewater Criteria'!$C$10*'Water Demand Criteria'!BU$56+'Water Demand Criteria'!BU$37*'Wastewater Criteria'!$C$11)*(1+'Wastewater Criteria'!$C$23)+('Project Tankers'!BQ10*'Wastewater Criteria'!$C$9))*(1+'Wastewater Criteria'!$C$36)</f>
        <v>131.21386749759134</v>
      </c>
      <c r="BR10" s="44">
        <f>(('Project W Pop Connected'!BS10*'Water Demand Criteria'!BV$17/1000)*('Wastewater Criteria'!$C$8+'Wastewater Criteria'!$C$10*'Water Demand Criteria'!BV$56+'Water Demand Criteria'!BV$37*'Wastewater Criteria'!$C$11)*(1+'Wastewater Criteria'!$C$23)+('Project Tankers'!BR10*'Wastewater Criteria'!$C$9))*(1+'Wastewater Criteria'!$C$36)</f>
        <v>134.29883868168054</v>
      </c>
      <c r="BS10" s="44">
        <f>(('Project W Pop Connected'!BT10*'Water Demand Criteria'!BW$17/1000)*('Wastewater Criteria'!$C$8+'Wastewater Criteria'!$C$10*'Water Demand Criteria'!BW$56+'Water Demand Criteria'!BW$37*'Wastewater Criteria'!$C$11)*(1+'Wastewater Criteria'!$C$23)+('Project Tankers'!BS10*'Wastewater Criteria'!$C$9))*(1+'Wastewater Criteria'!$C$36)</f>
        <v>137.45784917418786</v>
      </c>
      <c r="BT10" s="44">
        <f>(('Project W Pop Connected'!BU10*'Water Demand Criteria'!BX$17/1000)*('Wastewater Criteria'!$C$8+'Wastewater Criteria'!$C$10*'Water Demand Criteria'!BX$56+'Water Demand Criteria'!BX$37*'Wastewater Criteria'!$C$11)*(1+'Wastewater Criteria'!$C$23)+('Project Tankers'!BT10*'Wastewater Criteria'!$C$9))*(1+'Wastewater Criteria'!$C$36)</f>
        <v>140.69267591851533</v>
      </c>
      <c r="BU10" s="44">
        <f>(('Project W Pop Connected'!BV10*'Water Demand Criteria'!BY$17/1000)*('Wastewater Criteria'!$C$8+'Wastewater Criteria'!$C$10*'Water Demand Criteria'!BY$56+'Water Demand Criteria'!BY$37*'Wastewater Criteria'!$C$11)*(1+'Wastewater Criteria'!$C$23)+('Project Tankers'!BU10*'Wastewater Criteria'!$C$9))*(1+'Wastewater Criteria'!$C$36)</f>
        <v>144.00513850470671</v>
      </c>
      <c r="BV10" s="44">
        <f>(('Project W Pop Connected'!BW10*'Water Demand Criteria'!BZ$17/1000)*('Wastewater Criteria'!$C$8+'Wastewater Criteria'!$C$10*'Water Demand Criteria'!BZ$56+'Water Demand Criteria'!BZ$37*'Wastewater Criteria'!$C$11)*(1+'Wastewater Criteria'!$C$23)+('Project Tankers'!BV10*'Wastewater Criteria'!$C$9))*(1+'Wastewater Criteria'!$C$36)</f>
        <v>147.39710019296663</v>
      </c>
      <c r="BW10" s="44">
        <f>(('Project W Pop Connected'!BX10*'Water Demand Criteria'!CA$17/1000)*('Wastewater Criteria'!$C$8+'Wastewater Criteria'!$C$10*'Water Demand Criteria'!CA$56+'Water Demand Criteria'!CA$37*'Wastewater Criteria'!$C$11)*(1+'Wastewater Criteria'!$C$23)+('Project Tankers'!BW10*'Wastewater Criteria'!$C$9))*(1+'Wastewater Criteria'!$C$36)</f>
        <v>150.87046896174482</v>
      </c>
      <c r="BX10" s="44">
        <f>(('Project W Pop Connected'!BY10*'Water Demand Criteria'!CB$17/1000)*('Wastewater Criteria'!$C$8+'Wastewater Criteria'!$C$10*'Water Demand Criteria'!CB$56+'Water Demand Criteria'!CB$37*'Wastewater Criteria'!$C$11)*(1+'Wastewater Criteria'!$C$23)+('Project Tankers'!BX10*'Wastewater Criteria'!$C$9))*(1+'Wastewater Criteria'!$C$36)</f>
        <v>154.42719858097368</v>
      </c>
      <c r="BY10" s="44">
        <f>(('Project W Pop Connected'!BZ10*'Water Demand Criteria'!CC$17/1000)*('Wastewater Criteria'!$C$8+'Wastewater Criteria'!$C$10*'Water Demand Criteria'!CC$56+'Water Demand Criteria'!CC$37*'Wastewater Criteria'!$C$11)*(1+'Wastewater Criteria'!$C$23)+('Project Tankers'!BY10*'Wastewater Criteria'!$C$9))*(1+'Wastewater Criteria'!$C$36)</f>
        <v>158.06928971106402</v>
      </c>
      <c r="BZ10" s="44">
        <f>(('Project W Pop Connected'!CA10*'Water Demand Criteria'!CD$17/1000)*('Wastewater Criteria'!$C$8+'Wastewater Criteria'!$C$10*'Water Demand Criteria'!CD$56+'Water Demand Criteria'!CD$37*'Wastewater Criteria'!$C$11)*(1+'Wastewater Criteria'!$C$23)+('Project Tankers'!BZ10*'Wastewater Criteria'!$C$9))*(1+'Wastewater Criteria'!$C$36)</f>
        <v>161.79879102827653</v>
      </c>
      <c r="CA10" s="44">
        <f>(('Project W Pop Connected'!CB10*'Water Demand Criteria'!CE$17/1000)*('Wastewater Criteria'!$C$8+'Wastewater Criteria'!$C$10*'Water Demand Criteria'!CE$56+'Water Demand Criteria'!CE$37*'Wastewater Criteria'!$C$11)*(1+'Wastewater Criteria'!$C$23)+('Project Tankers'!CA10*'Wastewater Criteria'!$C$9))*(1+'Wastewater Criteria'!$C$36)</f>
        <v>165.61780037710216</v>
      </c>
    </row>
    <row r="11" spans="1:79" x14ac:dyDescent="0.25">
      <c r="A11" s="33">
        <v>10</v>
      </c>
      <c r="B11" s="36" t="s">
        <v>56</v>
      </c>
      <c r="C11" s="34">
        <f>(('Project W Pop Connected'!D11*'Water Demand Criteria'!G$17/1000)*('Wastewater Criteria'!$C$8+'Wastewater Criteria'!$C$10*'Water Demand Criteria'!G$56+'Water Demand Criteria'!G$37*'Wastewater Criteria'!$C$11)*(1+'Wastewater Criteria'!$C$23)+('Project Tankers'!C11*'Wastewater Criteria'!$C$9))*(1+'Wastewater Criteria'!$C$36)</f>
        <v>25.908046657149498</v>
      </c>
      <c r="D11" s="34">
        <f>(('Project W Pop Connected'!E11*'Water Demand Criteria'!H$17/1000)*('Wastewater Criteria'!$C$8+'Wastewater Criteria'!$C$10*'Water Demand Criteria'!H$56+'Water Demand Criteria'!H$37*'Wastewater Criteria'!$C$11)*(1+'Wastewater Criteria'!$C$23)+('Project Tankers'!D11*'Wastewater Criteria'!$C$9))*(1+'Wastewater Criteria'!$C$36)</f>
        <v>27.606751311785853</v>
      </c>
      <c r="E11" s="34">
        <f>(('Project W Pop Connected'!F11*'Water Demand Criteria'!I$17/1000)*('Wastewater Criteria'!$C$8+'Wastewater Criteria'!$C$10*'Water Demand Criteria'!I$56+'Water Demand Criteria'!I$37*'Wastewater Criteria'!$C$11)*(1+'Wastewater Criteria'!$C$23)+('Project Tankers'!E11*'Wastewater Criteria'!$C$9))*(1+'Wastewater Criteria'!$C$36)</f>
        <v>29.459536098436228</v>
      </c>
      <c r="F11" s="34">
        <f>(('Project W Pop Connected'!G11*'Water Demand Criteria'!J$17/1000)*('Wastewater Criteria'!$C$8+'Wastewater Criteria'!$C$10*'Water Demand Criteria'!J$56+'Water Demand Criteria'!J$37*'Wastewater Criteria'!$C$11)*(1+'Wastewater Criteria'!$C$23)+('Project Tankers'!F11*'Wastewater Criteria'!$C$9))*(1+'Wastewater Criteria'!$C$36)</f>
        <v>31.387085964921354</v>
      </c>
      <c r="G11" s="34">
        <f>(('Project W Pop Connected'!H11*'Water Demand Criteria'!K$17/1000)*('Wastewater Criteria'!$C$8+'Wastewater Criteria'!$C$10*'Water Demand Criteria'!K$56+'Water Demand Criteria'!K$37*'Wastewater Criteria'!$C$11)*(1+'Wastewater Criteria'!$C$23)+('Project Tankers'!G11*'Wastewater Criteria'!$C$9))*(1+'Wastewater Criteria'!$C$36)</f>
        <v>33.392656896671113</v>
      </c>
      <c r="H11" s="34">
        <f>(('Project W Pop Connected'!I11*'Water Demand Criteria'!L$17/1000)*('Wastewater Criteria'!$C$8+'Wastewater Criteria'!$C$10*'Water Demand Criteria'!L$56+'Water Demand Criteria'!L$37*'Wastewater Criteria'!$C$11)*(1+'Wastewater Criteria'!$C$23)+('Project Tankers'!H11*'Wastewater Criteria'!$C$9))*(1+'Wastewater Criteria'!$C$36)</f>
        <v>35.478184352840067</v>
      </c>
      <c r="I11" s="34">
        <f>(('Project W Pop Connected'!J11*'Water Demand Criteria'!M$17/1000)*('Wastewater Criteria'!$C$8+'Wastewater Criteria'!$C$10*'Water Demand Criteria'!M$56+'Water Demand Criteria'!M$37*'Wastewater Criteria'!$C$11)*(1+'Wastewater Criteria'!$C$23)+('Project Tankers'!I11*'Wastewater Criteria'!$C$9))*(1+'Wastewater Criteria'!$C$36)</f>
        <v>37.502024306289293</v>
      </c>
      <c r="J11" s="34">
        <f>(('Project W Pop Connected'!K11*'Water Demand Criteria'!N$17/1000)*('Wastewater Criteria'!$C$8+'Wastewater Criteria'!$C$10*'Water Demand Criteria'!N$56+'Water Demand Criteria'!N$37*'Wastewater Criteria'!$C$11)*(1+'Wastewater Criteria'!$C$23)+('Project Tankers'!J11*'Wastewater Criteria'!$C$9))*(1+'Wastewater Criteria'!$C$36)</f>
        <v>39.741371918396503</v>
      </c>
      <c r="K11" s="34">
        <f>(('Project W Pop Connected'!L11*'Water Demand Criteria'!O$17/1000)*('Wastewater Criteria'!$C$8+'Wastewater Criteria'!$C$10*'Water Demand Criteria'!O$56+'Water Demand Criteria'!O$37*'Wastewater Criteria'!$C$11)*(1+'Wastewater Criteria'!$C$23)+('Project Tankers'!K11*'Wastewater Criteria'!$C$9))*(1+'Wastewater Criteria'!$C$36)</f>
        <v>42.067979243256822</v>
      </c>
      <c r="L11" s="34">
        <f>(('Project W Pop Connected'!M11*'Water Demand Criteria'!P$17/1000)*('Wastewater Criteria'!$C$8+'Wastewater Criteria'!$C$10*'Water Demand Criteria'!P$56+'Water Demand Criteria'!P$37*'Wastewater Criteria'!$C$11)*(1+'Wastewater Criteria'!$C$23)+('Project Tankers'!L11*'Wastewater Criteria'!$C$9))*(1+'Wastewater Criteria'!$C$36)</f>
        <v>43.983496255653712</v>
      </c>
      <c r="M11" s="34">
        <f>(('Project W Pop Connected'!N11*'Water Demand Criteria'!Q$17/1000)*('Wastewater Criteria'!$C$8+'Wastewater Criteria'!$C$10*'Water Demand Criteria'!Q$56+'Water Demand Criteria'!Q$37*'Wastewater Criteria'!$C$11)*(1+'Wastewater Criteria'!$C$23)+('Project Tankers'!M11*'Wastewater Criteria'!$C$9))*(1+'Wastewater Criteria'!$C$36)</f>
        <v>47.003181058444909</v>
      </c>
      <c r="N11" s="34">
        <f>(('Project W Pop Connected'!O11*'Water Demand Criteria'!R$17/1000)*('Wastewater Criteria'!$C$8+'Wastewater Criteria'!$C$10*'Water Demand Criteria'!R$56+'Water Demand Criteria'!R$37*'Wastewater Criteria'!$C$11)*(1+'Wastewater Criteria'!$C$23)+('Project Tankers'!N11*'Wastewater Criteria'!$C$9))*(1+'Wastewater Criteria'!$C$36)</f>
        <v>49.409806340915509</v>
      </c>
      <c r="O11" s="34">
        <f>(('Project W Pop Connected'!P11*'Water Demand Criteria'!S$17/1000)*('Wastewater Criteria'!$C$8+'Wastewater Criteria'!$C$10*'Water Demand Criteria'!S$56+'Water Demand Criteria'!S$37*'Wastewater Criteria'!$C$11)*(1+'Wastewater Criteria'!$C$23)+('Project Tankers'!O11*'Wastewater Criteria'!$C$9))*(1+'Wastewater Criteria'!$C$36)</f>
        <v>50.578137029907175</v>
      </c>
      <c r="P11" s="34">
        <f>(('Project W Pop Connected'!Q11*'Water Demand Criteria'!T$17/1000)*('Wastewater Criteria'!$C$8+'Wastewater Criteria'!$C$10*'Water Demand Criteria'!T$56+'Water Demand Criteria'!T$37*'Wastewater Criteria'!$C$11)*(1+'Wastewater Criteria'!$C$23)+('Project Tankers'!P11*'Wastewater Criteria'!$C$9))*(1+'Wastewater Criteria'!$C$36)</f>
        <v>51.792541676816725</v>
      </c>
      <c r="Q11" s="34">
        <f>(('Project W Pop Connected'!R11*'Water Demand Criteria'!U$17/1000)*('Wastewater Criteria'!$C$8+'Wastewater Criteria'!$C$10*'Water Demand Criteria'!U$56+'Water Demand Criteria'!U$37*'Wastewater Criteria'!$C$11)*(1+'Wastewater Criteria'!$C$23)+('Project Tankers'!Q11*'Wastewater Criteria'!$C$9))*(1+'Wastewater Criteria'!$C$36)</f>
        <v>53.049649016430678</v>
      </c>
      <c r="R11" s="34">
        <f>(('Project W Pop Connected'!S11*'Water Demand Criteria'!V$17/1000)*('Wastewater Criteria'!$C$8+'Wastewater Criteria'!$C$10*'Water Demand Criteria'!V$56+'Water Demand Criteria'!V$37*'Wastewater Criteria'!$C$11)*(1+'Wastewater Criteria'!$C$23)+('Project Tankers'!R11*'Wastewater Criteria'!$C$9))*(1+'Wastewater Criteria'!$C$36)</f>
        <v>54.360696599460752</v>
      </c>
      <c r="S11" s="34">
        <f>(('Project W Pop Connected'!T11*'Water Demand Criteria'!W$17/1000)*('Wastewater Criteria'!$C$8+'Wastewater Criteria'!$C$10*'Water Demand Criteria'!W$56+'Water Demand Criteria'!W$37*'Wastewater Criteria'!$C$11)*(1+'Wastewater Criteria'!$C$23)+('Project Tankers'!S11*'Wastewater Criteria'!$C$9))*(1+'Wastewater Criteria'!$C$36)</f>
        <v>55.452050066077319</v>
      </c>
      <c r="T11" s="34">
        <f>(('Project W Pop Connected'!U11*'Water Demand Criteria'!X$17/1000)*('Wastewater Criteria'!$C$8+'Wastewater Criteria'!$C$10*'Water Demand Criteria'!X$56+'Water Demand Criteria'!X$37*'Wastewater Criteria'!$C$11)*(1+'Wastewater Criteria'!$C$23)+('Project Tankers'!T11*'Wastewater Criteria'!$C$9))*(1+'Wastewater Criteria'!$C$36)</f>
        <v>56.430037673232434</v>
      </c>
      <c r="U11" s="34">
        <f>(('Project W Pop Connected'!V11*'Water Demand Criteria'!Y$17/1000)*('Wastewater Criteria'!$C$8+'Wastewater Criteria'!$C$10*'Water Demand Criteria'!Y$56+'Water Demand Criteria'!Y$37*'Wastewater Criteria'!$C$11)*(1+'Wastewater Criteria'!$C$23)+('Project Tankers'!U11*'Wastewater Criteria'!$C$9))*(1+'Wastewater Criteria'!$C$36)</f>
        <v>57.452674476509578</v>
      </c>
      <c r="V11" s="34">
        <f>(('Project W Pop Connected'!W11*'Water Demand Criteria'!Z$17/1000)*('Wastewater Criteria'!$C$8+'Wastewater Criteria'!$C$10*'Water Demand Criteria'!Z$56+'Water Demand Criteria'!Z$37*'Wastewater Criteria'!$C$11)*(1+'Wastewater Criteria'!$C$23)+('Project Tankers'!V11*'Wastewater Criteria'!$C$9))*(1+'Wastewater Criteria'!$C$36)</f>
        <v>58.507146942759533</v>
      </c>
      <c r="W11" s="34">
        <f>(('Project W Pop Connected'!X11*'Water Demand Criteria'!AA$17/1000)*('Wastewater Criteria'!$C$8+'Wastewater Criteria'!$C$10*'Water Demand Criteria'!AA$56+'Water Demand Criteria'!AA$37*'Wastewater Criteria'!$C$11)*(1+'Wastewater Criteria'!$C$23)+('Project Tankers'!W11*'Wastewater Criteria'!$C$9))*(1+'Wastewater Criteria'!$C$36)</f>
        <v>59.595645951851317</v>
      </c>
      <c r="X11" s="34">
        <f>(('Project W Pop Connected'!Y11*'Water Demand Criteria'!AB$17/1000)*('Wastewater Criteria'!$C$8+'Wastewater Criteria'!$C$10*'Water Demand Criteria'!AB$56+'Water Demand Criteria'!AB$37*'Wastewater Criteria'!$C$11)*(1+'Wastewater Criteria'!$C$23)+('Project Tankers'!X11*'Wastewater Criteria'!$C$9))*(1+'Wastewater Criteria'!$C$36)</f>
        <v>60.720362383685512</v>
      </c>
      <c r="Y11" s="34">
        <f>(('Project W Pop Connected'!Z11*'Water Demand Criteria'!AC$17/1000)*('Wastewater Criteria'!$C$8+'Wastewater Criteria'!$C$10*'Water Demand Criteria'!AC$56+'Water Demand Criteria'!AC$37*'Wastewater Criteria'!$C$11)*(1+'Wastewater Criteria'!$C$23)+('Project Tankers'!Y11*'Wastewater Criteria'!$C$9))*(1+'Wastewater Criteria'!$C$36)</f>
        <v>61.883487119864142</v>
      </c>
      <c r="Z11" s="34">
        <f>(('Project W Pop Connected'!AA11*'Water Demand Criteria'!AD$17/1000)*('Wastewater Criteria'!$C$8+'Wastewater Criteria'!$C$10*'Water Demand Criteria'!AD$56+'Water Demand Criteria'!AD$37*'Wastewater Criteria'!$C$11)*(1+'Wastewater Criteria'!$C$23)+('Project Tankers'!Z11*'Wastewater Criteria'!$C$9))*(1+'Wastewater Criteria'!$C$36)</f>
        <v>63.087211039105036</v>
      </c>
      <c r="AA11" s="34">
        <f>(('Project W Pop Connected'!AB11*'Water Demand Criteria'!AE$17/1000)*('Wastewater Criteria'!$C$8+'Wastewater Criteria'!$C$10*'Water Demand Criteria'!AE$56+'Water Demand Criteria'!AE$37*'Wastewater Criteria'!$C$11)*(1+'Wastewater Criteria'!$C$23)+('Project Tankers'!AA11*'Wastewater Criteria'!$C$9))*(1+'Wastewater Criteria'!$C$36)</f>
        <v>64.333725024880835</v>
      </c>
      <c r="AB11" s="34">
        <f>(('Project W Pop Connected'!AC11*'Water Demand Criteria'!AF$17/1000)*('Wastewater Criteria'!$C$8+'Wastewater Criteria'!$C$10*'Water Demand Criteria'!AF$56+'Water Demand Criteria'!AF$37*'Wastewater Criteria'!$C$11)*(1+'Wastewater Criteria'!$C$23)+('Project Tankers'!AB11*'Wastewater Criteria'!$C$9))*(1+'Wastewater Criteria'!$C$36)</f>
        <v>65.625219954262036</v>
      </c>
      <c r="AC11" s="34">
        <f>(('Project W Pop Connected'!AD11*'Water Demand Criteria'!AG$17/1000)*('Wastewater Criteria'!$C$8+'Wastewater Criteria'!$C$10*'Water Demand Criteria'!AG$56+'Water Demand Criteria'!AG$37*'Wastewater Criteria'!$C$11)*(1+'Wastewater Criteria'!$C$23)+('Project Tankers'!AC11*'Wastewater Criteria'!$C$9))*(1+'Wastewater Criteria'!$C$36)</f>
        <v>66.963886711820635</v>
      </c>
      <c r="AD11" s="44">
        <f>(('Project W Pop Connected'!AE11*'Water Demand Criteria'!AH$17/1000)*('Wastewater Criteria'!$C$8+'Wastewater Criteria'!$C$10*'Water Demand Criteria'!AH$56+'Water Demand Criteria'!AH$37*'Wastewater Criteria'!$C$11)*(1+'Wastewater Criteria'!$C$23)+('Project Tankers'!AD11*'Wastewater Criteria'!$C$9))*(1+'Wastewater Criteria'!$C$36)</f>
        <v>69.152618572960193</v>
      </c>
      <c r="AE11" s="44">
        <f>(('Project W Pop Connected'!AF11*'Water Demand Criteria'!AI$17/1000)*('Wastewater Criteria'!$C$8+'Wastewater Criteria'!$C$10*'Water Demand Criteria'!AI$56+'Water Demand Criteria'!AI$37*'Wastewater Criteria'!$C$11)*(1+'Wastewater Criteria'!$C$23)+('Project Tankers'!AE11*'Wastewater Criteria'!$C$9))*(1+'Wastewater Criteria'!$C$36)</f>
        <v>71.42714270784974</v>
      </c>
      <c r="AF11" s="44">
        <f>(('Project W Pop Connected'!AG11*'Water Demand Criteria'!AJ$17/1000)*('Wastewater Criteria'!$C$8+'Wastewater Criteria'!$C$10*'Water Demand Criteria'!AJ$56+'Water Demand Criteria'!AJ$37*'Wastewater Criteria'!$C$11)*(1+'Wastewater Criteria'!$C$23)+('Project Tankers'!AF11*'Wastewater Criteria'!$C$9))*(1+'Wastewater Criteria'!$C$36)</f>
        <v>73.791366861718615</v>
      </c>
      <c r="AG11" s="44">
        <f>(('Project W Pop Connected'!AH11*'Water Demand Criteria'!AK$17/1000)*('Wastewater Criteria'!$C$8+'Wastewater Criteria'!$C$10*'Water Demand Criteria'!AK$56+'Water Demand Criteria'!AK$37*'Wastewater Criteria'!$C$11)*(1+'Wastewater Criteria'!$C$23)+('Project Tankers'!AG11*'Wastewater Criteria'!$C$9))*(1+'Wastewater Criteria'!$C$36)</f>
        <v>76.249391496260316</v>
      </c>
      <c r="AH11" s="44">
        <f>(('Project W Pop Connected'!AI11*'Water Demand Criteria'!AL$17/1000)*('Wastewater Criteria'!$C$8+'Wastewater Criteria'!$C$10*'Water Demand Criteria'!AL$56+'Water Demand Criteria'!AL$37*'Wastewater Criteria'!$C$11)*(1+'Wastewater Criteria'!$C$23)+('Project Tankers'!AH11*'Wastewater Criteria'!$C$9))*(1+'Wastewater Criteria'!$C$36)</f>
        <v>78.805520148020207</v>
      </c>
      <c r="AI11" s="44">
        <f>(('Project W Pop Connected'!AJ11*'Water Demand Criteria'!AM$17/1000)*('Wastewater Criteria'!$C$8+'Wastewater Criteria'!$C$10*'Water Demand Criteria'!AM$56+'Water Demand Criteria'!AM$37*'Wastewater Criteria'!$C$11)*(1+'Wastewater Criteria'!$C$23)+('Project Tankers'!AI11*'Wastewater Criteria'!$C$9))*(1+'Wastewater Criteria'!$C$36)</f>
        <v>81.464270378859183</v>
      </c>
      <c r="AJ11" s="44">
        <f>(('Project W Pop Connected'!AK11*'Water Demand Criteria'!AN$17/1000)*('Wastewater Criteria'!$C$8+'Wastewater Criteria'!$C$10*'Water Demand Criteria'!AN$56+'Water Demand Criteria'!AN$37*'Wastewater Criteria'!$C$11)*(1+'Wastewater Criteria'!$C$23)+('Project Tankers'!AJ11*'Wastewater Criteria'!$C$9))*(1+'Wastewater Criteria'!$C$36)</f>
        <v>84.230385354454427</v>
      </c>
      <c r="AK11" s="44">
        <f>(('Project W Pop Connected'!AL11*'Water Demand Criteria'!AO$17/1000)*('Wastewater Criteria'!$C$8+'Wastewater Criteria'!$C$10*'Water Demand Criteria'!AO$56+'Water Demand Criteria'!AO$37*'Wastewater Criteria'!$C$11)*(1+'Wastewater Criteria'!$C$23)+('Project Tankers'!AK11*'Wastewater Criteria'!$C$9))*(1+'Wastewater Criteria'!$C$36)</f>
        <v>87.093603421579516</v>
      </c>
      <c r="AL11" s="44">
        <f>(('Project W Pop Connected'!AM11*'Water Demand Criteria'!AP$17/1000)*('Wastewater Criteria'!$C$8+'Wastewater Criteria'!$C$10*'Water Demand Criteria'!AP$56+'Water Demand Criteria'!AP$37*'Wastewater Criteria'!$C$11)*(1+'Wastewater Criteria'!$C$23)+('Project Tankers'!AL11*'Wastewater Criteria'!$C$9))*(1+'Wastewater Criteria'!$C$36)</f>
        <v>90.048150048542382</v>
      </c>
      <c r="AM11" s="44">
        <f>(('Project W Pop Connected'!AN11*'Water Demand Criteria'!AQ$17/1000)*('Wastewater Criteria'!$C$8+'Wastewater Criteria'!$C$10*'Water Demand Criteria'!AQ$56+'Water Demand Criteria'!AQ$37*'Wastewater Criteria'!$C$11)*(1+'Wastewater Criteria'!$C$23)+('Project Tankers'!AM11*'Wastewater Criteria'!$C$9))*(1+'Wastewater Criteria'!$C$36)</f>
        <v>93.096759792608552</v>
      </c>
      <c r="AN11" s="44">
        <f>(('Project W Pop Connected'!AO11*'Water Demand Criteria'!AR$17/1000)*('Wastewater Criteria'!$C$8+'Wastewater Criteria'!$C$10*'Water Demand Criteria'!AR$56+'Water Demand Criteria'!AR$37*'Wastewater Criteria'!$C$11)*(1+'Wastewater Criteria'!$C$23)+('Project Tankers'!AN11*'Wastewater Criteria'!$C$9))*(1+'Wastewater Criteria'!$C$36)</f>
        <v>96.242245864541857</v>
      </c>
      <c r="AO11" s="44">
        <f>(('Project W Pop Connected'!AP11*'Water Demand Criteria'!AS$17/1000)*('Wastewater Criteria'!$C$8+'Wastewater Criteria'!$C$10*'Water Demand Criteria'!AS$56+'Water Demand Criteria'!AS$37*'Wastewater Criteria'!$C$11)*(1+'Wastewater Criteria'!$C$23)+('Project Tankers'!AO11*'Wastewater Criteria'!$C$9))*(1+'Wastewater Criteria'!$C$36)</f>
        <v>99.487502328867336</v>
      </c>
      <c r="AP11" s="44">
        <f>(('Project W Pop Connected'!AQ11*'Water Demand Criteria'!AT$17/1000)*('Wastewater Criteria'!$C$8+'Wastewater Criteria'!$C$10*'Water Demand Criteria'!AT$56+'Water Demand Criteria'!AT$37*'Wastewater Criteria'!$C$11)*(1+'Wastewater Criteria'!$C$23)+('Project Tankers'!AP11*'Wastewater Criteria'!$C$9))*(1+'Wastewater Criteria'!$C$36)</f>
        <v>102.8355063644424</v>
      </c>
      <c r="AQ11" s="44">
        <f>(('Project W Pop Connected'!AR11*'Water Demand Criteria'!AU$17/1000)*('Wastewater Criteria'!$C$8+'Wastewater Criteria'!$C$10*'Water Demand Criteria'!AU$56+'Water Demand Criteria'!AU$37*'Wastewater Criteria'!$C$11)*(1+'Wastewater Criteria'!$C$23)+('Project Tankers'!AQ11*'Wastewater Criteria'!$C$9))*(1+'Wastewater Criteria'!$C$36)</f>
        <v>106.28932058696354</v>
      </c>
      <c r="AR11" s="44">
        <f>(('Project W Pop Connected'!AS11*'Water Demand Criteria'!AV$17/1000)*('Wastewater Criteria'!$C$8+'Wastewater Criteria'!$C$10*'Water Demand Criteria'!AV$56+'Water Demand Criteria'!AV$37*'Wastewater Criteria'!$C$11)*(1+'Wastewater Criteria'!$C$23)+('Project Tankers'!AR11*'Wastewater Criteria'!$C$9))*(1+'Wastewater Criteria'!$C$36)</f>
        <v>109.8520954350797</v>
      </c>
      <c r="AS11" s="44">
        <f>(('Project W Pop Connected'!AT11*'Water Demand Criteria'!AW$17/1000)*('Wastewater Criteria'!$C$8+'Wastewater Criteria'!$C$10*'Water Demand Criteria'!AW$56+'Water Demand Criteria'!AW$37*'Wastewater Criteria'!$C$11)*(1+'Wastewater Criteria'!$C$23)+('Project Tankers'!AS11*'Wastewater Criteria'!$C$9))*(1+'Wastewater Criteria'!$C$36)</f>
        <v>113.52707162182725</v>
      </c>
      <c r="AT11" s="44">
        <f>(('Project W Pop Connected'!AU11*'Water Demand Criteria'!AX$17/1000)*('Wastewater Criteria'!$C$8+'Wastewater Criteria'!$C$10*'Water Demand Criteria'!AX$56+'Water Demand Criteria'!AX$37*'Wastewater Criteria'!$C$11)*(1+'Wastewater Criteria'!$C$23)+('Project Tankers'!AT11*'Wastewater Criteria'!$C$9))*(1+'Wastewater Criteria'!$C$36)</f>
        <v>117.31758265314804</v>
      </c>
      <c r="AU11" s="44">
        <f>(('Project W Pop Connected'!AV11*'Water Demand Criteria'!AY$17/1000)*('Wastewater Criteria'!$C$8+'Wastewater Criteria'!$C$10*'Water Demand Criteria'!AY$56+'Water Demand Criteria'!AY$37*'Wastewater Criteria'!$C$11)*(1+'Wastewater Criteria'!$C$23)+('Project Tankers'!AU11*'Wastewater Criteria'!$C$9))*(1+'Wastewater Criteria'!$C$36)</f>
        <v>121.22705741529791</v>
      </c>
      <c r="AV11" s="44">
        <f>(('Project W Pop Connected'!AW11*'Water Demand Criteria'!AZ$17/1000)*('Wastewater Criteria'!$C$8+'Wastewater Criteria'!$C$10*'Water Demand Criteria'!AZ$56+'Water Demand Criteria'!AZ$37*'Wastewater Criteria'!$C$11)*(1+'Wastewater Criteria'!$C$23)+('Project Tankers'!AV11*'Wastewater Criteria'!$C$9))*(1+'Wastewater Criteria'!$C$36)</f>
        <v>125.2590228330027</v>
      </c>
      <c r="AW11" s="44">
        <f>(('Project W Pop Connected'!AX11*'Water Demand Criteria'!BA$17/1000)*('Wastewater Criteria'!$C$8+'Wastewater Criteria'!$C$10*'Water Demand Criteria'!BA$56+'Water Demand Criteria'!BA$37*'Wastewater Criteria'!$C$11)*(1+'Wastewater Criteria'!$C$23)+('Project Tankers'!AW11*'Wastewater Criteria'!$C$9))*(1+'Wastewater Criteria'!$C$36)</f>
        <v>129.41710660026604</v>
      </c>
      <c r="AX11" s="44">
        <f>(('Project W Pop Connected'!AY11*'Water Demand Criteria'!BB$17/1000)*('Wastewater Criteria'!$C$8+'Wastewater Criteria'!$C$10*'Water Demand Criteria'!BB$56+'Water Demand Criteria'!BB$37*'Wastewater Criteria'!$C$11)*(1+'Wastewater Criteria'!$C$23)+('Project Tankers'!AX11*'Wastewater Criteria'!$C$9))*(1+'Wastewater Criteria'!$C$36)</f>
        <v>132.42266738450911</v>
      </c>
      <c r="AY11" s="44">
        <f>(('Project W Pop Connected'!AZ11*'Water Demand Criteria'!BC$17/1000)*('Wastewater Criteria'!$C$8+'Wastewater Criteria'!$C$10*'Water Demand Criteria'!BC$56+'Water Demand Criteria'!BC$37*'Wastewater Criteria'!$C$11)*(1+'Wastewater Criteria'!$C$23)+('Project Tankers'!AY11*'Wastewater Criteria'!$C$9))*(1+'Wastewater Criteria'!$C$36)</f>
        <v>135.50036162757399</v>
      </c>
      <c r="AZ11" s="44">
        <f>(('Project W Pop Connected'!BA11*'Water Demand Criteria'!BD$17/1000)*('Wastewater Criteria'!$C$8+'Wastewater Criteria'!$C$10*'Water Demand Criteria'!BD$56+'Water Demand Criteria'!BD$37*'Wastewater Criteria'!$C$11)*(1+'Wastewater Criteria'!$C$23)+('Project Tankers'!AZ11*'Wastewater Criteria'!$C$9))*(1+'Wastewater Criteria'!$C$36)</f>
        <v>138.65192053247245</v>
      </c>
      <c r="BA11" s="44">
        <f>(('Project W Pop Connected'!BB11*'Water Demand Criteria'!BE$17/1000)*('Wastewater Criteria'!$C$8+'Wastewater Criteria'!$C$10*'Water Demand Criteria'!BE$56+'Water Demand Criteria'!BE$37*'Wastewater Criteria'!$C$11)*(1+'Wastewater Criteria'!$C$23)+('Project Tankers'!BA11*'Wastewater Criteria'!$C$9))*(1+'Wastewater Criteria'!$C$36)</f>
        <v>141.87911685108844</v>
      </c>
      <c r="BB11" s="44">
        <f>(('Project W Pop Connected'!BC11*'Water Demand Criteria'!BF$17/1000)*('Wastewater Criteria'!$C$8+'Wastewater Criteria'!$C$10*'Water Demand Criteria'!BF$56+'Water Demand Criteria'!BF$37*'Wastewater Criteria'!$C$11)*(1+'Wastewater Criteria'!$C$23)+('Project Tankers'!BB11*'Wastewater Criteria'!$C$9))*(1+'Wastewater Criteria'!$C$36)</f>
        <v>145.18376588135126</v>
      </c>
      <c r="BC11" s="44">
        <f>(('Project W Pop Connected'!BD11*'Water Demand Criteria'!BG$17/1000)*('Wastewater Criteria'!$C$8+'Wastewater Criteria'!$C$10*'Water Demand Criteria'!BG$56+'Water Demand Criteria'!BG$37*'Wastewater Criteria'!$C$11)*(1+'Wastewater Criteria'!$C$23)+('Project Tankers'!BC11*'Wastewater Criteria'!$C$9))*(1+'Wastewater Criteria'!$C$36)</f>
        <v>148.56772648834038</v>
      </c>
      <c r="BD11" s="44">
        <f>(('Project W Pop Connected'!BE11*'Water Demand Criteria'!BH$17/1000)*('Wastewater Criteria'!$C$8+'Wastewater Criteria'!$C$10*'Water Demand Criteria'!BH$56+'Water Demand Criteria'!BH$37*'Wastewater Criteria'!$C$11)*(1+'Wastewater Criteria'!$C$23)+('Project Tankers'!BD11*'Wastewater Criteria'!$C$9))*(1+'Wastewater Criteria'!$C$36)</f>
        <v>152.03290214989721</v>
      </c>
      <c r="BE11" s="44">
        <f>(('Project W Pop Connected'!BF11*'Water Demand Criteria'!BI$17/1000)*('Wastewater Criteria'!$C$8+'Wastewater Criteria'!$C$10*'Water Demand Criteria'!BI$56+'Water Demand Criteria'!BI$37*'Wastewater Criteria'!$C$11)*(1+'Wastewater Criteria'!$C$23)+('Project Tankers'!BE11*'Wastewater Criteria'!$C$9))*(1+'Wastewater Criteria'!$C$36)</f>
        <v>155.5812420273314</v>
      </c>
      <c r="BF11" s="44">
        <f>(('Project W Pop Connected'!BG11*'Water Demand Criteria'!BJ$17/1000)*('Wastewater Criteria'!$C$8+'Wastewater Criteria'!$C$10*'Water Demand Criteria'!BJ$56+'Water Demand Criteria'!BJ$37*'Wastewater Criteria'!$C$11)*(1+'Wastewater Criteria'!$C$23)+('Project Tankers'!BF11*'Wastewater Criteria'!$C$9))*(1+'Wastewater Criteria'!$C$36)</f>
        <v>159.21474206182407</v>
      </c>
      <c r="BG11" s="44">
        <f>(('Project W Pop Connected'!BH11*'Water Demand Criteria'!BK$17/1000)*('Wastewater Criteria'!$C$8+'Wastewater Criteria'!$C$10*'Water Demand Criteria'!BK$56+'Water Demand Criteria'!BK$37*'Wastewater Criteria'!$C$11)*(1+'Wastewater Criteria'!$C$23)+('Project Tankers'!BG11*'Wastewater Criteria'!$C$9))*(1+'Wastewater Criteria'!$C$36)</f>
        <v>162.93544609714451</v>
      </c>
      <c r="BH11" s="44">
        <f>(('Project W Pop Connected'!BI11*'Water Demand Criteria'!BL$17/1000)*('Wastewater Criteria'!$C$8+'Wastewater Criteria'!$C$10*'Water Demand Criteria'!BL$56+'Water Demand Criteria'!BL$37*'Wastewater Criteria'!$C$11)*(1+'Wastewater Criteria'!$C$23)+('Project Tankers'!BH11*'Wastewater Criteria'!$C$9))*(1+'Wastewater Criteria'!$C$36)</f>
        <v>166.74544702931266</v>
      </c>
      <c r="BI11" s="44">
        <f>(('Project W Pop Connected'!BJ11*'Water Demand Criteria'!BM$17/1000)*('Wastewater Criteria'!$C$8+'Wastewater Criteria'!$C$10*'Water Demand Criteria'!BM$56+'Water Demand Criteria'!BM$37*'Wastewater Criteria'!$C$11)*(1+'Wastewater Criteria'!$C$23)+('Project Tankers'!BI11*'Wastewater Criteria'!$C$9))*(1+'Wastewater Criteria'!$C$36)</f>
        <v>170.64688798385282</v>
      </c>
      <c r="BJ11" s="44">
        <f>(('Project W Pop Connected'!BK11*'Water Demand Criteria'!BN$17/1000)*('Wastewater Criteria'!$C$8+'Wastewater Criteria'!$C$10*'Water Demand Criteria'!BN$56+'Water Demand Criteria'!BN$37*'Wastewater Criteria'!$C$11)*(1+'Wastewater Criteria'!$C$23)+('Project Tankers'!BJ11*'Wastewater Criteria'!$C$9))*(1+'Wastewater Criteria'!$C$36)</f>
        <v>174.64196352130196</v>
      </c>
      <c r="BK11" s="44">
        <f>(('Project W Pop Connected'!BL11*'Water Demand Criteria'!BO$17/1000)*('Wastewater Criteria'!$C$8+'Wastewater Criteria'!$C$10*'Water Demand Criteria'!BO$56+'Water Demand Criteria'!BO$37*'Wastewater Criteria'!$C$11)*(1+'Wastewater Criteria'!$C$23)+('Project Tankers'!BK11*'Wastewater Criteria'!$C$9))*(1+'Wastewater Criteria'!$C$36)</f>
        <v>178.73292087164987</v>
      </c>
      <c r="BL11" s="44">
        <f>(('Project W Pop Connected'!BM11*'Water Demand Criteria'!BP$17/1000)*('Wastewater Criteria'!$C$8+'Wastewater Criteria'!$C$10*'Water Demand Criteria'!BP$56+'Water Demand Criteria'!BP$37*'Wastewater Criteria'!$C$11)*(1+'Wastewater Criteria'!$C$23)+('Project Tankers'!BL11*'Wastewater Criteria'!$C$9))*(1+'Wastewater Criteria'!$C$36)</f>
        <v>182.9220611984062</v>
      </c>
      <c r="BM11" s="44">
        <f>(('Project W Pop Connected'!BN11*'Water Demand Criteria'!BQ$17/1000)*('Wastewater Criteria'!$C$8+'Wastewater Criteria'!$C$10*'Water Demand Criteria'!BQ$56+'Water Demand Criteria'!BQ$37*'Wastewater Criteria'!$C$11)*(1+'Wastewater Criteria'!$C$23)+('Project Tankers'!BM11*'Wastewater Criteria'!$C$9))*(1+'Wastewater Criteria'!$C$36)</f>
        <v>187.21174089300456</v>
      </c>
      <c r="BN11" s="44">
        <f>(('Project W Pop Connected'!BO11*'Water Demand Criteria'!BR$17/1000)*('Wastewater Criteria'!$C$8+'Wastewater Criteria'!$C$10*'Water Demand Criteria'!BR$56+'Water Demand Criteria'!BR$37*'Wastewater Criteria'!$C$11)*(1+'Wastewater Criteria'!$C$23)+('Project Tankers'!BN11*'Wastewater Criteria'!$C$9))*(1+'Wastewater Criteria'!$C$36)</f>
        <v>191.60437290027335</v>
      </c>
      <c r="BO11" s="44">
        <f>(('Project W Pop Connected'!BP11*'Water Demand Criteria'!BS$17/1000)*('Wastewater Criteria'!$C$8+'Wastewater Criteria'!$C$10*'Water Demand Criteria'!BS$56+'Water Demand Criteria'!BS$37*'Wastewater Criteria'!$C$11)*(1+'Wastewater Criteria'!$C$23)+('Project Tankers'!BO11*'Wastewater Criteria'!$C$9))*(1+'Wastewater Criteria'!$C$36)</f>
        <v>196.10242807571657</v>
      </c>
      <c r="BP11" s="44">
        <f>(('Project W Pop Connected'!BQ11*'Water Demand Criteria'!BT$17/1000)*('Wastewater Criteria'!$C$8+'Wastewater Criteria'!$C$10*'Water Demand Criteria'!BT$56+'Water Demand Criteria'!BT$37*'Wastewater Criteria'!$C$11)*(1+'Wastewater Criteria'!$C$23)+('Project Tankers'!BP11*'Wastewater Criteria'!$C$9))*(1+'Wastewater Criteria'!$C$36)</f>
        <v>200.70843657537048</v>
      </c>
      <c r="BQ11" s="44">
        <f>(('Project W Pop Connected'!BR11*'Water Demand Criteria'!BU$17/1000)*('Wastewater Criteria'!$C$8+'Wastewater Criteria'!$C$10*'Water Demand Criteria'!BU$56+'Water Demand Criteria'!BU$37*'Wastewater Criteria'!$C$11)*(1+'Wastewater Criteria'!$C$23)+('Project Tankers'!BQ11*'Wastewater Criteria'!$C$9))*(1+'Wastewater Criteria'!$C$36)</f>
        <v>205.42498927901599</v>
      </c>
      <c r="BR11" s="44">
        <f>(('Project W Pop Connected'!BS11*'Water Demand Criteria'!BV$17/1000)*('Wastewater Criteria'!$C$8+'Wastewater Criteria'!$C$10*'Water Demand Criteria'!BV$56+'Water Demand Criteria'!BV$37*'Wastewater Criteria'!$C$11)*(1+'Wastewater Criteria'!$C$23)+('Project Tankers'!BR11*'Wastewater Criteria'!$C$9))*(1+'Wastewater Criteria'!$C$36)</f>
        <v>210.25473924754905</v>
      </c>
      <c r="BS11" s="44">
        <f>(('Project W Pop Connected'!BT11*'Water Demand Criteria'!BW$17/1000)*('Wastewater Criteria'!$C$8+'Wastewater Criteria'!$C$10*'Water Demand Criteria'!BW$56+'Water Demand Criteria'!BW$37*'Wastewater Criteria'!$C$11)*(1+'Wastewater Criteria'!$C$23)+('Project Tankers'!BS11*'Wastewater Criteria'!$C$9))*(1+'Wastewater Criteria'!$C$36)</f>
        <v>215.20040321532693</v>
      </c>
      <c r="BT11" s="44">
        <f>(('Project W Pop Connected'!BU11*'Water Demand Criteria'!BX$17/1000)*('Wastewater Criteria'!$C$8+'Wastewater Criteria'!$C$10*'Water Demand Criteria'!BX$56+'Water Demand Criteria'!BX$37*'Wastewater Criteria'!$C$11)*(1+'Wastewater Criteria'!$C$23)+('Project Tankers'!BT11*'Wastewater Criteria'!$C$9))*(1+'Wastewater Criteria'!$C$36)</f>
        <v>220.26476311833147</v>
      </c>
      <c r="BU11" s="44">
        <f>(('Project W Pop Connected'!BV11*'Water Demand Criteria'!BY$17/1000)*('Wastewater Criteria'!$C$8+'Wastewater Criteria'!$C$10*'Water Demand Criteria'!BY$56+'Water Demand Criteria'!BY$37*'Wastewater Criteria'!$C$11)*(1+'Wastewater Criteria'!$C$23)+('Project Tankers'!BU11*'Wastewater Criteria'!$C$9))*(1+'Wastewater Criteria'!$C$36)</f>
        <v>225.45066765900808</v>
      </c>
      <c r="BV11" s="44">
        <f>(('Project W Pop Connected'!BW11*'Water Demand Criteria'!BZ$17/1000)*('Wastewater Criteria'!$C$8+'Wastewater Criteria'!$C$10*'Water Demand Criteria'!BZ$56+'Water Demand Criteria'!BZ$37*'Wastewater Criteria'!$C$11)*(1+'Wastewater Criteria'!$C$23)+('Project Tankers'!BV11*'Wastewater Criteria'!$C$9))*(1+'Wastewater Criteria'!$C$36)</f>
        <v>230.76103390866095</v>
      </c>
      <c r="BW11" s="44">
        <f>(('Project W Pop Connected'!BX11*'Water Demand Criteria'!CA$17/1000)*('Wastewater Criteria'!$C$8+'Wastewater Criteria'!$C$10*'Water Demand Criteria'!CA$56+'Water Demand Criteria'!CA$37*'Wastewater Criteria'!$C$11)*(1+'Wastewater Criteria'!$C$23)+('Project Tankers'!BW11*'Wastewater Criteria'!$C$9))*(1+'Wastewater Criteria'!$C$36)</f>
        <v>236.19884894830543</v>
      </c>
      <c r="BX11" s="44">
        <f>(('Project W Pop Connected'!BY11*'Water Demand Criteria'!CB$17/1000)*('Wastewater Criteria'!$C$8+'Wastewater Criteria'!$C$10*'Water Demand Criteria'!CB$56+'Water Demand Criteria'!CB$37*'Wastewater Criteria'!$C$11)*(1+'Wastewater Criteria'!$C$23)+('Project Tankers'!BX11*'Wastewater Criteria'!$C$9))*(1+'Wastewater Criteria'!$C$36)</f>
        <v>241.76717154890144</v>
      </c>
      <c r="BY11" s="44">
        <f>(('Project W Pop Connected'!BZ11*'Water Demand Criteria'!CC$17/1000)*('Wastewater Criteria'!$C$8+'Wastewater Criteria'!$C$10*'Water Demand Criteria'!CC$56+'Water Demand Criteria'!CC$37*'Wastewater Criteria'!$C$11)*(1+'Wastewater Criteria'!$C$23)+('Project Tankers'!BY11*'Wastewater Criteria'!$C$9))*(1+'Wastewater Criteria'!$C$36)</f>
        <v>247.46913389191181</v>
      </c>
      <c r="BZ11" s="44">
        <f>(('Project W Pop Connected'!CA11*'Water Demand Criteria'!CD$17/1000)*('Wastewater Criteria'!$C$8+'Wastewater Criteria'!$C$10*'Water Demand Criteria'!CD$56+'Water Demand Criteria'!CD$37*'Wastewater Criteria'!$C$11)*(1+'Wastewater Criteria'!$C$23)+('Project Tankers'!BZ11*'Wastewater Criteria'!$C$9))*(1+'Wastewater Criteria'!$C$36)</f>
        <v>253.30794333115438</v>
      </c>
      <c r="CA11" s="44">
        <f>(('Project W Pop Connected'!CB11*'Water Demand Criteria'!CE$17/1000)*('Wastewater Criteria'!$C$8+'Wastewater Criteria'!$C$10*'Water Demand Criteria'!CE$56+'Water Demand Criteria'!CE$37*'Wastewater Criteria'!$C$11)*(1+'Wastewater Criteria'!$C$23)+('Project Tankers'!CA11*'Wastewater Criteria'!$C$9))*(1+'Wastewater Criteria'!$C$36)</f>
        <v>259.28688419693873</v>
      </c>
    </row>
    <row r="12" spans="1:79" x14ac:dyDescent="0.25">
      <c r="A12" s="33">
        <v>11</v>
      </c>
      <c r="B12" s="36" t="s">
        <v>41</v>
      </c>
      <c r="C12" s="34">
        <f>(('Project W Pop Connected'!D12*'Water Demand Criteria'!G$17/1000)*('Wastewater Criteria'!$C$8+'Wastewater Criteria'!$C$10*'Water Demand Criteria'!G$56+'Water Demand Criteria'!G$37*'Wastewater Criteria'!$C$11)*(1+'Wastewater Criteria'!$C$23)+('Project Tankers'!C12*'Wastewater Criteria'!$C$9))*(1+'Wastewater Criteria'!$C$36)</f>
        <v>74.468678611387787</v>
      </c>
      <c r="D12" s="34">
        <f>(('Project W Pop Connected'!E12*'Water Demand Criteria'!H$17/1000)*('Wastewater Criteria'!$C$8+'Wastewater Criteria'!$C$10*'Water Demand Criteria'!H$56+'Water Demand Criteria'!H$37*'Wastewater Criteria'!$C$11)*(1+'Wastewater Criteria'!$C$23)+('Project Tankers'!D12*'Wastewater Criteria'!$C$9))*(1+'Wastewater Criteria'!$C$36)</f>
        <v>79.351342775761424</v>
      </c>
      <c r="E12" s="34">
        <f>(('Project W Pop Connected'!F12*'Water Demand Criteria'!I$17/1000)*('Wastewater Criteria'!$C$8+'Wastewater Criteria'!$C$10*'Water Demand Criteria'!I$56+'Water Demand Criteria'!I$37*'Wastewater Criteria'!$C$11)*(1+'Wastewater Criteria'!$C$23)+('Project Tankers'!E12*'Wastewater Criteria'!$C$9))*(1+'Wastewater Criteria'!$C$36)</f>
        <v>84.676886481892595</v>
      </c>
      <c r="F12" s="34">
        <f>(('Project W Pop Connected'!G12*'Water Demand Criteria'!J$17/1000)*('Wastewater Criteria'!$C$8+'Wastewater Criteria'!$C$10*'Water Demand Criteria'!J$56+'Water Demand Criteria'!J$37*'Wastewater Criteria'!$C$11)*(1+'Wastewater Criteria'!$C$23)+('Project Tankers'!F12*'Wastewater Criteria'!$C$9))*(1+'Wastewater Criteria'!$C$36)</f>
        <v>90.217330862522616</v>
      </c>
      <c r="G12" s="34">
        <f>(('Project W Pop Connected'!H12*'Water Demand Criteria'!K$17/1000)*('Wastewater Criteria'!$C$8+'Wastewater Criteria'!$C$10*'Water Demand Criteria'!K$56+'Water Demand Criteria'!K$37*'Wastewater Criteria'!$C$11)*(1+'Wastewater Criteria'!$C$23)+('Project Tankers'!G12*'Wastewater Criteria'!$C$9))*(1+'Wastewater Criteria'!$C$36)</f>
        <v>95.982034744881886</v>
      </c>
      <c r="H12" s="34">
        <f>(('Project W Pop Connected'!I12*'Water Demand Criteria'!L$17/1000)*('Wastewater Criteria'!$C$8+'Wastewater Criteria'!$C$10*'Water Demand Criteria'!L$56+'Water Demand Criteria'!L$37*'Wastewater Criteria'!$C$11)*(1+'Wastewater Criteria'!$C$23)+('Project Tankers'!H12*'Wastewater Criteria'!$C$9))*(1+'Wastewater Criteria'!$C$36)</f>
        <v>101.97656130737799</v>
      </c>
      <c r="I12" s="34">
        <f>(('Project W Pop Connected'!J12*'Water Demand Criteria'!M$17/1000)*('Wastewater Criteria'!$C$8+'Wastewater Criteria'!$C$10*'Water Demand Criteria'!M$56+'Water Demand Criteria'!M$37*'Wastewater Criteria'!$C$11)*(1+'Wastewater Criteria'!$C$23)+('Project Tankers'!I12*'Wastewater Criteria'!$C$9))*(1+'Wastewater Criteria'!$C$36)</f>
        <v>107.7937766709572</v>
      </c>
      <c r="J12" s="34">
        <f>(('Project W Pop Connected'!K12*'Water Demand Criteria'!N$17/1000)*('Wastewater Criteria'!$C$8+'Wastewater Criteria'!$C$10*'Water Demand Criteria'!N$56+'Water Demand Criteria'!N$37*'Wastewater Criteria'!$C$11)*(1+'Wastewater Criteria'!$C$23)+('Project Tankers'!J12*'Wastewater Criteria'!$C$9))*(1+'Wastewater Criteria'!$C$36)</f>
        <v>114.23043551413441</v>
      </c>
      <c r="K12" s="34">
        <f>(('Project W Pop Connected'!L12*'Water Demand Criteria'!O$17/1000)*('Wastewater Criteria'!$C$8+'Wastewater Criteria'!$C$10*'Water Demand Criteria'!O$56+'Water Demand Criteria'!O$37*'Wastewater Criteria'!$C$11)*(1+'Wastewater Criteria'!$C$23)+('Project Tankers'!K12*'Wastewater Criteria'!$C$9))*(1+'Wastewater Criteria'!$C$36)</f>
        <v>120.91790892433507</v>
      </c>
      <c r="L12" s="34">
        <f>(('Project W Pop Connected'!M12*'Water Demand Criteria'!P$17/1000)*('Wastewater Criteria'!$C$8+'Wastewater Criteria'!$C$10*'Water Demand Criteria'!P$56+'Water Demand Criteria'!P$37*'Wastewater Criteria'!$C$11)*(1+'Wastewater Criteria'!$C$23)+('Project Tankers'!L12*'Wastewater Criteria'!$C$9))*(1+'Wastewater Criteria'!$C$36)</f>
        <v>126.42376672436589</v>
      </c>
      <c r="M12" s="34">
        <f>(('Project W Pop Connected'!N12*'Water Demand Criteria'!Q$17/1000)*('Wastewater Criteria'!$C$8+'Wastewater Criteria'!$C$10*'Water Demand Criteria'!Q$56+'Water Demand Criteria'!Q$37*'Wastewater Criteria'!$C$11)*(1+'Wastewater Criteria'!$C$23)+('Project Tankers'!M12*'Wastewater Criteria'!$C$9))*(1+'Wastewater Criteria'!$C$36)</f>
        <v>135.10338429888091</v>
      </c>
      <c r="N12" s="34">
        <f>(('Project W Pop Connected'!O12*'Water Demand Criteria'!R$17/1000)*('Wastewater Criteria'!$C$8+'Wastewater Criteria'!$C$10*'Water Demand Criteria'!R$56+'Water Demand Criteria'!R$37*'Wastewater Criteria'!$C$11)*(1+'Wastewater Criteria'!$C$23)+('Project Tankers'!N12*'Wastewater Criteria'!$C$9))*(1+'Wastewater Criteria'!$C$36)</f>
        <v>142.0208569694378</v>
      </c>
      <c r="O12" s="34">
        <f>(('Project W Pop Connected'!P12*'Water Demand Criteria'!S$17/1000)*('Wastewater Criteria'!$C$8+'Wastewater Criteria'!$C$10*'Water Demand Criteria'!S$56+'Water Demand Criteria'!S$37*'Wastewater Criteria'!$C$11)*(1+'Wastewater Criteria'!$C$23)+('Project Tankers'!O12*'Wastewater Criteria'!$C$9))*(1+'Wastewater Criteria'!$C$36)</f>
        <v>145.3790430859635</v>
      </c>
      <c r="P12" s="34">
        <f>(('Project W Pop Connected'!Q12*'Water Demand Criteria'!T$17/1000)*('Wastewater Criteria'!$C$8+'Wastewater Criteria'!$C$10*'Water Demand Criteria'!T$56+'Water Demand Criteria'!T$37*'Wastewater Criteria'!$C$11)*(1+'Wastewater Criteria'!$C$23)+('Project Tankers'!P12*'Wastewater Criteria'!$C$9))*(1+'Wastewater Criteria'!$C$36)</f>
        <v>148.86966167838941</v>
      </c>
      <c r="Q12" s="34">
        <f>(('Project W Pop Connected'!R12*'Water Demand Criteria'!U$17/1000)*('Wastewater Criteria'!$C$8+'Wastewater Criteria'!$C$10*'Water Demand Criteria'!U$56+'Water Demand Criteria'!U$37*'Wastewater Criteria'!$C$11)*(1+'Wastewater Criteria'!$C$23)+('Project Tankers'!Q12*'Wastewater Criteria'!$C$9))*(1+'Wastewater Criteria'!$C$36)</f>
        <v>152.48302256555209</v>
      </c>
      <c r="R12" s="34">
        <f>(('Project W Pop Connected'!S12*'Water Demand Criteria'!V$17/1000)*('Wastewater Criteria'!$C$8+'Wastewater Criteria'!$C$10*'Water Demand Criteria'!V$56+'Water Demand Criteria'!V$37*'Wastewater Criteria'!$C$11)*(1+'Wastewater Criteria'!$C$23)+('Project Tankers'!R12*'Wastewater Criteria'!$C$9))*(1+'Wastewater Criteria'!$C$36)</f>
        <v>156.2514263513296</v>
      </c>
      <c r="S12" s="34">
        <f>(('Project W Pop Connected'!T12*'Water Demand Criteria'!W$17/1000)*('Wastewater Criteria'!$C$8+'Wastewater Criteria'!$C$10*'Water Demand Criteria'!W$56+'Water Demand Criteria'!W$37*'Wastewater Criteria'!$C$11)*(1+'Wastewater Criteria'!$C$23)+('Project Tankers'!S12*'Wastewater Criteria'!$C$9))*(1+'Wastewater Criteria'!$C$36)</f>
        <v>159.38835333129038</v>
      </c>
      <c r="T12" s="34">
        <f>(('Project W Pop Connected'!U12*'Water Demand Criteria'!X$17/1000)*('Wastewater Criteria'!$C$8+'Wastewater Criteria'!$C$10*'Water Demand Criteria'!X$56+'Water Demand Criteria'!X$37*'Wastewater Criteria'!$C$11)*(1+'Wastewater Criteria'!$C$23)+('Project Tankers'!T12*'Wastewater Criteria'!$C$9))*(1+'Wastewater Criteria'!$C$36)</f>
        <v>162.19942765761573</v>
      </c>
      <c r="U12" s="34">
        <f>(('Project W Pop Connected'!V12*'Water Demand Criteria'!Y$17/1000)*('Wastewater Criteria'!$C$8+'Wastewater Criteria'!$C$10*'Water Demand Criteria'!Y$56+'Water Demand Criteria'!Y$37*'Wastewater Criteria'!$C$11)*(1+'Wastewater Criteria'!$C$23)+('Project Tankers'!U12*'Wastewater Criteria'!$C$9))*(1+'Wastewater Criteria'!$C$36)</f>
        <v>165.13883920211393</v>
      </c>
      <c r="V12" s="34">
        <f>(('Project W Pop Connected'!W12*'Water Demand Criteria'!Z$17/1000)*('Wastewater Criteria'!$C$8+'Wastewater Criteria'!$C$10*'Water Demand Criteria'!Z$56+'Water Demand Criteria'!Z$37*'Wastewater Criteria'!$C$11)*(1+'Wastewater Criteria'!$C$23)+('Project Tankers'!V12*'Wastewater Criteria'!$C$9))*(1+'Wastewater Criteria'!$C$36)</f>
        <v>168.169757442801</v>
      </c>
      <c r="W12" s="34">
        <f>(('Project W Pop Connected'!X12*'Water Demand Criteria'!AA$17/1000)*('Wastewater Criteria'!$C$8+'Wastewater Criteria'!$C$10*'Water Demand Criteria'!AA$56+'Water Demand Criteria'!AA$37*'Wastewater Criteria'!$C$11)*(1+'Wastewater Criteria'!$C$23)+('Project Tankers'!W12*'Wastewater Criteria'!$C$9))*(1+'Wastewater Criteria'!$C$36)</f>
        <v>171.29847972547842</v>
      </c>
      <c r="X12" s="34">
        <f>(('Project W Pop Connected'!Y12*'Water Demand Criteria'!AB$17/1000)*('Wastewater Criteria'!$C$8+'Wastewater Criteria'!$C$10*'Water Demand Criteria'!AB$56+'Water Demand Criteria'!AB$37*'Wastewater Criteria'!$C$11)*(1+'Wastewater Criteria'!$C$23)+('Project Tankers'!X12*'Wastewater Criteria'!$C$9))*(1+'Wastewater Criteria'!$C$36)</f>
        <v>174.53130339603848</v>
      </c>
      <c r="Y12" s="34">
        <f>(('Project W Pop Connected'!Z12*'Water Demand Criteria'!AC$17/1000)*('Wastewater Criteria'!$C$8+'Wastewater Criteria'!$C$10*'Water Demand Criteria'!AC$56+'Water Demand Criteria'!AC$37*'Wastewater Criteria'!$C$11)*(1+'Wastewater Criteria'!$C$23)+('Project Tankers'!Y12*'Wastewater Criteria'!$C$9))*(1+'Wastewater Criteria'!$C$36)</f>
        <v>177.87452580526394</v>
      </c>
      <c r="Z12" s="34">
        <f>(('Project W Pop Connected'!AA12*'Water Demand Criteria'!AD$17/1000)*('Wastewater Criteria'!$C$8+'Wastewater Criteria'!$C$10*'Water Demand Criteria'!AD$56+'Water Demand Criteria'!AD$37*'Wastewater Criteria'!$C$11)*(1+'Wastewater Criteria'!$C$23)+('Project Tankers'!Z12*'Wastewater Criteria'!$C$9))*(1+'Wastewater Criteria'!$C$36)</f>
        <v>181.33444429564747</v>
      </c>
      <c r="AA12" s="34">
        <f>(('Project W Pop Connected'!AB12*'Water Demand Criteria'!AE$17/1000)*('Wastewater Criteria'!$C$8+'Wastewater Criteria'!$C$10*'Water Demand Criteria'!AE$56+'Water Demand Criteria'!AE$37*'Wastewater Criteria'!$C$11)*(1+'Wastewater Criteria'!$C$23)+('Project Tankers'!AA12*'Wastewater Criteria'!$C$9))*(1+'Wastewater Criteria'!$C$36)</f>
        <v>184.91735622334861</v>
      </c>
      <c r="AB12" s="34">
        <f>(('Project W Pop Connected'!AC12*'Water Demand Criteria'!AF$17/1000)*('Wastewater Criteria'!$C$8+'Wastewater Criteria'!$C$10*'Water Demand Criteria'!AF$56+'Water Demand Criteria'!AF$37*'Wastewater Criteria'!$C$11)*(1+'Wastewater Criteria'!$C$23)+('Project Tankers'!AB12*'Wastewater Criteria'!$C$9))*(1+'Wastewater Criteria'!$C$36)</f>
        <v>188.6295589261249</v>
      </c>
      <c r="AC12" s="34">
        <f>(('Project W Pop Connected'!AD12*'Water Demand Criteria'!AG$17/1000)*('Wastewater Criteria'!$C$8+'Wastewater Criteria'!$C$10*'Water Demand Criteria'!AG$56+'Water Demand Criteria'!AG$37*'Wastewater Criteria'!$C$11)*(1+'Wastewater Criteria'!$C$23)+('Project Tankers'!AC12*'Wastewater Criteria'!$C$9))*(1+'Wastewater Criteria'!$C$36)</f>
        <v>192.47734976329602</v>
      </c>
      <c r="AD12" s="44">
        <f>(('Project W Pop Connected'!AE12*'Water Demand Criteria'!AH$17/1000)*('Wastewater Criteria'!$C$8+'Wastewater Criteria'!$C$10*'Water Demand Criteria'!AH$56+'Water Demand Criteria'!AH$37*'Wastewater Criteria'!$C$11)*(1+'Wastewater Criteria'!$C$23)+('Project Tankers'!AD12*'Wastewater Criteria'!$C$9))*(1+'Wastewater Criteria'!$C$36)</f>
        <v>198.7685214479327</v>
      </c>
      <c r="AE12" s="44">
        <f>(('Project W Pop Connected'!AF12*'Water Demand Criteria'!AI$17/1000)*('Wastewater Criteria'!$C$8+'Wastewater Criteria'!$C$10*'Water Demand Criteria'!AI$56+'Water Demand Criteria'!AI$37*'Wastewater Criteria'!$C$11)*(1+'Wastewater Criteria'!$C$23)+('Project Tankers'!AE12*'Wastewater Criteria'!$C$9))*(1+'Wastewater Criteria'!$C$36)</f>
        <v>205.30628977282467</v>
      </c>
      <c r="AF12" s="44">
        <f>(('Project W Pop Connected'!AG12*'Water Demand Criteria'!AJ$17/1000)*('Wastewater Criteria'!$C$8+'Wastewater Criteria'!$C$10*'Water Demand Criteria'!AJ$56+'Water Demand Criteria'!AJ$37*'Wastewater Criteria'!$C$11)*(1+'Wastewater Criteria'!$C$23)+('Project Tankers'!AF12*'Wastewater Criteria'!$C$9))*(1+'Wastewater Criteria'!$C$36)</f>
        <v>212.10188694808133</v>
      </c>
      <c r="AG12" s="44">
        <f>(('Project W Pop Connected'!AH12*'Water Demand Criteria'!AK$17/1000)*('Wastewater Criteria'!$C$8+'Wastewater Criteria'!$C$10*'Water Demand Criteria'!AK$56+'Water Demand Criteria'!AK$37*'Wastewater Criteria'!$C$11)*(1+'Wastewater Criteria'!$C$23)+('Project Tankers'!AG12*'Wastewater Criteria'!$C$9))*(1+'Wastewater Criteria'!$C$36)</f>
        <v>219.16709911752315</v>
      </c>
      <c r="AH12" s="44">
        <f>(('Project W Pop Connected'!AI12*'Water Demand Criteria'!AL$17/1000)*('Wastewater Criteria'!$C$8+'Wastewater Criteria'!$C$10*'Water Demand Criteria'!AL$56+'Water Demand Criteria'!AL$37*'Wastewater Criteria'!$C$11)*(1+'Wastewater Criteria'!$C$23)+('Project Tankers'!AH12*'Wastewater Criteria'!$C$9))*(1+'Wastewater Criteria'!$C$36)</f>
        <v>226.51429613226759</v>
      </c>
      <c r="AI12" s="44">
        <f>(('Project W Pop Connected'!AJ12*'Water Demand Criteria'!AM$17/1000)*('Wastewater Criteria'!$C$8+'Wastewater Criteria'!$C$10*'Water Demand Criteria'!AM$56+'Water Demand Criteria'!AM$37*'Wastewater Criteria'!$C$11)*(1+'Wastewater Criteria'!$C$23)+('Project Tankers'!AI12*'Wastewater Criteria'!$C$9))*(1+'Wastewater Criteria'!$C$36)</f>
        <v>234.15646302614499</v>
      </c>
      <c r="AJ12" s="44">
        <f>(('Project W Pop Connected'!AK12*'Water Demand Criteria'!AN$17/1000)*('Wastewater Criteria'!$C$8+'Wastewater Criteria'!$C$10*'Water Demand Criteria'!AN$56+'Water Demand Criteria'!AN$37*'Wastewater Criteria'!$C$11)*(1+'Wastewater Criteria'!$C$23)+('Project Tankers'!AJ12*'Wastewater Criteria'!$C$9))*(1+'Wastewater Criteria'!$C$36)</f>
        <v>242.10723329631139</v>
      </c>
      <c r="AK12" s="44">
        <f>(('Project W Pop Connected'!AL12*'Water Demand Criteria'!AO$17/1000)*('Wastewater Criteria'!$C$8+'Wastewater Criteria'!$C$10*'Water Demand Criteria'!AO$56+'Water Demand Criteria'!AO$37*'Wastewater Criteria'!$C$11)*(1+'Wastewater Criteria'!$C$23)+('Project Tankers'!AK12*'Wastewater Criteria'!$C$9))*(1+'Wastewater Criteria'!$C$36)</f>
        <v>250.3371114054826</v>
      </c>
      <c r="AL12" s="44">
        <f>(('Project W Pop Connected'!AM12*'Water Demand Criteria'!AP$17/1000)*('Wastewater Criteria'!$C$8+'Wastewater Criteria'!$C$10*'Water Demand Criteria'!AP$56+'Water Demand Criteria'!AP$37*'Wastewater Criteria'!$C$11)*(1+'Wastewater Criteria'!$C$23)+('Project Tankers'!AL12*'Wastewater Criteria'!$C$9))*(1+'Wastewater Criteria'!$C$36)</f>
        <v>258.82949935418736</v>
      </c>
      <c r="AM12" s="44">
        <f>(('Project W Pop Connected'!AN12*'Water Demand Criteria'!AQ$17/1000)*('Wastewater Criteria'!$C$8+'Wastewater Criteria'!$C$10*'Water Demand Criteria'!AQ$56+'Water Demand Criteria'!AQ$37*'Wastewater Criteria'!$C$11)*(1+'Wastewater Criteria'!$C$23)+('Project Tankers'!AM12*'Wastewater Criteria'!$C$9))*(1+'Wastewater Criteria'!$C$36)</f>
        <v>267.59225720493254</v>
      </c>
      <c r="AN12" s="44">
        <f>(('Project W Pop Connected'!AO12*'Water Demand Criteria'!AR$17/1000)*('Wastewater Criteria'!$C$8+'Wastewater Criteria'!$C$10*'Water Demand Criteria'!AR$56+'Water Demand Criteria'!AR$37*'Wastewater Criteria'!$C$11)*(1+'Wastewater Criteria'!$C$23)+('Project Tankers'!AN12*'Wastewater Criteria'!$C$9))*(1+'Wastewater Criteria'!$C$36)</f>
        <v>276.63347109755756</v>
      </c>
      <c r="AO12" s="44">
        <f>(('Project W Pop Connected'!AP12*'Water Demand Criteria'!AS$17/1000)*('Wastewater Criteria'!$C$8+'Wastewater Criteria'!$C$10*'Water Demand Criteria'!AS$56+'Water Demand Criteria'!AS$37*'Wastewater Criteria'!$C$11)*(1+'Wastewater Criteria'!$C$23)+('Project Tankers'!AO12*'Wastewater Criteria'!$C$9))*(1+'Wastewater Criteria'!$C$36)</f>
        <v>285.96145957355071</v>
      </c>
      <c r="AP12" s="44">
        <f>(('Project W Pop Connected'!AQ12*'Water Demand Criteria'!AT$17/1000)*('Wastewater Criteria'!$C$8+'Wastewater Criteria'!$C$10*'Water Demand Criteria'!AT$56+'Water Demand Criteria'!AT$37*'Wastewater Criteria'!$C$11)*(1+'Wastewater Criteria'!$C$23)+('Project Tankers'!AP12*'Wastewater Criteria'!$C$9))*(1+'Wastewater Criteria'!$C$36)</f>
        <v>295.58478007371144</v>
      </c>
      <c r="AQ12" s="44">
        <f>(('Project W Pop Connected'!AR12*'Water Demand Criteria'!AU$17/1000)*('Wastewater Criteria'!$C$8+'Wastewater Criteria'!$C$10*'Water Demand Criteria'!AU$56+'Water Demand Criteria'!AU$37*'Wastewater Criteria'!$C$11)*(1+'Wastewater Criteria'!$C$23)+('Project Tankers'!AQ12*'Wastewater Criteria'!$C$9))*(1+'Wastewater Criteria'!$C$36)</f>
        <v>305.51223561383767</v>
      </c>
      <c r="AR12" s="44">
        <f>(('Project W Pop Connected'!AS12*'Water Demand Criteria'!AV$17/1000)*('Wastewater Criteria'!$C$8+'Wastewater Criteria'!$C$10*'Water Demand Criteria'!AV$56+'Water Demand Criteria'!AV$37*'Wastewater Criteria'!$C$11)*(1+'Wastewater Criteria'!$C$23)+('Project Tankers'!AR12*'Wastewater Criteria'!$C$9))*(1+'Wastewater Criteria'!$C$36)</f>
        <v>315.75288164323962</v>
      </c>
      <c r="AS12" s="44">
        <f>(('Project W Pop Connected'!AT12*'Water Demand Criteria'!AW$17/1000)*('Wastewater Criteria'!$C$8+'Wastewater Criteria'!$C$10*'Water Demand Criteria'!AW$56+'Water Demand Criteria'!AW$37*'Wastewater Criteria'!$C$11)*(1+'Wastewater Criteria'!$C$23)+('Project Tankers'!AS12*'Wastewater Criteria'!$C$9))*(1+'Wastewater Criteria'!$C$36)</f>
        <v>326.31603309101138</v>
      </c>
      <c r="AT12" s="44">
        <f>(('Project W Pop Connected'!AU12*'Water Demand Criteria'!AX$17/1000)*('Wastewater Criteria'!$C$8+'Wastewater Criteria'!$C$10*'Water Demand Criteria'!AX$56+'Water Demand Criteria'!AX$37*'Wastewater Criteria'!$C$11)*(1+'Wastewater Criteria'!$C$23)+('Project Tankers'!AT12*'Wastewater Criteria'!$C$9))*(1+'Wastewater Criteria'!$C$36)</f>
        <v>337.21127160512179</v>
      </c>
      <c r="AU12" s="44">
        <f>(('Project W Pop Connected'!AV12*'Water Demand Criteria'!AY$17/1000)*('Wastewater Criteria'!$C$8+'Wastewater Criteria'!$C$10*'Water Demand Criteria'!AY$56+'Water Demand Criteria'!AY$37*'Wastewater Criteria'!$C$11)*(1+'Wastewater Criteria'!$C$23)+('Project Tankers'!AU12*'Wastewater Criteria'!$C$9))*(1+'Wastewater Criteria'!$C$36)</f>
        <v>348.44845298952134</v>
      </c>
      <c r="AV12" s="44">
        <f>(('Project W Pop Connected'!AW12*'Water Demand Criteria'!AZ$17/1000)*('Wastewater Criteria'!$C$8+'Wastewater Criteria'!$C$10*'Water Demand Criteria'!AZ$56+'Water Demand Criteria'!AZ$37*'Wastewater Criteria'!$C$11)*(1+'Wastewater Criteria'!$C$23)+('Project Tankers'!AV12*'Wastewater Criteria'!$C$9))*(1+'Wastewater Criteria'!$C$36)</f>
        <v>360.03771484459952</v>
      </c>
      <c r="AW12" s="44">
        <f>(('Project W Pop Connected'!AX12*'Water Demand Criteria'!BA$17/1000)*('Wastewater Criteria'!$C$8+'Wastewater Criteria'!$C$10*'Water Demand Criteria'!BA$56+'Water Demand Criteria'!BA$37*'Wastewater Criteria'!$C$11)*(1+'Wastewater Criteria'!$C$23)+('Project Tankers'!AW12*'Wastewater Criteria'!$C$9))*(1+'Wastewater Criteria'!$C$36)</f>
        <v>371.98948441647167</v>
      </c>
      <c r="AX12" s="44">
        <f>(('Project W Pop Connected'!AY12*'Water Demand Criteria'!BB$17/1000)*('Wastewater Criteria'!$C$8+'Wastewater Criteria'!$C$10*'Water Demand Criteria'!BB$56+'Water Demand Criteria'!BB$37*'Wastewater Criteria'!$C$11)*(1+'Wastewater Criteria'!$C$23)+('Project Tankers'!AX12*'Wastewater Criteria'!$C$9))*(1+'Wastewater Criteria'!$C$36)</f>
        <v>380.62850468112833</v>
      </c>
      <c r="AY12" s="44">
        <f>(('Project W Pop Connected'!AZ12*'Water Demand Criteria'!BC$17/1000)*('Wastewater Criteria'!$C$8+'Wastewater Criteria'!$C$10*'Water Demand Criteria'!BC$56+'Water Demand Criteria'!BC$37*'Wastewater Criteria'!$C$11)*(1+'Wastewater Criteria'!$C$23)+('Project Tankers'!AY12*'Wastewater Criteria'!$C$9))*(1+'Wastewater Criteria'!$C$36)</f>
        <v>389.47486143213689</v>
      </c>
      <c r="AZ12" s="44">
        <f>(('Project W Pop Connected'!BA12*'Water Demand Criteria'!BD$17/1000)*('Wastewater Criteria'!$C$8+'Wastewater Criteria'!$C$10*'Water Demand Criteria'!BD$56+'Water Demand Criteria'!BD$37*'Wastewater Criteria'!$C$11)*(1+'Wastewater Criteria'!$C$23)+('Project Tankers'!AZ12*'Wastewater Criteria'!$C$9))*(1+'Wastewater Criteria'!$C$36)</f>
        <v>398.53353074516957</v>
      </c>
      <c r="BA12" s="44">
        <f>(('Project W Pop Connected'!BB12*'Water Demand Criteria'!BE$17/1000)*('Wastewater Criteria'!$C$8+'Wastewater Criteria'!$C$10*'Water Demand Criteria'!BE$56+'Water Demand Criteria'!BE$37*'Wastewater Criteria'!$C$11)*(1+'Wastewater Criteria'!$C$23)+('Project Tankers'!BA12*'Wastewater Criteria'!$C$9))*(1+'Wastewater Criteria'!$C$36)</f>
        <v>407.80960812171509</v>
      </c>
      <c r="BB12" s="44">
        <f>(('Project W Pop Connected'!BC12*'Water Demand Criteria'!BF$17/1000)*('Wastewater Criteria'!$C$8+'Wastewater Criteria'!$C$10*'Water Demand Criteria'!BF$56+'Water Demand Criteria'!BF$37*'Wastewater Criteria'!$C$11)*(1+'Wastewater Criteria'!$C$23)+('Project Tankers'!BB12*'Wastewater Criteria'!$C$9))*(1+'Wastewater Criteria'!$C$36)</f>
        <v>417.30831135529769</v>
      </c>
      <c r="BC12" s="44">
        <f>(('Project W Pop Connected'!BD12*'Water Demand Criteria'!BG$17/1000)*('Wastewater Criteria'!$C$8+'Wastewater Criteria'!$C$10*'Water Demand Criteria'!BG$56+'Water Demand Criteria'!BG$37*'Wastewater Criteria'!$C$11)*(1+'Wastewater Criteria'!$C$23)+('Project Tankers'!BC12*'Wastewater Criteria'!$C$9))*(1+'Wastewater Criteria'!$C$36)</f>
        <v>427.03498346648627</v>
      </c>
      <c r="BD12" s="44">
        <f>(('Project W Pop Connected'!BE12*'Water Demand Criteria'!BH$17/1000)*('Wastewater Criteria'!$C$8+'Wastewater Criteria'!$C$10*'Water Demand Criteria'!BH$56+'Water Demand Criteria'!BH$37*'Wastewater Criteria'!$C$11)*(1+'Wastewater Criteria'!$C$23)+('Project Tankers'!BD12*'Wastewater Criteria'!$C$9))*(1+'Wastewater Criteria'!$C$36)</f>
        <v>436.99509570834329</v>
      </c>
      <c r="BE12" s="44">
        <f>(('Project W Pop Connected'!BF12*'Water Demand Criteria'!BI$17/1000)*('Wastewater Criteria'!$C$8+'Wastewater Criteria'!$C$10*'Water Demand Criteria'!BI$56+'Water Demand Criteria'!BI$37*'Wastewater Criteria'!$C$11)*(1+'Wastewater Criteria'!$C$23)+('Project Tankers'!BE12*'Wastewater Criteria'!$C$9))*(1+'Wastewater Criteria'!$C$36)</f>
        <v>447.19425064400497</v>
      </c>
      <c r="BF12" s="44">
        <f>(('Project W Pop Connected'!BG12*'Water Demand Criteria'!BJ$17/1000)*('Wastewater Criteria'!$C$8+'Wastewater Criteria'!$C$10*'Water Demand Criteria'!BJ$56+'Water Demand Criteria'!BJ$37*'Wastewater Criteria'!$C$11)*(1+'Wastewater Criteria'!$C$23)+('Project Tankers'!BF12*'Wastewater Criteria'!$C$9))*(1+'Wastewater Criteria'!$C$36)</f>
        <v>457.63818529812249</v>
      </c>
      <c r="BG12" s="44">
        <f>(('Project W Pop Connected'!BH12*'Water Demand Criteria'!BK$17/1000)*('Wastewater Criteria'!$C$8+'Wastewater Criteria'!$C$10*'Water Demand Criteria'!BK$56+'Water Demand Criteria'!BK$37*'Wastewater Criteria'!$C$11)*(1+'Wastewater Criteria'!$C$23)+('Project Tankers'!BG12*'Wastewater Criteria'!$C$9))*(1+'Wastewater Criteria'!$C$36)</f>
        <v>468.3327743839389</v>
      </c>
      <c r="BH12" s="44">
        <f>(('Project W Pop Connected'!BI12*'Water Demand Criteria'!BL$17/1000)*('Wastewater Criteria'!$C$8+'Wastewater Criteria'!$C$10*'Water Demand Criteria'!BL$56+'Water Demand Criteria'!BL$37*'Wastewater Criteria'!$C$11)*(1+'Wastewater Criteria'!$C$23)+('Project Tankers'!BH12*'Wastewater Criteria'!$C$9))*(1+'Wastewater Criteria'!$C$36)</f>
        <v>479.28403360781488</v>
      </c>
      <c r="BI12" s="44">
        <f>(('Project W Pop Connected'!BJ12*'Water Demand Criteria'!BM$17/1000)*('Wastewater Criteria'!$C$8+'Wastewater Criteria'!$C$10*'Water Demand Criteria'!BM$56+'Water Demand Criteria'!BM$37*'Wastewater Criteria'!$C$11)*(1+'Wastewater Criteria'!$C$23)+('Project Tankers'!BI12*'Wastewater Criteria'!$C$9))*(1+'Wastewater Criteria'!$C$36)</f>
        <v>490.49812305306392</v>
      </c>
      <c r="BJ12" s="44">
        <f>(('Project W Pop Connected'!BK12*'Water Demand Criteria'!BN$17/1000)*('Wastewater Criteria'!$C$8+'Wastewater Criteria'!$C$10*'Water Demand Criteria'!BN$56+'Water Demand Criteria'!BN$37*'Wastewater Criteria'!$C$11)*(1+'Wastewater Criteria'!$C$23)+('Project Tankers'!BJ12*'Wastewater Criteria'!$C$9))*(1+'Wastewater Criteria'!$C$36)</f>
        <v>501.98135064499888</v>
      </c>
      <c r="BK12" s="44">
        <f>(('Project W Pop Connected'!BL12*'Water Demand Criteria'!BO$17/1000)*('Wastewater Criteria'!$C$8+'Wastewater Criteria'!$C$10*'Water Demand Criteria'!BO$56+'Water Demand Criteria'!BO$37*'Wastewater Criteria'!$C$11)*(1+'Wastewater Criteria'!$C$23)+('Project Tankers'!BK12*'Wastewater Criteria'!$C$9))*(1+'Wastewater Criteria'!$C$36)</f>
        <v>513.7401756991402</v>
      </c>
      <c r="BL12" s="44">
        <f>(('Project W Pop Connected'!BM12*'Water Demand Criteria'!BP$17/1000)*('Wastewater Criteria'!$C$8+'Wastewater Criteria'!$C$10*'Water Demand Criteria'!BP$56+'Water Demand Criteria'!BP$37*'Wastewater Criteria'!$C$11)*(1+'Wastewater Criteria'!$C$23)+('Project Tankers'!BL12*'Wastewater Criteria'!$C$9))*(1+'Wastewater Criteria'!$C$36)</f>
        <v>525.78121255458097</v>
      </c>
      <c r="BM12" s="44">
        <f>(('Project W Pop Connected'!BN12*'Water Demand Criteria'!BQ$17/1000)*('Wastewater Criteria'!$C$8+'Wastewater Criteria'!$C$10*'Water Demand Criteria'!BQ$56+'Water Demand Criteria'!BQ$37*'Wastewater Criteria'!$C$11)*(1+'Wastewater Criteria'!$C$23)+('Project Tankers'!BM12*'Wastewater Criteria'!$C$9))*(1+'Wastewater Criteria'!$C$36)</f>
        <v>538.11123429455233</v>
      </c>
      <c r="BN12" s="44">
        <f>(('Project W Pop Connected'!BO12*'Water Demand Criteria'!BR$17/1000)*('Wastewater Criteria'!$C$8+'Wastewater Criteria'!$C$10*'Water Demand Criteria'!BR$56+'Water Demand Criteria'!BR$37*'Wastewater Criteria'!$C$11)*(1+'Wastewater Criteria'!$C$23)+('Project Tankers'!BN12*'Wastewater Criteria'!$C$9))*(1+'Wastewater Criteria'!$C$36)</f>
        <v>550.73717655628309</v>
      </c>
      <c r="BO12" s="44">
        <f>(('Project W Pop Connected'!BP12*'Water Demand Criteria'!BS$17/1000)*('Wastewater Criteria'!$C$8+'Wastewater Criteria'!$C$10*'Water Demand Criteria'!BS$56+'Water Demand Criteria'!BS$37*'Wastewater Criteria'!$C$11)*(1+'Wastewater Criteria'!$C$23)+('Project Tankers'!BO12*'Wastewater Criteria'!$C$9))*(1+'Wastewater Criteria'!$C$36)</f>
        <v>563.66614143229526</v>
      </c>
      <c r="BP12" s="44">
        <f>(('Project W Pop Connected'!BQ12*'Water Demand Criteria'!BT$17/1000)*('Wastewater Criteria'!$C$8+'Wastewater Criteria'!$C$10*'Water Demand Criteria'!BT$56+'Water Demand Criteria'!BT$37*'Wastewater Criteria'!$C$11)*(1+'Wastewater Criteria'!$C$23)+('Project Tankers'!BP12*'Wastewater Criteria'!$C$9))*(1+'Wastewater Criteria'!$C$36)</f>
        <v>576.90540146533181</v>
      </c>
      <c r="BQ12" s="44">
        <f>(('Project W Pop Connected'!BR12*'Water Demand Criteria'!BU$17/1000)*('Wastewater Criteria'!$C$8+'Wastewater Criteria'!$C$10*'Water Demand Criteria'!BU$56+'Water Demand Criteria'!BU$37*'Wastewater Criteria'!$C$11)*(1+'Wastewater Criteria'!$C$23)+('Project Tankers'!BQ12*'Wastewater Criteria'!$C$9))*(1+'Wastewater Criteria'!$C$36)</f>
        <v>590.46240373916112</v>
      </c>
      <c r="BR12" s="44">
        <f>(('Project W Pop Connected'!BS12*'Water Demand Criteria'!BV$17/1000)*('Wastewater Criteria'!$C$8+'Wastewater Criteria'!$C$10*'Water Demand Criteria'!BV$56+'Water Demand Criteria'!BV$37*'Wastewater Criteria'!$C$11)*(1+'Wastewater Criteria'!$C$23)+('Project Tankers'!BR12*'Wastewater Criteria'!$C$9))*(1+'Wastewater Criteria'!$C$36)</f>
        <v>604.34477406756241</v>
      </c>
      <c r="BS12" s="44">
        <f>(('Project W Pop Connected'!BT12*'Water Demand Criteria'!BW$17/1000)*('Wastewater Criteria'!$C$8+'Wastewater Criteria'!$C$10*'Water Demand Criteria'!BW$56+'Water Demand Criteria'!BW$37*'Wastewater Criteria'!$C$11)*(1+'Wastewater Criteria'!$C$23)+('Project Tankers'!BS12*'Wastewater Criteria'!$C$9))*(1+'Wastewater Criteria'!$C$36)</f>
        <v>618.56032128384538</v>
      </c>
      <c r="BT12" s="44">
        <f>(('Project W Pop Connected'!BU12*'Water Demand Criteria'!BX$17/1000)*('Wastewater Criteria'!$C$8+'Wastewater Criteria'!$C$10*'Water Demand Criteria'!BX$56+'Water Demand Criteria'!BX$37*'Wastewater Criteria'!$C$11)*(1+'Wastewater Criteria'!$C$23)+('Project Tankers'!BT12*'Wastewater Criteria'!$C$9))*(1+'Wastewater Criteria'!$C$36)</f>
        <v>633.11704163331922</v>
      </c>
      <c r="BU12" s="44">
        <f>(('Project W Pop Connected'!BV12*'Water Demand Criteria'!BY$17/1000)*('Wastewater Criteria'!$C$8+'Wastewater Criteria'!$C$10*'Water Demand Criteria'!BY$56+'Water Demand Criteria'!BY$37*'Wastewater Criteria'!$C$11)*(1+'Wastewater Criteria'!$C$23)+('Project Tankers'!BU12*'Wastewater Criteria'!$C$9))*(1+'Wastewater Criteria'!$C$36)</f>
        <v>648.02312327118022</v>
      </c>
      <c r="BV12" s="44">
        <f>(('Project W Pop Connected'!BW12*'Water Demand Criteria'!BZ$17/1000)*('Wastewater Criteria'!$C$8+'Wastewater Criteria'!$C$10*'Water Demand Criteria'!BZ$56+'Water Demand Criteria'!BZ$37*'Wastewater Criteria'!$C$11)*(1+'Wastewater Criteria'!$C$23)+('Project Tankers'!BV12*'Wastewater Criteria'!$C$9))*(1+'Wastewater Criteria'!$C$36)</f>
        <v>663.28695086835012</v>
      </c>
      <c r="BW12" s="44">
        <f>(('Project W Pop Connected'!BX12*'Water Demand Criteria'!CA$17/1000)*('Wastewater Criteria'!$C$8+'Wastewater Criteria'!$C$10*'Water Demand Criteria'!CA$56+'Water Demand Criteria'!CA$37*'Wastewater Criteria'!$C$11)*(1+'Wastewater Criteria'!$C$23)+('Project Tankers'!BW12*'Wastewater Criteria'!$C$9))*(1+'Wastewater Criteria'!$C$36)</f>
        <v>678.91711032785213</v>
      </c>
      <c r="BX12" s="44">
        <f>(('Project W Pop Connected'!BY12*'Water Demand Criteria'!CB$17/1000)*('Wastewater Criteria'!$C$8+'Wastewater Criteria'!$C$10*'Water Demand Criteria'!CB$56+'Water Demand Criteria'!CB$37*'Wastewater Criteria'!$C$11)*(1+'Wastewater Criteria'!$C$23)+('Project Tankers'!BX12*'Wastewater Criteria'!$C$9))*(1+'Wastewater Criteria'!$C$36)</f>
        <v>694.9223936143818</v>
      </c>
      <c r="BY12" s="44">
        <f>(('Project W Pop Connected'!BZ12*'Water Demand Criteria'!CC$17/1000)*('Wastewater Criteria'!$C$8+'Wastewater Criteria'!$C$10*'Water Demand Criteria'!CC$56+'Water Demand Criteria'!CC$37*'Wastewater Criteria'!$C$11)*(1+'Wastewater Criteria'!$C$23)+('Project Tankers'!BY12*'Wastewater Criteria'!$C$9))*(1+'Wastewater Criteria'!$C$36)</f>
        <v>711.31180369978858</v>
      </c>
      <c r="BZ12" s="44">
        <f>(('Project W Pop Connected'!CA12*'Water Demand Criteria'!CD$17/1000)*('Wastewater Criteria'!$C$8+'Wastewater Criteria'!$C$10*'Water Demand Criteria'!CD$56+'Water Demand Criteria'!CD$37*'Wastewater Criteria'!$C$11)*(1+'Wastewater Criteria'!$C$23)+('Project Tankers'!BZ12*'Wastewater Criteria'!$C$9))*(1+'Wastewater Criteria'!$C$36)</f>
        <v>728.09455962724496</v>
      </c>
      <c r="CA12" s="44">
        <f>(('Project W Pop Connected'!CB12*'Water Demand Criteria'!CE$17/1000)*('Wastewater Criteria'!$C$8+'Wastewater Criteria'!$C$10*'Water Demand Criteria'!CE$56+'Water Demand Criteria'!CE$37*'Wastewater Criteria'!$C$11)*(1+'Wastewater Criteria'!$C$23)+('Project Tankers'!CA12*'Wastewater Criteria'!$C$9))*(1+'Wastewater Criteria'!$C$36)</f>
        <v>745.28010169696017</v>
      </c>
    </row>
    <row r="13" spans="1:79" x14ac:dyDescent="0.25">
      <c r="A13" s="33">
        <v>12</v>
      </c>
      <c r="B13" s="36" t="s">
        <v>38</v>
      </c>
      <c r="C13" s="34">
        <f>(('Project W Pop Connected'!D13*'Water Demand Criteria'!G$17/1000)*('Wastewater Criteria'!$C$8+'Wastewater Criteria'!$C$10*'Water Demand Criteria'!G$56+'Water Demand Criteria'!G$37*'Wastewater Criteria'!$C$11)*(1+'Wastewater Criteria'!$C$23)+('Project Tankers'!C13*'Wastewater Criteria'!$C$9))*(1+'Wastewater Criteria'!$C$36)</f>
        <v>454.95072506847862</v>
      </c>
      <c r="D13" s="34">
        <f>(('Project W Pop Connected'!E13*'Water Demand Criteria'!H$17/1000)*('Wastewater Criteria'!$C$8+'Wastewater Criteria'!$C$10*'Water Demand Criteria'!H$56+'Water Demand Criteria'!H$37*'Wastewater Criteria'!$C$11)*(1+'Wastewater Criteria'!$C$23)+('Project Tankers'!D13*'Wastewater Criteria'!$C$9))*(1+'Wastewater Criteria'!$C$36)</f>
        <v>484.78033455355876</v>
      </c>
      <c r="E13" s="34">
        <f>(('Project W Pop Connected'!F13*'Water Demand Criteria'!I$17/1000)*('Wastewater Criteria'!$C$8+'Wastewater Criteria'!$C$10*'Water Demand Criteria'!I$56+'Water Demand Criteria'!I$37*'Wastewater Criteria'!$C$11)*(1+'Wastewater Criteria'!$C$23)+('Project Tankers'!E13*'Wastewater Criteria'!$C$9))*(1+'Wastewater Criteria'!$C$36)</f>
        <v>517.31562342489576</v>
      </c>
      <c r="F13" s="34">
        <f>(('Project W Pop Connected'!G13*'Water Demand Criteria'!J$17/1000)*('Wastewater Criteria'!$C$8+'Wastewater Criteria'!$C$10*'Water Demand Criteria'!J$56+'Water Demand Criteria'!J$37*'Wastewater Criteria'!$C$11)*(1+'Wastewater Criteria'!$C$23)+('Project Tankers'!F13*'Wastewater Criteria'!$C$9))*(1+'Wastewater Criteria'!$C$36)</f>
        <v>551.16380275573943</v>
      </c>
      <c r="G13" s="34">
        <f>(('Project W Pop Connected'!H13*'Water Demand Criteria'!K$17/1000)*('Wastewater Criteria'!$C$8+'Wastewater Criteria'!$C$10*'Water Demand Criteria'!K$56+'Water Demand Criteria'!K$37*'Wastewater Criteria'!$C$11)*(1+'Wastewater Criteria'!$C$23)+('Project Tankers'!G13*'Wastewater Criteria'!$C$9))*(1+'Wastewater Criteria'!$C$36)</f>
        <v>586.38204833212001</v>
      </c>
      <c r="H13" s="34">
        <f>(('Project W Pop Connected'!I13*'Water Demand Criteria'!L$17/1000)*('Wastewater Criteria'!$C$8+'Wastewater Criteria'!$C$10*'Water Demand Criteria'!L$56+'Water Demand Criteria'!L$37*'Wastewater Criteria'!$C$11)*(1+'Wastewater Criteria'!$C$23)+('Project Tankers'!H13*'Wastewater Criteria'!$C$9))*(1+'Wastewater Criteria'!$C$36)</f>
        <v>623.00434722212356</v>
      </c>
      <c r="I13" s="34">
        <f>(('Project W Pop Connected'!J13*'Water Demand Criteria'!M$17/1000)*('Wastewater Criteria'!$C$8+'Wastewater Criteria'!$C$10*'Water Demand Criteria'!M$56+'Water Demand Criteria'!M$37*'Wastewater Criteria'!$C$11)*(1+'Wastewater Criteria'!$C$23)+('Project Tankers'!I13*'Wastewater Criteria'!$C$9))*(1+'Wastewater Criteria'!$C$36)</f>
        <v>658.54340064551968</v>
      </c>
      <c r="J13" s="34">
        <f>(('Project W Pop Connected'!K13*'Water Demand Criteria'!N$17/1000)*('Wastewater Criteria'!$C$8+'Wastewater Criteria'!$C$10*'Water Demand Criteria'!N$56+'Water Demand Criteria'!N$37*'Wastewater Criteria'!$C$11)*(1+'Wastewater Criteria'!$C$23)+('Project Tankers'!J13*'Wastewater Criteria'!$C$9))*(1+'Wastewater Criteria'!$C$36)</f>
        <v>697.86681368744439</v>
      </c>
      <c r="K13" s="34">
        <f>(('Project W Pop Connected'!L13*'Water Demand Criteria'!O$17/1000)*('Wastewater Criteria'!$C$8+'Wastewater Criteria'!$C$10*'Water Demand Criteria'!O$56+'Water Demand Criteria'!O$37*'Wastewater Criteria'!$C$11)*(1+'Wastewater Criteria'!$C$23)+('Project Tankers'!K13*'Wastewater Criteria'!$C$9))*(1+'Wastewater Criteria'!$C$36)</f>
        <v>738.72252555959892</v>
      </c>
      <c r="L13" s="34">
        <f>(('Project W Pop Connected'!M13*'Water Demand Criteria'!P$17/1000)*('Wastewater Criteria'!$C$8+'Wastewater Criteria'!$C$10*'Water Demand Criteria'!P$56+'Water Demand Criteria'!P$37*'Wastewater Criteria'!$C$11)*(1+'Wastewater Criteria'!$C$23)+('Project Tankers'!L13*'Wastewater Criteria'!$C$9))*(1+'Wastewater Criteria'!$C$36)</f>
        <v>772.35940545268352</v>
      </c>
      <c r="M13" s="34">
        <f>(('Project W Pop Connected'!N13*'Water Demand Criteria'!Q$17/1000)*('Wastewater Criteria'!$C$8+'Wastewater Criteria'!$C$10*'Water Demand Criteria'!Q$56+'Water Demand Criteria'!Q$37*'Wastewater Criteria'!$C$11)*(1+'Wastewater Criteria'!$C$23)+('Project Tankers'!M13*'Wastewater Criteria'!$C$9))*(1+'Wastewater Criteria'!$C$36)</f>
        <v>825.38570298441994</v>
      </c>
      <c r="N13" s="34">
        <f>(('Project W Pop Connected'!O13*'Water Demand Criteria'!R$17/1000)*('Wastewater Criteria'!$C$8+'Wastewater Criteria'!$C$10*'Water Demand Criteria'!R$56+'Water Demand Criteria'!R$37*'Wastewater Criteria'!$C$11)*(1+'Wastewater Criteria'!$C$23)+('Project Tankers'!N13*'Wastewater Criteria'!$C$9))*(1+'Wastewater Criteria'!$C$36)</f>
        <v>867.64654694989849</v>
      </c>
      <c r="O13" s="34">
        <f>(('Project W Pop Connected'!P13*'Water Demand Criteria'!S$17/1000)*('Wastewater Criteria'!$C$8+'Wastewater Criteria'!$C$10*'Water Demand Criteria'!S$56+'Water Demand Criteria'!S$37*'Wastewater Criteria'!$C$11)*(1+'Wastewater Criteria'!$C$23)+('Project Tankers'!O13*'Wastewater Criteria'!$C$9))*(1+'Wastewater Criteria'!$C$36)</f>
        <v>888.16267852517592</v>
      </c>
      <c r="P13" s="34">
        <f>(('Project W Pop Connected'!Q13*'Water Demand Criteria'!T$17/1000)*('Wastewater Criteria'!$C$8+'Wastewater Criteria'!$C$10*'Water Demand Criteria'!T$56+'Water Demand Criteria'!T$37*'Wastewater Criteria'!$C$11)*(1+'Wastewater Criteria'!$C$23)+('Project Tankers'!P13*'Wastewater Criteria'!$C$9))*(1+'Wastewater Criteria'!$C$36)</f>
        <v>909.48787845048855</v>
      </c>
      <c r="Q13" s="34">
        <f>(('Project W Pop Connected'!R13*'Water Demand Criteria'!U$17/1000)*('Wastewater Criteria'!$C$8+'Wastewater Criteria'!$C$10*'Water Demand Criteria'!U$56+'Water Demand Criteria'!U$37*'Wastewater Criteria'!$C$11)*(1+'Wastewater Criteria'!$C$23)+('Project Tankers'!Q13*'Wastewater Criteria'!$C$9))*(1+'Wastewater Criteria'!$C$36)</f>
        <v>931.56294660266235</v>
      </c>
      <c r="R13" s="34">
        <f>(('Project W Pop Connected'!S13*'Water Demand Criteria'!V$17/1000)*('Wastewater Criteria'!$C$8+'Wastewater Criteria'!$C$10*'Water Demand Criteria'!V$56+'Water Demand Criteria'!V$37*'Wastewater Criteria'!$C$11)*(1+'Wastewater Criteria'!$C$23)+('Project Tankers'!R13*'Wastewater Criteria'!$C$9))*(1+'Wastewater Criteria'!$C$36)</f>
        <v>954.58521672560914</v>
      </c>
      <c r="S13" s="34">
        <f>(('Project W Pop Connected'!T13*'Water Demand Criteria'!W$17/1000)*('Wastewater Criteria'!$C$8+'Wastewater Criteria'!$C$10*'Water Demand Criteria'!W$56+'Water Demand Criteria'!W$37*'Wastewater Criteria'!$C$11)*(1+'Wastewater Criteria'!$C$23)+('Project Tankers'!S13*'Wastewater Criteria'!$C$9))*(1+'Wastewater Criteria'!$C$36)</f>
        <v>973.74961215509643</v>
      </c>
      <c r="T13" s="34">
        <f>(('Project W Pop Connected'!U13*'Water Demand Criteria'!X$17/1000)*('Wastewater Criteria'!$C$8+'Wastewater Criteria'!$C$10*'Water Demand Criteria'!X$56+'Water Demand Criteria'!X$37*'Wastewater Criteria'!$C$11)*(1+'Wastewater Criteria'!$C$23)+('Project Tankers'!T13*'Wastewater Criteria'!$C$9))*(1+'Wastewater Criteria'!$C$36)</f>
        <v>990.92327935089816</v>
      </c>
      <c r="U13" s="34">
        <f>(('Project W Pop Connected'!V13*'Water Demand Criteria'!Y$17/1000)*('Wastewater Criteria'!$C$8+'Wastewater Criteria'!$C$10*'Water Demand Criteria'!Y$56+'Water Demand Criteria'!Y$37*'Wastewater Criteria'!$C$11)*(1+'Wastewater Criteria'!$C$23)+('Project Tankers'!U13*'Wastewater Criteria'!$C$9))*(1+'Wastewater Criteria'!$C$36)</f>
        <v>1008.8809957812207</v>
      </c>
      <c r="V13" s="34">
        <f>(('Project W Pop Connected'!W13*'Water Demand Criteria'!Z$17/1000)*('Wastewater Criteria'!$C$8+'Wastewater Criteria'!$C$10*'Water Demand Criteria'!Z$56+'Water Demand Criteria'!Z$37*'Wastewater Criteria'!$C$11)*(1+'Wastewater Criteria'!$C$23)+('Project Tankers'!V13*'Wastewater Criteria'!$C$9))*(1+'Wastewater Criteria'!$C$36)</f>
        <v>1027.3977531204998</v>
      </c>
      <c r="W13" s="34">
        <f>(('Project W Pop Connected'!X13*'Water Demand Criteria'!AA$17/1000)*('Wastewater Criteria'!$C$8+'Wastewater Criteria'!$C$10*'Water Demand Criteria'!AA$56+'Water Demand Criteria'!AA$37*'Wastewater Criteria'!$C$11)*(1+'Wastewater Criteria'!$C$23)+('Project Tankers'!W13*'Wastewater Criteria'!$C$9))*(1+'Wastewater Criteria'!$C$36)</f>
        <v>1046.5120236780594</v>
      </c>
      <c r="X13" s="34">
        <f>(('Project W Pop Connected'!Y13*'Water Demand Criteria'!AB$17/1000)*('Wastewater Criteria'!$C$8+'Wastewater Criteria'!$C$10*'Water Demand Criteria'!AB$56+'Water Demand Criteria'!AB$37*'Wastewater Criteria'!$C$11)*(1+'Wastewater Criteria'!$C$23)+('Project Tankers'!X13*'Wastewater Criteria'!$C$9))*(1+'Wastewater Criteria'!$C$36)</f>
        <v>1066.2622797637762</v>
      </c>
      <c r="Y13" s="34">
        <f>(('Project W Pop Connected'!Z13*'Water Demand Criteria'!AC$17/1000)*('Wastewater Criteria'!$C$8+'Wastewater Criteria'!$C$10*'Water Demand Criteria'!AC$56+'Water Demand Criteria'!AC$37*'Wastewater Criteria'!$C$11)*(1+'Wastewater Criteria'!$C$23)+('Project Tankers'!Y13*'Wastewater Criteria'!$C$9))*(1+'Wastewater Criteria'!$C$36)</f>
        <v>1086.6869937174047</v>
      </c>
      <c r="Z13" s="34">
        <f>(('Project W Pop Connected'!AA13*'Water Demand Criteria'!AD$17/1000)*('Wastewater Criteria'!$C$8+'Wastewater Criteria'!$C$10*'Water Demand Criteria'!AD$56+'Water Demand Criteria'!AD$37*'Wastewater Criteria'!$C$11)*(1+'Wastewater Criteria'!$C$23)+('Project Tankers'!Z13*'Wastewater Criteria'!$C$9))*(1+'Wastewater Criteria'!$C$36)</f>
        <v>1107.8246378280539</v>
      </c>
      <c r="AA13" s="34">
        <f>(('Project W Pop Connected'!AB13*'Water Demand Criteria'!AE$17/1000)*('Wastewater Criteria'!$C$8+'Wastewater Criteria'!$C$10*'Water Demand Criteria'!AE$56+'Water Demand Criteria'!AE$37*'Wastewater Criteria'!$C$11)*(1+'Wastewater Criteria'!$C$23)+('Project Tankers'!AA13*'Wastewater Criteria'!$C$9))*(1+'Wastewater Criteria'!$C$36)</f>
        <v>1129.7136844683262</v>
      </c>
      <c r="AB13" s="34">
        <f>(('Project W Pop Connected'!AC13*'Water Demand Criteria'!AF$17/1000)*('Wastewater Criteria'!$C$8+'Wastewater Criteria'!$C$10*'Water Demand Criteria'!AF$56+'Water Demand Criteria'!AF$37*'Wastewater Criteria'!$C$11)*(1+'Wastewater Criteria'!$C$23)+('Project Tankers'!AB13*'Wastewater Criteria'!$C$9))*(1+'Wastewater Criteria'!$C$36)</f>
        <v>1152.3926058984023</v>
      </c>
      <c r="AC13" s="34">
        <f>(('Project W Pop Connected'!AD13*'Water Demand Criteria'!AG$17/1000)*('Wastewater Criteria'!$C$8+'Wastewater Criteria'!$C$10*'Water Demand Criteria'!AG$56+'Water Demand Criteria'!AG$37*'Wastewater Criteria'!$C$11)*(1+'Wastewater Criteria'!$C$23)+('Project Tankers'!AC13*'Wastewater Criteria'!$C$9))*(1+'Wastewater Criteria'!$C$36)</f>
        <v>1175.899874510191</v>
      </c>
      <c r="AD13" s="44">
        <f>(('Project W Pop Connected'!AE13*'Water Demand Criteria'!AH$17/1000)*('Wastewater Criteria'!$C$8+'Wastewater Criteria'!$C$10*'Water Demand Criteria'!AH$56+'Water Demand Criteria'!AH$37*'Wastewater Criteria'!$C$11)*(1+'Wastewater Criteria'!$C$23)+('Project Tankers'!AD13*'Wastewater Criteria'!$C$9))*(1+'Wastewater Criteria'!$C$36)</f>
        <v>1214.3344643649662</v>
      </c>
      <c r="AE13" s="44">
        <f>(('Project W Pop Connected'!AF13*'Water Demand Criteria'!AI$17/1000)*('Wastewater Criteria'!$C$8+'Wastewater Criteria'!$C$10*'Water Demand Criteria'!AI$56+'Water Demand Criteria'!AI$37*'Wastewater Criteria'!$C$11)*(1+'Wastewater Criteria'!$C$23)+('Project Tankers'!AE13*'Wastewater Criteria'!$C$9))*(1+'Wastewater Criteria'!$C$36)</f>
        <v>1254.2755845137592</v>
      </c>
      <c r="AF13" s="44">
        <f>(('Project W Pop Connected'!AG13*'Water Demand Criteria'!AJ$17/1000)*('Wastewater Criteria'!$C$8+'Wastewater Criteria'!$C$10*'Water Demand Criteria'!AJ$56+'Water Demand Criteria'!AJ$37*'Wastewater Criteria'!$C$11)*(1+'Wastewater Criteria'!$C$23)+('Project Tankers'!AF13*'Wastewater Criteria'!$C$9))*(1+'Wastewater Criteria'!$C$36)</f>
        <v>1295.7918557811745</v>
      </c>
      <c r="AG13" s="44">
        <f>(('Project W Pop Connected'!AH13*'Water Demand Criteria'!AK$17/1000)*('Wastewater Criteria'!$C$8+'Wastewater Criteria'!$C$10*'Water Demand Criteria'!AK$56+'Water Demand Criteria'!AK$37*'Wastewater Criteria'!$C$11)*(1+'Wastewater Criteria'!$C$23)+('Project Tankers'!AG13*'Wastewater Criteria'!$C$9))*(1+'Wastewater Criteria'!$C$36)</f>
        <v>1338.9552831332833</v>
      </c>
      <c r="AH13" s="44">
        <f>(('Project W Pop Connected'!AI13*'Water Demand Criteria'!AL$17/1000)*('Wastewater Criteria'!$C$8+'Wastewater Criteria'!$C$10*'Water Demand Criteria'!AL$56+'Water Demand Criteria'!AL$37*'Wastewater Criteria'!$C$11)*(1+'Wastewater Criteria'!$C$23)+('Project Tankers'!AH13*'Wastewater Criteria'!$C$9))*(1+'Wastewater Criteria'!$C$36)</f>
        <v>1383.8414375730874</v>
      </c>
      <c r="AI13" s="44">
        <f>(('Project W Pop Connected'!AJ13*'Water Demand Criteria'!AM$17/1000)*('Wastewater Criteria'!$C$8+'Wastewater Criteria'!$C$10*'Water Demand Criteria'!AM$56+'Water Demand Criteria'!AM$37*'Wastewater Criteria'!$C$11)*(1+'Wastewater Criteria'!$C$23)+('Project Tankers'!AI13*'Wastewater Criteria'!$C$9))*(1+'Wastewater Criteria'!$C$36)</f>
        <v>1430.5296484329508</v>
      </c>
      <c r="AJ13" s="44">
        <f>(('Project W Pop Connected'!AK13*'Water Demand Criteria'!AN$17/1000)*('Wastewater Criteria'!$C$8+'Wastewater Criteria'!$C$10*'Water Demand Criteria'!AN$56+'Water Demand Criteria'!AN$37*'Wastewater Criteria'!$C$11)*(1+'Wastewater Criteria'!$C$23)+('Project Tankers'!AJ13*'Wastewater Criteria'!$C$9))*(1+'Wastewater Criteria'!$C$36)</f>
        <v>1479.1032066954981</v>
      </c>
      <c r="AK13" s="44">
        <f>(('Project W Pop Connected'!AL13*'Water Demand Criteria'!AO$17/1000)*('Wastewater Criteria'!$C$8+'Wastewater Criteria'!$C$10*'Water Demand Criteria'!AO$56+'Water Demand Criteria'!AO$37*'Wastewater Criteria'!$C$11)*(1+'Wastewater Criteria'!$C$23)+('Project Tankers'!AK13*'Wastewater Criteria'!$C$9))*(1+'Wastewater Criteria'!$C$36)</f>
        <v>1529.3819155810349</v>
      </c>
      <c r="AL13" s="44">
        <f>(('Project W Pop Connected'!AM13*'Water Demand Criteria'!AP$17/1000)*('Wastewater Criteria'!$C$8+'Wastewater Criteria'!$C$10*'Water Demand Criteria'!AP$56+'Water Demand Criteria'!AP$37*'Wastewater Criteria'!$C$11)*(1+'Wastewater Criteria'!$C$23)+('Project Tankers'!AL13*'Wastewater Criteria'!$C$9))*(1+'Wastewater Criteria'!$C$36)</f>
        <v>1581.2643731037233</v>
      </c>
      <c r="AM13" s="44">
        <f>(('Project W Pop Connected'!AN13*'Water Demand Criteria'!AQ$17/1000)*('Wastewater Criteria'!$C$8+'Wastewater Criteria'!$C$10*'Water Demand Criteria'!AQ$56+'Water Demand Criteria'!AQ$37*'Wastewater Criteria'!$C$11)*(1+'Wastewater Criteria'!$C$23)+('Project Tankers'!AM13*'Wastewater Criteria'!$C$9))*(1+'Wastewater Criteria'!$C$36)</f>
        <v>1634.7985986618276</v>
      </c>
      <c r="AN13" s="44">
        <f>(('Project W Pop Connected'!AO13*'Water Demand Criteria'!AR$17/1000)*('Wastewater Criteria'!$C$8+'Wastewater Criteria'!$C$10*'Water Demand Criteria'!AR$56+'Water Demand Criteria'!AR$37*'Wastewater Criteria'!$C$11)*(1+'Wastewater Criteria'!$C$23)+('Project Tankers'!AN13*'Wastewater Criteria'!$C$9))*(1+'Wastewater Criteria'!$C$36)</f>
        <v>1690.033992825515</v>
      </c>
      <c r="AO13" s="44">
        <f>(('Project W Pop Connected'!AP13*'Water Demand Criteria'!AS$17/1000)*('Wastewater Criteria'!$C$8+'Wastewater Criteria'!$C$10*'Water Demand Criteria'!AS$56+'Water Demand Criteria'!AS$37*'Wastewater Criteria'!$C$11)*(1+'Wastewater Criteria'!$C$23)+('Project Tankers'!AO13*'Wastewater Criteria'!$C$9))*(1+'Wastewater Criteria'!$C$36)</f>
        <v>1747.0213759739324</v>
      </c>
      <c r="AP13" s="44">
        <f>(('Project W Pop Connected'!AQ13*'Water Demand Criteria'!AT$17/1000)*('Wastewater Criteria'!$C$8+'Wastewater Criteria'!$C$10*'Water Demand Criteria'!AT$56+'Water Demand Criteria'!AT$37*'Wastewater Criteria'!$C$11)*(1+'Wastewater Criteria'!$C$23)+('Project Tankers'!AP13*'Wastewater Criteria'!$C$9))*(1+'Wastewater Criteria'!$C$36)</f>
        <v>1805.8130279913075</v>
      </c>
      <c r="AQ13" s="44">
        <f>(('Project W Pop Connected'!AR13*'Water Demand Criteria'!AU$17/1000)*('Wastewater Criteria'!$C$8+'Wastewater Criteria'!$C$10*'Water Demand Criteria'!AU$56+'Water Demand Criteria'!AU$37*'Wastewater Criteria'!$C$11)*(1+'Wastewater Criteria'!$C$23)+('Project Tankers'!AQ13*'Wastewater Criteria'!$C$9))*(1+'Wastewater Criteria'!$C$36)</f>
        <v>1866.4627290506576</v>
      </c>
      <c r="AR13" s="44">
        <f>(('Project W Pop Connected'!AS13*'Water Demand Criteria'!AV$17/1000)*('Wastewater Criteria'!$C$8+'Wastewater Criteria'!$C$10*'Water Demand Criteria'!AV$56+'Water Demand Criteria'!AV$37*'Wastewater Criteria'!$C$11)*(1+'Wastewater Criteria'!$C$23)+('Project Tankers'!AR13*'Wastewater Criteria'!$C$9))*(1+'Wastewater Criteria'!$C$36)</f>
        <v>1929.0258015144354</v>
      </c>
      <c r="AS13" s="44">
        <f>(('Project W Pop Connected'!AT13*'Water Demand Criteria'!AW$17/1000)*('Wastewater Criteria'!$C$8+'Wastewater Criteria'!$C$10*'Water Demand Criteria'!AW$56+'Water Demand Criteria'!AW$37*'Wastewater Criteria'!$C$11)*(1+'Wastewater Criteria'!$C$23)+('Project Tankers'!AS13*'Wastewater Criteria'!$C$9))*(1+'Wastewater Criteria'!$C$36)</f>
        <v>1993.5591529822441</v>
      </c>
      <c r="AT13" s="44">
        <f>(('Project W Pop Connected'!AU13*'Water Demand Criteria'!AX$17/1000)*('Wastewater Criteria'!$C$8+'Wastewater Criteria'!$C$10*'Water Demand Criteria'!AX$56+'Water Demand Criteria'!AX$37*'Wastewater Criteria'!$C$11)*(1+'Wastewater Criteria'!$C$23)+('Project Tankers'!AT13*'Wastewater Criteria'!$C$9))*(1+'Wastewater Criteria'!$C$36)</f>
        <v>2060.1213205165359</v>
      </c>
      <c r="AU13" s="44">
        <f>(('Project W Pop Connected'!AV13*'Water Demand Criteria'!AY$17/1000)*('Wastewater Criteria'!$C$8+'Wastewater Criteria'!$C$10*'Water Demand Criteria'!AY$56+'Water Demand Criteria'!AY$37*'Wastewater Criteria'!$C$11)*(1+'Wastewater Criteria'!$C$23)+('Project Tankers'!AU13*'Wastewater Criteria'!$C$9))*(1+'Wastewater Criteria'!$C$36)</f>
        <v>2128.7725160780583</v>
      </c>
      <c r="AV13" s="44">
        <f>(('Project W Pop Connected'!AW13*'Water Demand Criteria'!AZ$17/1000)*('Wastewater Criteria'!$C$8+'Wastewater Criteria'!$C$10*'Water Demand Criteria'!AZ$56+'Water Demand Criteria'!AZ$37*'Wastewater Criteria'!$C$11)*(1+'Wastewater Criteria'!$C$23)+('Project Tankers'!AV13*'Wastewater Criteria'!$C$9))*(1+'Wastewater Criteria'!$C$36)</f>
        <v>2199.5746732036191</v>
      </c>
      <c r="AW13" s="44">
        <f>(('Project W Pop Connected'!AX13*'Water Demand Criteria'!BA$17/1000)*('Wastewater Criteria'!$C$8+'Wastewater Criteria'!$C$10*'Water Demand Criteria'!BA$56+'Water Demand Criteria'!BA$37*'Wastewater Criteria'!$C$11)*(1+'Wastewater Criteria'!$C$23)+('Project Tankers'!AW13*'Wastewater Criteria'!$C$9))*(1+'Wastewater Criteria'!$C$36)</f>
        <v>2272.5914949596463</v>
      </c>
      <c r="AX13" s="44">
        <f>(('Project W Pop Connected'!AY13*'Water Demand Criteria'!BB$17/1000)*('Wastewater Criteria'!$C$8+'Wastewater Criteria'!$C$10*'Water Demand Criteria'!BB$56+'Water Demand Criteria'!BB$37*'Wastewater Criteria'!$C$11)*(1+'Wastewater Criteria'!$C$23)+('Project Tankers'!AX13*'Wastewater Criteria'!$C$9))*(1+'Wastewater Criteria'!$C$36)</f>
        <v>2325.3697717677683</v>
      </c>
      <c r="AY13" s="44">
        <f>(('Project W Pop Connected'!AZ13*'Water Demand Criteria'!BC$17/1000)*('Wastewater Criteria'!$C$8+'Wastewater Criteria'!$C$10*'Water Demand Criteria'!BC$56+'Water Demand Criteria'!BC$37*'Wastewater Criteria'!$C$11)*(1+'Wastewater Criteria'!$C$23)+('Project Tankers'!AY13*'Wastewater Criteria'!$C$9))*(1+'Wastewater Criteria'!$C$36)</f>
        <v>2379.4147272192845</v>
      </c>
      <c r="AZ13" s="44">
        <f>(('Project W Pop Connected'!BA13*'Water Demand Criteria'!BD$17/1000)*('Wastewater Criteria'!$C$8+'Wastewater Criteria'!$C$10*'Water Demand Criteria'!BD$56+'Water Demand Criteria'!BD$37*'Wastewater Criteria'!$C$11)*(1+'Wastewater Criteria'!$C$23)+('Project Tankers'!AZ13*'Wastewater Criteria'!$C$9))*(1+'Wastewater Criteria'!$C$36)</f>
        <v>2434.7567616016377</v>
      </c>
      <c r="BA13" s="44">
        <f>(('Project W Pop Connected'!BB13*'Water Demand Criteria'!BE$17/1000)*('Wastewater Criteria'!$C$8+'Wastewater Criteria'!$C$10*'Water Demand Criteria'!BE$56+'Water Demand Criteria'!BE$37*'Wastewater Criteria'!$C$11)*(1+'Wastewater Criteria'!$C$23)+('Project Tankers'!BA13*'Wastewater Criteria'!$C$9))*(1+'Wastewater Criteria'!$C$36)</f>
        <v>2491.4270048091662</v>
      </c>
      <c r="BB13" s="44">
        <f>(('Project W Pop Connected'!BC13*'Water Demand Criteria'!BF$17/1000)*('Wastewater Criteria'!$C$8+'Wastewater Criteria'!$C$10*'Water Demand Criteria'!BF$56+'Water Demand Criteria'!BF$37*'Wastewater Criteria'!$C$11)*(1+'Wastewater Criteria'!$C$23)+('Project Tankers'!BB13*'Wastewater Criteria'!$C$9))*(1+'Wastewater Criteria'!$C$36)</f>
        <v>2549.4573338536766</v>
      </c>
      <c r="BC13" s="44">
        <f>(('Project W Pop Connected'!BD13*'Water Demand Criteria'!BG$17/1000)*('Wastewater Criteria'!$C$8+'Wastewater Criteria'!$C$10*'Water Demand Criteria'!BG$56+'Water Demand Criteria'!BG$37*'Wastewater Criteria'!$C$11)*(1+'Wastewater Criteria'!$C$23)+('Project Tankers'!BC13*'Wastewater Criteria'!$C$9))*(1+'Wastewater Criteria'!$C$36)</f>
        <v>2608.8803907952552</v>
      </c>
      <c r="BD13" s="44">
        <f>(('Project W Pop Connected'!BE13*'Water Demand Criteria'!BH$17/1000)*('Wastewater Criteria'!$C$8+'Wastewater Criteria'!$C$10*'Water Demand Criteria'!BH$56+'Water Demand Criteria'!BH$37*'Wastewater Criteria'!$C$11)*(1+'Wastewater Criteria'!$C$23)+('Project Tankers'!BD13*'Wastewater Criteria'!$C$9))*(1+'Wastewater Criteria'!$C$36)</f>
        <v>2669.7296011034309</v>
      </c>
      <c r="BE13" s="44">
        <f>(('Project W Pop Connected'!BF13*'Water Demand Criteria'!BI$17/1000)*('Wastewater Criteria'!$C$8+'Wastewater Criteria'!$C$10*'Water Demand Criteria'!BI$56+'Water Demand Criteria'!BI$37*'Wastewater Criteria'!$C$11)*(1+'Wastewater Criteria'!$C$23)+('Project Tankers'!BE13*'Wastewater Criteria'!$C$9))*(1+'Wastewater Criteria'!$C$36)</f>
        <v>2732.0391924590031</v>
      </c>
      <c r="BF13" s="44">
        <f>(('Project W Pop Connected'!BG13*'Water Demand Criteria'!BJ$17/1000)*('Wastewater Criteria'!$C$8+'Wastewater Criteria'!$C$10*'Water Demand Criteria'!BJ$56+'Water Demand Criteria'!BJ$37*'Wastewater Criteria'!$C$11)*(1+'Wastewater Criteria'!$C$23)+('Project Tankers'!BF13*'Wastewater Criteria'!$C$9))*(1+'Wastewater Criteria'!$C$36)</f>
        <v>2795.8442140071097</v>
      </c>
      <c r="BG13" s="44">
        <f>(('Project W Pop Connected'!BH13*'Water Demand Criteria'!BK$17/1000)*('Wastewater Criteria'!$C$8+'Wastewater Criteria'!$C$10*'Water Demand Criteria'!BK$56+'Water Demand Criteria'!BK$37*'Wastewater Criteria'!$C$11)*(1+'Wastewater Criteria'!$C$23)+('Project Tankers'!BG13*'Wastewater Criteria'!$C$9))*(1+'Wastewater Criteria'!$C$36)</f>
        <v>2861.180556072371</v>
      </c>
      <c r="BH13" s="44">
        <f>(('Project W Pop Connected'!BI13*'Water Demand Criteria'!BL$17/1000)*('Wastewater Criteria'!$C$8+'Wastewater Criteria'!$C$10*'Water Demand Criteria'!BL$56+'Water Demand Criteria'!BL$37*'Wastewater Criteria'!$C$11)*(1+'Wastewater Criteria'!$C$23)+('Project Tankers'!BH13*'Wastewater Criteria'!$C$9))*(1+'Wastewater Criteria'!$C$36)</f>
        <v>2928.0849703471981</v>
      </c>
      <c r="BI13" s="44">
        <f>(('Project W Pop Connected'!BJ13*'Water Demand Criteria'!BM$17/1000)*('Wastewater Criteria'!$C$8+'Wastewater Criteria'!$C$10*'Water Demand Criteria'!BM$56+'Water Demand Criteria'!BM$37*'Wastewater Criteria'!$C$11)*(1+'Wastewater Criteria'!$C$23)+('Project Tankers'!BI13*'Wastewater Criteria'!$C$9))*(1+'Wastewater Criteria'!$C$36)</f>
        <v>2996.5950905646214</v>
      </c>
      <c r="BJ13" s="44">
        <f>(('Project W Pop Connected'!BK13*'Water Demand Criteria'!BN$17/1000)*('Wastewater Criteria'!$C$8+'Wastewater Criteria'!$C$10*'Water Demand Criteria'!BN$56+'Water Demand Criteria'!BN$37*'Wastewater Criteria'!$C$11)*(1+'Wastewater Criteria'!$C$23)+('Project Tankers'!BJ13*'Wastewater Criteria'!$C$9))*(1+'Wastewater Criteria'!$C$36)</f>
        <v>3066.7494536672621</v>
      </c>
      <c r="BK13" s="44">
        <f>(('Project W Pop Connected'!BL13*'Water Demand Criteria'!BO$17/1000)*('Wastewater Criteria'!$C$8+'Wastewater Criteria'!$C$10*'Water Demand Criteria'!BO$56+'Water Demand Criteria'!BO$37*'Wastewater Criteria'!$C$11)*(1+'Wastewater Criteria'!$C$23)+('Project Tankers'!BK13*'Wastewater Criteria'!$C$9))*(1+'Wastewater Criteria'!$C$36)</f>
        <v>3138.5875214843659</v>
      </c>
      <c r="BL13" s="44">
        <f>(('Project W Pop Connected'!BM13*'Water Demand Criteria'!BP$17/1000)*('Wastewater Criteria'!$C$8+'Wastewater Criteria'!$C$10*'Water Demand Criteria'!BP$56+'Water Demand Criteria'!BP$37*'Wastewater Criteria'!$C$11)*(1+'Wastewater Criteria'!$C$23)+('Project Tankers'!BL13*'Wastewater Criteria'!$C$9))*(1+'Wastewater Criteria'!$C$36)</f>
        <v>3212.1497029290813</v>
      </c>
      <c r="BM13" s="44">
        <f>(('Project W Pop Connected'!BN13*'Water Demand Criteria'!BQ$17/1000)*('Wastewater Criteria'!$C$8+'Wastewater Criteria'!$C$10*'Water Demand Criteria'!BQ$56+'Water Demand Criteria'!BQ$37*'Wastewater Criteria'!$C$11)*(1+'Wastewater Criteria'!$C$23)+('Project Tankers'!BM13*'Wastewater Criteria'!$C$9))*(1+'Wastewater Criteria'!$C$36)</f>
        <v>3287.4773767284692</v>
      </c>
      <c r="BN13" s="44">
        <f>(('Project W Pop Connected'!BO13*'Water Demand Criteria'!BR$17/1000)*('Wastewater Criteria'!$C$8+'Wastewater Criteria'!$C$10*'Water Demand Criteria'!BR$56+'Water Demand Criteria'!BR$37*'Wastewater Criteria'!$C$11)*(1+'Wastewater Criteria'!$C$23)+('Project Tankers'!BN13*'Wastewater Criteria'!$C$9))*(1+'Wastewater Criteria'!$C$36)</f>
        <v>3364.6129146990424</v>
      </c>
      <c r="BO13" s="44">
        <f>(('Project W Pop Connected'!BP13*'Water Demand Criteria'!BS$17/1000)*('Wastewater Criteria'!$C$8+'Wastewater Criteria'!$C$10*'Water Demand Criteria'!BS$56+'Water Demand Criteria'!BS$37*'Wastewater Criteria'!$C$11)*(1+'Wastewater Criteria'!$C$23)+('Project Tankers'!BO13*'Wastewater Criteria'!$C$9))*(1+'Wastewater Criteria'!$C$36)</f>
        <v>3443.5997055809094</v>
      </c>
      <c r="BP13" s="44">
        <f>(('Project W Pop Connected'!BQ13*'Water Demand Criteria'!BT$17/1000)*('Wastewater Criteria'!$C$8+'Wastewater Criteria'!$C$10*'Water Demand Criteria'!BT$56+'Water Demand Criteria'!BT$37*'Wastewater Criteria'!$C$11)*(1+'Wastewater Criteria'!$C$23)+('Project Tankers'!BP13*'Wastewater Criteria'!$C$9))*(1+'Wastewater Criteria'!$C$36)</f>
        <v>3524.4821794439417</v>
      </c>
      <c r="BQ13" s="44">
        <f>(('Project W Pop Connected'!BR13*'Water Demand Criteria'!BU$17/1000)*('Wastewater Criteria'!$C$8+'Wastewater Criteria'!$C$10*'Water Demand Criteria'!BU$56+'Water Demand Criteria'!BU$37*'Wastewater Criteria'!$C$11)*(1+'Wastewater Criteria'!$C$23)+('Project Tankers'!BQ13*'Wastewater Criteria'!$C$9))*(1+'Wastewater Criteria'!$C$36)</f>
        <v>3607.3058326796859</v>
      </c>
      <c r="BR13" s="44">
        <f>(('Project W Pop Connected'!BS13*'Water Demand Criteria'!BV$17/1000)*('Wastewater Criteria'!$C$8+'Wastewater Criteria'!$C$10*'Water Demand Criteria'!BV$56+'Water Demand Criteria'!BV$37*'Wastewater Criteria'!$C$11)*(1+'Wastewater Criteria'!$C$23)+('Project Tankers'!BR13*'Wastewater Criteria'!$C$9))*(1+'Wastewater Criteria'!$C$36)</f>
        <v>3692.1172535930882</v>
      </c>
      <c r="BS13" s="44">
        <f>(('Project W Pop Connected'!BT13*'Water Demand Criteria'!BW$17/1000)*('Wastewater Criteria'!$C$8+'Wastewater Criteria'!$C$10*'Water Demand Criteria'!BW$56+'Water Demand Criteria'!BW$37*'Wastewater Criteria'!$C$11)*(1+'Wastewater Criteria'!$C$23)+('Project Tankers'!BS13*'Wastewater Criteria'!$C$9))*(1+'Wastewater Criteria'!$C$36)</f>
        <v>3778.9641486084138</v>
      </c>
      <c r="BT13" s="44">
        <f>(('Project W Pop Connected'!BU13*'Water Demand Criteria'!BX$17/1000)*('Wastewater Criteria'!$C$8+'Wastewater Criteria'!$C$10*'Water Demand Criteria'!BX$56+'Water Demand Criteria'!BX$37*'Wastewater Criteria'!$C$11)*(1+'Wastewater Criteria'!$C$23)+('Project Tankers'!BT13*'Wastewater Criteria'!$C$9))*(1+'Wastewater Criteria'!$C$36)</f>
        <v>3867.8953691041052</v>
      </c>
      <c r="BU13" s="44">
        <f>(('Project W Pop Connected'!BV13*'Water Demand Criteria'!BY$17/1000)*('Wastewater Criteria'!$C$8+'Wastewater Criteria'!$C$10*'Water Demand Criteria'!BY$56+'Water Demand Criteria'!BY$37*'Wastewater Criteria'!$C$11)*(1+'Wastewater Criteria'!$C$23)+('Project Tankers'!BU13*'Wastewater Criteria'!$C$9))*(1+'Wastewater Criteria'!$C$36)</f>
        <v>3958.9609388916933</v>
      </c>
      <c r="BV13" s="44">
        <f>(('Project W Pop Connected'!BW13*'Water Demand Criteria'!BZ$17/1000)*('Wastewater Criteria'!$C$8+'Wastewater Criteria'!$C$10*'Water Demand Criteria'!BZ$56+'Water Demand Criteria'!BZ$37*'Wastewater Criteria'!$C$11)*(1+'Wastewater Criteria'!$C$23)+('Project Tankers'!BV13*'Wastewater Criteria'!$C$9))*(1+'Wastewater Criteria'!$C$36)</f>
        <v>4052.2120823541841</v>
      </c>
      <c r="BW13" s="44">
        <f>(('Project W Pop Connected'!BX13*'Water Demand Criteria'!CA$17/1000)*('Wastewater Criteria'!$C$8+'Wastewater Criteria'!$C$10*'Water Demand Criteria'!CA$56+'Water Demand Criteria'!CA$37*'Wastewater Criteria'!$C$11)*(1+'Wastewater Criteria'!$C$23)+('Project Tankers'!BW13*'Wastewater Criteria'!$C$9))*(1+'Wastewater Criteria'!$C$36)</f>
        <v>4147.7012532597746</v>
      </c>
      <c r="BX13" s="44">
        <f>(('Project W Pop Connected'!BY13*'Water Demand Criteria'!CB$17/1000)*('Wastewater Criteria'!$C$8+'Wastewater Criteria'!$C$10*'Water Demand Criteria'!CB$56+'Water Demand Criteria'!CB$37*'Wastewater Criteria'!$C$11)*(1+'Wastewater Criteria'!$C$23)+('Project Tankers'!BX13*'Wastewater Criteria'!$C$9))*(1+'Wastewater Criteria'!$C$36)</f>
        <v>4245.4821642670995</v>
      </c>
      <c r="BY13" s="44">
        <f>(('Project W Pop Connected'!BZ13*'Water Demand Criteria'!CC$17/1000)*('Wastewater Criteria'!$C$8+'Wastewater Criteria'!$C$10*'Water Demand Criteria'!CC$56+'Water Demand Criteria'!CC$37*'Wastewater Criteria'!$C$11)*(1+'Wastewater Criteria'!$C$23)+('Project Tankers'!BY13*'Wastewater Criteria'!$C$9))*(1+'Wastewater Criteria'!$C$36)</f>
        <v>4345.6098171386002</v>
      </c>
      <c r="BZ13" s="44">
        <f>(('Project W Pop Connected'!CA13*'Water Demand Criteria'!CD$17/1000)*('Wastewater Criteria'!$C$8+'Wastewater Criteria'!$C$10*'Water Demand Criteria'!CD$56+'Water Demand Criteria'!CD$37*'Wastewater Criteria'!$C$11)*(1+'Wastewater Criteria'!$C$23)+('Project Tankers'!BZ13*'Wastewater Criteria'!$C$9))*(1+'Wastewater Criteria'!$C$36)</f>
        <v>4448.1405336790158</v>
      </c>
      <c r="CA13" s="44">
        <f>(('Project W Pop Connected'!CB13*'Water Demand Criteria'!CE$17/1000)*('Wastewater Criteria'!$C$8+'Wastewater Criteria'!$C$10*'Water Demand Criteria'!CE$56+'Water Demand Criteria'!CE$37*'Wastewater Criteria'!$C$11)*(1+'Wastewater Criteria'!$C$23)+('Project Tankers'!CA13*'Wastewater Criteria'!$C$9))*(1+'Wastewater Criteria'!$C$36)</f>
        <v>4553.1319874164028</v>
      </c>
    </row>
    <row r="14" spans="1:79" x14ac:dyDescent="0.25">
      <c r="A14" s="33">
        <v>13</v>
      </c>
      <c r="B14" s="36" t="s">
        <v>45</v>
      </c>
      <c r="C14" s="34">
        <f>(('Project W Pop Connected'!D14*'Water Demand Criteria'!G$17/1000)*('Wastewater Criteria'!$C$8+'Wastewater Criteria'!$C$10*'Water Demand Criteria'!G$56+'Water Demand Criteria'!G$37*'Wastewater Criteria'!$C$11)*(1+'Wastewater Criteria'!$C$23)+('Project Tankers'!C14*'Wastewater Criteria'!$C$9))*(1+'Wastewater Criteria'!$C$36)</f>
        <v>6.3752784967854774</v>
      </c>
      <c r="D14" s="34">
        <f>(('Project W Pop Connected'!E14*'Water Demand Criteria'!H$17/1000)*('Wastewater Criteria'!$C$8+'Wastewater Criteria'!$C$10*'Water Demand Criteria'!H$56+'Water Demand Criteria'!H$37*'Wastewater Criteria'!$C$11)*(1+'Wastewater Criteria'!$C$23)+('Project Tankers'!D14*'Wastewater Criteria'!$C$9))*(1+'Wastewater Criteria'!$C$36)</f>
        <v>6.7932843542090824</v>
      </c>
      <c r="E14" s="34">
        <f>(('Project W Pop Connected'!F14*'Water Demand Criteria'!I$17/1000)*('Wastewater Criteria'!$C$8+'Wastewater Criteria'!$C$10*'Water Demand Criteria'!I$56+'Water Demand Criteria'!I$37*'Wastewater Criteria'!$C$11)*(1+'Wastewater Criteria'!$C$23)+('Project Tankers'!E14*'Wastewater Criteria'!$C$9))*(1+'Wastewater Criteria'!$C$36)</f>
        <v>7.2492052179398021</v>
      </c>
      <c r="F14" s="34">
        <f>(('Project W Pop Connected'!G14*'Water Demand Criteria'!J$17/1000)*('Wastewater Criteria'!$C$8+'Wastewater Criteria'!$C$10*'Water Demand Criteria'!J$56+'Water Demand Criteria'!J$37*'Wastewater Criteria'!$C$11)*(1+'Wastewater Criteria'!$C$23)+('Project Tankers'!F14*'Wastewater Criteria'!$C$9))*(1+'Wastewater Criteria'!$C$36)</f>
        <v>7.7235237714727916</v>
      </c>
      <c r="G14" s="34">
        <f>(('Project W Pop Connected'!H14*'Water Demand Criteria'!K$17/1000)*('Wastewater Criteria'!$C$8+'Wastewater Criteria'!$C$10*'Water Demand Criteria'!K$56+'Water Demand Criteria'!K$37*'Wastewater Criteria'!$C$11)*(1+'Wastewater Criteria'!$C$23)+('Project Tankers'!G14*'Wastewater Criteria'!$C$9))*(1+'Wastewater Criteria'!$C$36)</f>
        <v>8.2170412258824168</v>
      </c>
      <c r="H14" s="34">
        <f>(('Project W Pop Connected'!I14*'Water Demand Criteria'!L$17/1000)*('Wastewater Criteria'!$C$8+'Wastewater Criteria'!$C$10*'Water Demand Criteria'!L$56+'Water Demand Criteria'!L$37*'Wastewater Criteria'!$C$11)*(1+'Wastewater Criteria'!$C$23)+('Project Tankers'!H14*'Wastewater Criteria'!$C$9))*(1+'Wastewater Criteria'!$C$36)</f>
        <v>8.7302338459868221</v>
      </c>
      <c r="I14" s="34">
        <f>(('Project W Pop Connected'!J14*'Water Demand Criteria'!M$17/1000)*('Wastewater Criteria'!$C$8+'Wastewater Criteria'!$C$10*'Water Demand Criteria'!M$56+'Water Demand Criteria'!M$37*'Wastewater Criteria'!$C$11)*(1+'Wastewater Criteria'!$C$23)+('Project Tankers'!I14*'Wastewater Criteria'!$C$9))*(1+'Wastewater Criteria'!$C$36)</f>
        <v>9.228246818825113</v>
      </c>
      <c r="J14" s="34">
        <f>(('Project W Pop Connected'!K14*'Water Demand Criteria'!N$17/1000)*('Wastewater Criteria'!$C$8+'Wastewater Criteria'!$C$10*'Water Demand Criteria'!N$56+'Water Demand Criteria'!N$37*'Wastewater Criteria'!$C$11)*(1+'Wastewater Criteria'!$C$23)+('Project Tankers'!J14*'Wastewater Criteria'!$C$9))*(1+'Wastewater Criteria'!$C$36)</f>
        <v>9.7792904720661529</v>
      </c>
      <c r="K14" s="34">
        <f>(('Project W Pop Connected'!L14*'Water Demand Criteria'!O$17/1000)*('Wastewater Criteria'!$C$8+'Wastewater Criteria'!$C$10*'Water Demand Criteria'!O$56+'Water Demand Criteria'!O$37*'Wastewater Criteria'!$C$11)*(1+'Wastewater Criteria'!$C$23)+('Project Tankers'!K14*'Wastewater Criteria'!$C$9))*(1+'Wastewater Criteria'!$C$36)</f>
        <v>10.35180641064435</v>
      </c>
      <c r="L14" s="34">
        <f>(('Project W Pop Connected'!M14*'Water Demand Criteria'!P$17/1000)*('Wastewater Criteria'!$C$8+'Wastewater Criteria'!$C$10*'Water Demand Criteria'!P$56+'Water Demand Criteria'!P$37*'Wastewater Criteria'!$C$11)*(1+'Wastewater Criteria'!$C$23)+('Project Tankers'!L14*'Wastewater Criteria'!$C$9))*(1+'Wastewater Criteria'!$C$36)</f>
        <v>10.823164000082324</v>
      </c>
      <c r="M14" s="34">
        <f>(('Project W Pop Connected'!N14*'Water Demand Criteria'!Q$17/1000)*('Wastewater Criteria'!$C$8+'Wastewater Criteria'!$C$10*'Water Demand Criteria'!Q$56+'Water Demand Criteria'!Q$37*'Wastewater Criteria'!$C$11)*(1+'Wastewater Criteria'!$C$23)+('Project Tankers'!M14*'Wastewater Criteria'!$C$9))*(1+'Wastewater Criteria'!$C$36)</f>
        <v>11.566227799722043</v>
      </c>
      <c r="N14" s="34">
        <f>(('Project W Pop Connected'!O14*'Water Demand Criteria'!R$17/1000)*('Wastewater Criteria'!$C$8+'Wastewater Criteria'!$C$10*'Water Demand Criteria'!R$56+'Water Demand Criteria'!R$37*'Wastewater Criteria'!$C$11)*(1+'Wastewater Criteria'!$C$23)+('Project Tankers'!N14*'Wastewater Criteria'!$C$9))*(1+'Wastewater Criteria'!$C$36)</f>
        <v>12.158434021062977</v>
      </c>
      <c r="O14" s="34">
        <f>(('Project W Pop Connected'!P14*'Water Demand Criteria'!S$17/1000)*('Wastewater Criteria'!$C$8+'Wastewater Criteria'!$C$10*'Water Demand Criteria'!S$56+'Water Demand Criteria'!S$37*'Wastewater Criteria'!$C$11)*(1+'Wastewater Criteria'!$C$23)+('Project Tankers'!O14*'Wastewater Criteria'!$C$9))*(1+'Wastewater Criteria'!$C$36)</f>
        <v>12.445929007359354</v>
      </c>
      <c r="P14" s="34">
        <f>(('Project W Pop Connected'!Q14*'Water Demand Criteria'!T$17/1000)*('Wastewater Criteria'!$C$8+'Wastewater Criteria'!$C$10*'Water Demand Criteria'!T$56+'Water Demand Criteria'!T$37*'Wastewater Criteria'!$C$11)*(1+'Wastewater Criteria'!$C$23)+('Project Tankers'!P14*'Wastewater Criteria'!$C$9))*(1+'Wastewater Criteria'!$C$36)</f>
        <v>12.744761564452277</v>
      </c>
      <c r="Q14" s="34">
        <f>(('Project W Pop Connected'!R14*'Water Demand Criteria'!U$17/1000)*('Wastewater Criteria'!$C$8+'Wastewater Criteria'!$C$10*'Water Demand Criteria'!U$56+'Water Demand Criteria'!U$37*'Wastewater Criteria'!$C$11)*(1+'Wastewater Criteria'!$C$23)+('Project Tankers'!Q14*'Wastewater Criteria'!$C$9))*(1+'Wastewater Criteria'!$C$36)</f>
        <v>13.054102113990796</v>
      </c>
      <c r="R14" s="34">
        <f>(('Project W Pop Connected'!S14*'Water Demand Criteria'!V$17/1000)*('Wastewater Criteria'!$C$8+'Wastewater Criteria'!$C$10*'Water Demand Criteria'!V$56+'Water Demand Criteria'!V$37*'Wastewater Criteria'!$C$11)*(1+'Wastewater Criteria'!$C$23)+('Project Tankers'!R14*'Wastewater Criteria'!$C$9))*(1+'Wastewater Criteria'!$C$36)</f>
        <v>13.376715917144789</v>
      </c>
      <c r="S14" s="34">
        <f>(('Project W Pop Connected'!T14*'Water Demand Criteria'!W$17/1000)*('Wastewater Criteria'!$C$8+'Wastewater Criteria'!$C$10*'Water Demand Criteria'!W$56+'Water Demand Criteria'!W$37*'Wastewater Criteria'!$C$11)*(1+'Wastewater Criteria'!$C$23)+('Project Tankers'!S14*'Wastewater Criteria'!$C$9))*(1+'Wastewater Criteria'!$C$36)</f>
        <v>13.645268864427404</v>
      </c>
      <c r="T14" s="34">
        <f>(('Project W Pop Connected'!U14*'Water Demand Criteria'!X$17/1000)*('Wastewater Criteria'!$C$8+'Wastewater Criteria'!$C$10*'Water Demand Criteria'!X$56+'Water Demand Criteria'!X$37*'Wastewater Criteria'!$C$11)*(1+'Wastewater Criteria'!$C$23)+('Project Tankers'!T14*'Wastewater Criteria'!$C$9))*(1+'Wastewater Criteria'!$C$36)</f>
        <v>13.885925500743056</v>
      </c>
      <c r="U14" s="34">
        <f>(('Project W Pop Connected'!V14*'Water Demand Criteria'!Y$17/1000)*('Wastewater Criteria'!$C$8+'Wastewater Criteria'!$C$10*'Water Demand Criteria'!Y$56+'Water Demand Criteria'!Y$37*'Wastewater Criteria'!$C$11)*(1+'Wastewater Criteria'!$C$23)+('Project Tankers'!U14*'Wastewater Criteria'!$C$9))*(1+'Wastewater Criteria'!$C$36)</f>
        <v>14.137569112020682</v>
      </c>
      <c r="V14" s="34">
        <f>(('Project W Pop Connected'!W14*'Water Demand Criteria'!Z$17/1000)*('Wastewater Criteria'!$C$8+'Wastewater Criteria'!$C$10*'Water Demand Criteria'!Z$56+'Water Demand Criteria'!Z$37*'Wastewater Criteria'!$C$11)*(1+'Wastewater Criteria'!$C$23)+('Project Tankers'!V14*'Wastewater Criteria'!$C$9))*(1+'Wastewater Criteria'!$C$36)</f>
        <v>14.397046629893705</v>
      </c>
      <c r="W14" s="34">
        <f>(('Project W Pop Connected'!X14*'Water Demand Criteria'!AA$17/1000)*('Wastewater Criteria'!$C$8+'Wastewater Criteria'!$C$10*'Water Demand Criteria'!AA$56+'Water Demand Criteria'!AA$37*'Wastewater Criteria'!$C$11)*(1+'Wastewater Criteria'!$C$23)+('Project Tankers'!W14*'Wastewater Criteria'!$C$9))*(1+'Wastewater Criteria'!$C$36)</f>
        <v>14.664897171397968</v>
      </c>
      <c r="X14" s="34">
        <f>(('Project W Pop Connected'!Y14*'Water Demand Criteria'!AB$17/1000)*('Wastewater Criteria'!$C$8+'Wastewater Criteria'!$C$10*'Water Demand Criteria'!AB$56+'Water Demand Criteria'!AB$37*'Wastewater Criteria'!$C$11)*(1+'Wastewater Criteria'!$C$23)+('Project Tankers'!X14*'Wastewater Criteria'!$C$9))*(1+'Wastewater Criteria'!$C$36)</f>
        <v>14.941659853577061</v>
      </c>
      <c r="Y14" s="34">
        <f>(('Project W Pop Connected'!Z14*'Water Demand Criteria'!AC$17/1000)*('Wastewater Criteria'!$C$8+'Wastewater Criteria'!$C$10*'Water Demand Criteria'!AC$56+'Water Demand Criteria'!AC$37*'Wastewater Criteria'!$C$11)*(1+'Wastewater Criteria'!$C$23)+('Project Tankers'!Y14*'Wastewater Criteria'!$C$9))*(1+'Wastewater Criteria'!$C$36)</f>
        <v>15.227873793893268</v>
      </c>
      <c r="Z14" s="34">
        <f>(('Project W Pop Connected'!AA14*'Water Demand Criteria'!AD$17/1000)*('Wastewater Criteria'!$C$8+'Wastewater Criteria'!$C$10*'Water Demand Criteria'!AD$56+'Water Demand Criteria'!AD$37*'Wastewater Criteria'!$C$11)*(1+'Wastewater Criteria'!$C$23)+('Project Tankers'!Z14*'Wastewater Criteria'!$C$9))*(1+'Wastewater Criteria'!$C$36)</f>
        <v>15.524078109099142</v>
      </c>
      <c r="AA14" s="34">
        <f>(('Project W Pop Connected'!AB14*'Water Demand Criteria'!AE$17/1000)*('Wastewater Criteria'!$C$8+'Wastewater Criteria'!$C$10*'Water Demand Criteria'!AE$56+'Water Demand Criteria'!AE$37*'Wastewater Criteria'!$C$11)*(1+'Wastewater Criteria'!$C$23)+('Project Tankers'!AA14*'Wastewater Criteria'!$C$9))*(1+'Wastewater Criteria'!$C$36)</f>
        <v>15.83081191711727</v>
      </c>
      <c r="AB14" s="34">
        <f>(('Project W Pop Connected'!AC14*'Water Demand Criteria'!AF$17/1000)*('Wastewater Criteria'!$C$8+'Wastewater Criteria'!$C$10*'Water Demand Criteria'!AF$56+'Water Demand Criteria'!AF$37*'Wastewater Criteria'!$C$11)*(1+'Wastewater Criteria'!$C$23)+('Project Tankers'!AB14*'Wastewater Criteria'!$C$9))*(1+'Wastewater Criteria'!$C$36)</f>
        <v>16.148614334294844</v>
      </c>
      <c r="AC14" s="34">
        <f>(('Project W Pop Connected'!AD14*'Water Demand Criteria'!AG$17/1000)*('Wastewater Criteria'!$C$8+'Wastewater Criteria'!$C$10*'Water Demand Criteria'!AG$56+'Water Demand Criteria'!AG$37*'Wastewater Criteria'!$C$11)*(1+'Wastewater Criteria'!$C$23)+('Project Tankers'!AC14*'Wastewater Criteria'!$C$9))*(1+'Wastewater Criteria'!$C$36)</f>
        <v>16.478024478824974</v>
      </c>
      <c r="AD14" s="44">
        <f>(('Project W Pop Connected'!AE14*'Water Demand Criteria'!AH$17/1000)*('Wastewater Criteria'!$C$8+'Wastewater Criteria'!$C$10*'Water Demand Criteria'!AH$56+'Water Demand Criteria'!AH$37*'Wastewater Criteria'!$C$11)*(1+'Wastewater Criteria'!$C$23)+('Project Tankers'!AD14*'Wastewater Criteria'!$C$9))*(1+'Wastewater Criteria'!$C$36)</f>
        <v>17.016612947272922</v>
      </c>
      <c r="AE14" s="44">
        <f>(('Project W Pop Connected'!AF14*'Water Demand Criteria'!AI$17/1000)*('Wastewater Criteria'!$C$8+'Wastewater Criteria'!$C$10*'Water Demand Criteria'!AI$56+'Water Demand Criteria'!AI$37*'Wastewater Criteria'!$C$11)*(1+'Wastewater Criteria'!$C$23)+('Project Tankers'!AE14*'Wastewater Criteria'!$C$9))*(1+'Wastewater Criteria'!$C$36)</f>
        <v>17.576312603502291</v>
      </c>
      <c r="AF14" s="44">
        <f>(('Project W Pop Connected'!AG14*'Water Demand Criteria'!AJ$17/1000)*('Wastewater Criteria'!$C$8+'Wastewater Criteria'!$C$10*'Water Demand Criteria'!AJ$56+'Water Demand Criteria'!AJ$37*'Wastewater Criteria'!$C$11)*(1+'Wastewater Criteria'!$C$23)+('Project Tankers'!AF14*'Wastewater Criteria'!$C$9))*(1+'Wastewater Criteria'!$C$36)</f>
        <v>18.158085039271072</v>
      </c>
      <c r="AG14" s="44">
        <f>(('Project W Pop Connected'!AH14*'Water Demand Criteria'!AK$17/1000)*('Wastewater Criteria'!$C$8+'Wastewater Criteria'!$C$10*'Water Demand Criteria'!AK$56+'Water Demand Criteria'!AK$37*'Wastewater Criteria'!$C$11)*(1+'Wastewater Criteria'!$C$23)+('Project Tankers'!AG14*'Wastewater Criteria'!$C$9))*(1+'Wastewater Criteria'!$C$36)</f>
        <v>18.762939268713275</v>
      </c>
      <c r="AH14" s="44">
        <f>(('Project W Pop Connected'!AI14*'Water Demand Criteria'!AL$17/1000)*('Wastewater Criteria'!$C$8+'Wastewater Criteria'!$C$10*'Water Demand Criteria'!AL$56+'Water Demand Criteria'!AL$37*'Wastewater Criteria'!$C$11)*(1+'Wastewater Criteria'!$C$23)+('Project Tankers'!AH14*'Wastewater Criteria'!$C$9))*(1+'Wastewater Criteria'!$C$36)</f>
        <v>19.39193427726152</v>
      </c>
      <c r="AI14" s="44">
        <f>(('Project W Pop Connected'!AJ14*'Water Demand Criteria'!AM$17/1000)*('Wastewater Criteria'!$C$8+'Wastewater Criteria'!$C$10*'Water Demand Criteria'!AM$56+'Water Demand Criteria'!AM$37*'Wastewater Criteria'!$C$11)*(1+'Wastewater Criteria'!$C$23)+('Project Tankers'!AI14*'Wastewater Criteria'!$C$9))*(1+'Wastewater Criteria'!$C$36)</f>
        <v>20.046181716263778</v>
      </c>
      <c r="AJ14" s="44">
        <f>(('Project W Pop Connected'!AK14*'Water Demand Criteria'!AN$17/1000)*('Wastewater Criteria'!$C$8+'Wastewater Criteria'!$C$10*'Water Demand Criteria'!AN$56+'Water Demand Criteria'!AN$37*'Wastewater Criteria'!$C$11)*(1+'Wastewater Criteria'!$C$23)+('Project Tankers'!AJ14*'Wastewater Criteria'!$C$9))*(1+'Wastewater Criteria'!$C$36)</f>
        <v>20.726848752143241</v>
      </c>
      <c r="AK14" s="44">
        <f>(('Project W Pop Connected'!AL14*'Water Demand Criteria'!AO$17/1000)*('Wastewater Criteria'!$C$8+'Wastewater Criteria'!$C$10*'Water Demand Criteria'!AO$56+'Water Demand Criteria'!AO$37*'Wastewater Criteria'!$C$11)*(1+'Wastewater Criteria'!$C$23)+('Project Tankers'!AK14*'Wastewater Criteria'!$C$9))*(1+'Wastewater Criteria'!$C$36)</f>
        <v>21.431410266043137</v>
      </c>
      <c r="AL14" s="44">
        <f>(('Project W Pop Connected'!AM14*'Water Demand Criteria'!AP$17/1000)*('Wastewater Criteria'!$C$8+'Wastewater Criteria'!$C$10*'Water Demand Criteria'!AP$56+'Water Demand Criteria'!AP$37*'Wastewater Criteria'!$C$11)*(1+'Wastewater Criteria'!$C$23)+('Project Tankers'!AL14*'Wastewater Criteria'!$C$9))*(1+'Wastewater Criteria'!$C$36)</f>
        <v>22.1584452999031</v>
      </c>
      <c r="AM14" s="44">
        <f>(('Project W Pop Connected'!AN14*'Water Demand Criteria'!AQ$17/1000)*('Wastewater Criteria'!$C$8+'Wastewater Criteria'!$C$10*'Water Demand Criteria'!AQ$56+'Water Demand Criteria'!AQ$37*'Wastewater Criteria'!$C$11)*(1+'Wastewater Criteria'!$C$23)+('Project Tankers'!AM14*'Wastewater Criteria'!$C$9))*(1+'Wastewater Criteria'!$C$36)</f>
        <v>22.90862675524923</v>
      </c>
      <c r="AN14" s="44">
        <f>(('Project W Pop Connected'!AO14*'Water Demand Criteria'!AR$17/1000)*('Wastewater Criteria'!$C$8+'Wastewater Criteria'!$C$10*'Water Demand Criteria'!AR$56+'Water Demand Criteria'!AR$37*'Wastewater Criteria'!$C$11)*(1+'Wastewater Criteria'!$C$23)+('Project Tankers'!AN14*'Wastewater Criteria'!$C$9))*(1+'Wastewater Criteria'!$C$36)</f>
        <v>23.682646888133338</v>
      </c>
      <c r="AO14" s="44">
        <f>(('Project W Pop Connected'!AP14*'Water Demand Criteria'!AS$17/1000)*('Wastewater Criteria'!$C$8+'Wastewater Criteria'!$C$10*'Water Demand Criteria'!AS$56+'Water Demand Criteria'!AS$37*'Wastewater Criteria'!$C$11)*(1+'Wastewater Criteria'!$C$23)+('Project Tankers'!AO14*'Wastewater Criteria'!$C$9))*(1+'Wastewater Criteria'!$C$36)</f>
        <v>24.481217850558988</v>
      </c>
      <c r="AP14" s="44">
        <f>(('Project W Pop Connected'!AQ14*'Water Demand Criteria'!AT$17/1000)*('Wastewater Criteria'!$C$8+'Wastewater Criteria'!$C$10*'Water Demand Criteria'!AT$56+'Water Demand Criteria'!AT$37*'Wastewater Criteria'!$C$11)*(1+'Wastewater Criteria'!$C$23)+('Project Tankers'!AP14*'Wastewater Criteria'!$C$9))*(1+'Wastewater Criteria'!$C$36)</f>
        <v>25.305072246747606</v>
      </c>
      <c r="AQ14" s="44">
        <f>(('Project W Pop Connected'!AR14*'Water Demand Criteria'!AU$17/1000)*('Wastewater Criteria'!$C$8+'Wastewater Criteria'!$C$10*'Water Demand Criteria'!AU$56+'Water Demand Criteria'!AU$37*'Wastewater Criteria'!$C$11)*(1+'Wastewater Criteria'!$C$23)+('Project Tankers'!AQ14*'Wastewater Criteria'!$C$9))*(1+'Wastewater Criteria'!$C$36)</f>
        <v>26.154963704645478</v>
      </c>
      <c r="AR14" s="44">
        <f>(('Project W Pop Connected'!AS14*'Water Demand Criteria'!AV$17/1000)*('Wastewater Criteria'!$C$8+'Wastewater Criteria'!$C$10*'Water Demand Criteria'!AV$56+'Water Demand Criteria'!AV$37*'Wastewater Criteria'!$C$11)*(1+'Wastewater Criteria'!$C$23)+('Project Tankers'!AR14*'Wastewater Criteria'!$C$9))*(1+'Wastewater Criteria'!$C$36)</f>
        <v>27.031667463082439</v>
      </c>
      <c r="AS14" s="44">
        <f>(('Project W Pop Connected'!AT14*'Water Demand Criteria'!AW$17/1000)*('Wastewater Criteria'!$C$8+'Wastewater Criteria'!$C$10*'Water Demand Criteria'!AW$56+'Water Demand Criteria'!AW$37*'Wastewater Criteria'!$C$11)*(1+'Wastewater Criteria'!$C$23)+('Project Tankers'!AS14*'Wastewater Criteria'!$C$9))*(1+'Wastewater Criteria'!$C$36)</f>
        <v>27.935980975004618</v>
      </c>
      <c r="AT14" s="44">
        <f>(('Project W Pop Connected'!AU14*'Water Demand Criteria'!AX$17/1000)*('Wastewater Criteria'!$C$8+'Wastewater Criteria'!$C$10*'Water Demand Criteria'!AX$56+'Water Demand Criteria'!AX$37*'Wastewater Criteria'!$C$11)*(1+'Wastewater Criteria'!$C$23)+('Project Tankers'!AT14*'Wastewater Criteria'!$C$9))*(1+'Wastewater Criteria'!$C$36)</f>
        <v>28.868724527214439</v>
      </c>
      <c r="AU14" s="44">
        <f>(('Project W Pop Connected'!AV14*'Water Demand Criteria'!AY$17/1000)*('Wastewater Criteria'!$C$8+'Wastewater Criteria'!$C$10*'Water Demand Criteria'!AY$56+'Water Demand Criteria'!AY$37*'Wastewater Criteria'!$C$11)*(1+'Wastewater Criteria'!$C$23)+('Project Tankers'!AU14*'Wastewater Criteria'!$C$9))*(1+'Wastewater Criteria'!$C$36)</f>
        <v>29.830741877062838</v>
      </c>
      <c r="AV14" s="44">
        <f>(('Project W Pop Connected'!AW14*'Water Demand Criteria'!AZ$17/1000)*('Wastewater Criteria'!$C$8+'Wastewater Criteria'!$C$10*'Water Demand Criteria'!AZ$56+'Water Demand Criteria'!AZ$37*'Wastewater Criteria'!$C$11)*(1+'Wastewater Criteria'!$C$23)+('Project Tankers'!AV14*'Wastewater Criteria'!$C$9))*(1+'Wastewater Criteria'!$C$36)</f>
        <v>30.822900906550412</v>
      </c>
      <c r="AW14" s="44">
        <f>(('Project W Pop Connected'!AX14*'Water Demand Criteria'!BA$17/1000)*('Wastewater Criteria'!$C$8+'Wastewater Criteria'!$C$10*'Water Demand Criteria'!BA$56+'Water Demand Criteria'!BA$37*'Wastewater Criteria'!$C$11)*(1+'Wastewater Criteria'!$C$23)+('Project Tankers'!AW14*'Wastewater Criteria'!$C$9))*(1+'Wastewater Criteria'!$C$36)</f>
        <v>31.846094294306312</v>
      </c>
      <c r="AX14" s="44">
        <f>(('Project W Pop Connected'!AY14*'Water Demand Criteria'!BB$17/1000)*('Wastewater Criteria'!$C$8+'Wastewater Criteria'!$C$10*'Water Demand Criteria'!BB$56+'Water Demand Criteria'!BB$37*'Wastewater Criteria'!$C$11)*(1+'Wastewater Criteria'!$C$23)+('Project Tankers'!AX14*'Wastewater Criteria'!$C$9))*(1+'Wastewater Criteria'!$C$36)</f>
        <v>32.585682550114818</v>
      </c>
      <c r="AY14" s="44">
        <f>(('Project W Pop Connected'!AZ14*'Water Demand Criteria'!BC$17/1000)*('Wastewater Criteria'!$C$8+'Wastewater Criteria'!$C$10*'Water Demand Criteria'!BC$56+'Water Demand Criteria'!BC$37*'Wastewater Criteria'!$C$11)*(1+'Wastewater Criteria'!$C$23)+('Project Tankers'!AY14*'Wastewater Criteria'!$C$9))*(1+'Wastewater Criteria'!$C$36)</f>
        <v>33.343020924062728</v>
      </c>
      <c r="AZ14" s="44">
        <f>(('Project W Pop Connected'!BA14*'Water Demand Criteria'!BD$17/1000)*('Wastewater Criteria'!$C$8+'Wastewater Criteria'!$C$10*'Water Demand Criteria'!BD$56+'Water Demand Criteria'!BD$37*'Wastewater Criteria'!$C$11)*(1+'Wastewater Criteria'!$C$23)+('Project Tankers'!AZ14*'Wastewater Criteria'!$C$9))*(1+'Wastewater Criteria'!$C$36)</f>
        <v>34.118535418985374</v>
      </c>
      <c r="BA14" s="44">
        <f>(('Project W Pop Connected'!BB14*'Water Demand Criteria'!BE$17/1000)*('Wastewater Criteria'!$C$8+'Wastewater Criteria'!$C$10*'Water Demand Criteria'!BE$56+'Water Demand Criteria'!BE$37*'Wastewater Criteria'!$C$11)*(1+'Wastewater Criteria'!$C$23)+('Project Tankers'!BA14*'Wastewater Criteria'!$C$9))*(1+'Wastewater Criteria'!$C$36)</f>
        <v>34.912662261786174</v>
      </c>
      <c r="BB14" s="44">
        <f>(('Project W Pop Connected'!BC14*'Water Demand Criteria'!BF$17/1000)*('Wastewater Criteria'!$C$8+'Wastewater Criteria'!$C$10*'Water Demand Criteria'!BF$56+'Water Demand Criteria'!BF$37*'Wastewater Criteria'!$C$11)*(1+'Wastewater Criteria'!$C$23)+('Project Tankers'!BB14*'Wastewater Criteria'!$C$9))*(1+'Wastewater Criteria'!$C$36)</f>
        <v>35.725848148814194</v>
      </c>
      <c r="BC14" s="44">
        <f>(('Project W Pop Connected'!BD14*'Water Demand Criteria'!BG$17/1000)*('Wastewater Criteria'!$C$8+'Wastewater Criteria'!$C$10*'Water Demand Criteria'!BG$56+'Water Demand Criteria'!BG$37*'Wastewater Criteria'!$C$11)*(1+'Wastewater Criteria'!$C$23)+('Project Tankers'!BC14*'Wastewater Criteria'!$C$9))*(1+'Wastewater Criteria'!$C$36)</f>
        <v>36.558550497130888</v>
      </c>
      <c r="BD14" s="44">
        <f>(('Project W Pop Connected'!BE14*'Water Demand Criteria'!BH$17/1000)*('Wastewater Criteria'!$C$8+'Wastewater Criteria'!$C$10*'Water Demand Criteria'!BH$56+'Water Demand Criteria'!BH$37*'Wastewater Criteria'!$C$11)*(1+'Wastewater Criteria'!$C$23)+('Project Tankers'!BD14*'Wastewater Criteria'!$C$9))*(1+'Wastewater Criteria'!$C$36)</f>
        <v>37.411237701807174</v>
      </c>
      <c r="BE14" s="44">
        <f>(('Project W Pop Connected'!BF14*'Water Demand Criteria'!BI$17/1000)*('Wastewater Criteria'!$C$8+'Wastewater Criteria'!$C$10*'Water Demand Criteria'!BI$56+'Water Demand Criteria'!BI$37*'Wastewater Criteria'!$C$11)*(1+'Wastewater Criteria'!$C$23)+('Project Tankers'!BE14*'Wastewater Criteria'!$C$9))*(1+'Wastewater Criteria'!$C$36)</f>
        <v>38.284389399395707</v>
      </c>
      <c r="BF14" s="44">
        <f>(('Project W Pop Connected'!BG14*'Water Demand Criteria'!BJ$17/1000)*('Wastewater Criteria'!$C$8+'Wastewater Criteria'!$C$10*'Water Demand Criteria'!BJ$56+'Water Demand Criteria'!BJ$37*'Wastewater Criteria'!$C$11)*(1+'Wastewater Criteria'!$C$23)+('Project Tankers'!BF14*'Wastewater Criteria'!$C$9))*(1+'Wastewater Criteria'!$C$36)</f>
        <v>39.178496737726348</v>
      </c>
      <c r="BG14" s="44">
        <f>(('Project W Pop Connected'!BH14*'Water Demand Criteria'!BK$17/1000)*('Wastewater Criteria'!$C$8+'Wastewater Criteria'!$C$10*'Water Demand Criteria'!BK$56+'Water Demand Criteria'!BK$37*'Wastewater Criteria'!$C$11)*(1+'Wastewater Criteria'!$C$23)+('Project Tankers'!BG14*'Wastewater Criteria'!$C$9))*(1+'Wastewater Criteria'!$C$36)</f>
        <v>40.094062652176923</v>
      </c>
      <c r="BH14" s="44">
        <f>(('Project W Pop Connected'!BI14*'Water Demand Criteria'!BL$17/1000)*('Wastewater Criteria'!$C$8+'Wastewater Criteria'!$C$10*'Water Demand Criteria'!BL$56+'Water Demand Criteria'!BL$37*'Wastewater Criteria'!$C$11)*(1+'Wastewater Criteria'!$C$23)+('Project Tankers'!BH14*'Wastewater Criteria'!$C$9))*(1+'Wastewater Criteria'!$C$36)</f>
        <v>41.031602148574329</v>
      </c>
      <c r="BI14" s="44">
        <f>(('Project W Pop Connected'!BJ14*'Water Demand Criteria'!BM$17/1000)*('Wastewater Criteria'!$C$8+'Wastewater Criteria'!$C$10*'Water Demand Criteria'!BM$56+'Water Demand Criteria'!BM$37*'Wastewater Criteria'!$C$11)*(1+'Wastewater Criteria'!$C$23)+('Project Tankers'!BI14*'Wastewater Criteria'!$C$9))*(1+'Wastewater Criteria'!$C$36)</f>
        <v>41.991642592885263</v>
      </c>
      <c r="BJ14" s="44">
        <f>(('Project W Pop Connected'!BK14*'Water Demand Criteria'!BN$17/1000)*('Wastewater Criteria'!$C$8+'Wastewater Criteria'!$C$10*'Water Demand Criteria'!BN$56+'Water Demand Criteria'!BN$37*'Wastewater Criteria'!$C$11)*(1+'Wastewater Criteria'!$C$23)+('Project Tankers'!BJ14*'Wastewater Criteria'!$C$9))*(1+'Wastewater Criteria'!$C$36)</f>
        <v>42.974724007859656</v>
      </c>
      <c r="BK14" s="44">
        <f>(('Project W Pop Connected'!BL14*'Water Demand Criteria'!BO$17/1000)*('Wastewater Criteria'!$C$8+'Wastewater Criteria'!$C$10*'Water Demand Criteria'!BO$56+'Water Demand Criteria'!BO$37*'Wastewater Criteria'!$C$11)*(1+'Wastewater Criteria'!$C$23)+('Project Tankers'!BK14*'Wastewater Criteria'!$C$9))*(1+'Wastewater Criteria'!$C$36)</f>
        <v>43.981399376793441</v>
      </c>
      <c r="BL14" s="44">
        <f>(('Project W Pop Connected'!BM14*'Water Demand Criteria'!BP$17/1000)*('Wastewater Criteria'!$C$8+'Wastewater Criteria'!$C$10*'Water Demand Criteria'!BP$56+'Water Demand Criteria'!BP$37*'Wastewater Criteria'!$C$11)*(1+'Wastewater Criteria'!$C$23)+('Project Tankers'!BL14*'Wastewater Criteria'!$C$9))*(1+'Wastewater Criteria'!$C$36)</f>
        <v>45.012234954581629</v>
      </c>
      <c r="BM14" s="44">
        <f>(('Project W Pop Connected'!BN14*'Water Demand Criteria'!BQ$17/1000)*('Wastewater Criteria'!$C$8+'Wastewater Criteria'!$C$10*'Water Demand Criteria'!BQ$56+'Water Demand Criteria'!BQ$37*'Wastewater Criteria'!$C$11)*(1+'Wastewater Criteria'!$C$23)+('Project Tankers'!BM14*'Wastewater Criteria'!$C$9))*(1+'Wastewater Criteria'!$C$36)</f>
        <v>46.067810586236753</v>
      </c>
      <c r="BN14" s="44">
        <f>(('Project W Pop Connected'!BO14*'Water Demand Criteria'!BR$17/1000)*('Wastewater Criteria'!$C$8+'Wastewater Criteria'!$C$10*'Water Demand Criteria'!BR$56+'Water Demand Criteria'!BR$37*'Wastewater Criteria'!$C$11)*(1+'Wastewater Criteria'!$C$23)+('Project Tankers'!BN14*'Wastewater Criteria'!$C$9))*(1+'Wastewater Criteria'!$C$36)</f>
        <v>47.148720033051582</v>
      </c>
      <c r="BO14" s="44">
        <f>(('Project W Pop Connected'!BP14*'Water Demand Criteria'!BS$17/1000)*('Wastewater Criteria'!$C$8+'Wastewater Criteria'!$C$10*'Water Demand Criteria'!BS$56+'Water Demand Criteria'!BS$37*'Wastewater Criteria'!$C$11)*(1+'Wastewater Criteria'!$C$23)+('Project Tankers'!BO14*'Wastewater Criteria'!$C$9))*(1+'Wastewater Criteria'!$C$36)</f>
        <v>48.255571306589964</v>
      </c>
      <c r="BP14" s="44">
        <f>(('Project W Pop Connected'!BQ14*'Water Demand Criteria'!BT$17/1000)*('Wastewater Criteria'!$C$8+'Wastewater Criteria'!$C$10*'Water Demand Criteria'!BT$56+'Water Demand Criteria'!BT$37*'Wastewater Criteria'!$C$11)*(1+'Wastewater Criteria'!$C$23)+('Project Tankers'!BP14*'Wastewater Criteria'!$C$9))*(1+'Wastewater Criteria'!$C$36)</f>
        <v>49.388987010693278</v>
      </c>
      <c r="BQ14" s="44">
        <f>(('Project W Pop Connected'!BR14*'Water Demand Criteria'!BU$17/1000)*('Wastewater Criteria'!$C$8+'Wastewater Criteria'!$C$10*'Water Demand Criteria'!BU$56+'Water Demand Criteria'!BU$37*'Wastewater Criteria'!$C$11)*(1+'Wastewater Criteria'!$C$23)+('Project Tankers'!BQ14*'Wastewater Criteria'!$C$9))*(1+'Wastewater Criteria'!$C$36)</f>
        <v>50.549604691695073</v>
      </c>
      <c r="BR14" s="44">
        <f>(('Project W Pop Connected'!BS14*'Water Demand Criteria'!BV$17/1000)*('Wastewater Criteria'!$C$8+'Wastewater Criteria'!$C$10*'Water Demand Criteria'!BV$56+'Water Demand Criteria'!BV$37*'Wastewater Criteria'!$C$11)*(1+'Wastewater Criteria'!$C$23)+('Project Tankers'!BR14*'Wastewater Criteria'!$C$9))*(1+'Wastewater Criteria'!$C$36)</f>
        <v>51.738077197040909</v>
      </c>
      <c r="BS14" s="44">
        <f>(('Project W Pop Connected'!BT14*'Water Demand Criteria'!BW$17/1000)*('Wastewater Criteria'!$C$8+'Wastewater Criteria'!$C$10*'Water Demand Criteria'!BW$56+'Water Demand Criteria'!BW$37*'Wastewater Criteria'!$C$11)*(1+'Wastewater Criteria'!$C$23)+('Project Tankers'!BS14*'Wastewater Criteria'!$C$9))*(1+'Wastewater Criteria'!$C$36)</f>
        <v>52.955073042515039</v>
      </c>
      <c r="BT14" s="44">
        <f>(('Project W Pop Connected'!BU14*'Water Demand Criteria'!BX$17/1000)*('Wastewater Criteria'!$C$8+'Wastewater Criteria'!$C$10*'Water Demand Criteria'!BX$56+'Water Demand Criteria'!BX$37*'Wastewater Criteria'!$C$11)*(1+'Wastewater Criteria'!$C$23)+('Project Tankers'!BT14*'Wastewater Criteria'!$C$9))*(1+'Wastewater Criteria'!$C$36)</f>
        <v>54.201276788280545</v>
      </c>
      <c r="BU14" s="44">
        <f>(('Project W Pop Connected'!BV14*'Water Demand Criteria'!BY$17/1000)*('Wastewater Criteria'!$C$8+'Wastewater Criteria'!$C$10*'Water Demand Criteria'!BY$56+'Water Demand Criteria'!BY$37*'Wastewater Criteria'!$C$11)*(1+'Wastewater Criteria'!$C$23)+('Project Tankers'!BU14*'Wastewater Criteria'!$C$9))*(1+'Wastewater Criteria'!$C$36)</f>
        <v>55.477389423944423</v>
      </c>
      <c r="BV14" s="44">
        <f>(('Project W Pop Connected'!BW14*'Water Demand Criteria'!BZ$17/1000)*('Wastewater Criteria'!$C$8+'Wastewater Criteria'!$C$10*'Water Demand Criteria'!BZ$56+'Water Demand Criteria'!BZ$37*'Wastewater Criteria'!$C$11)*(1+'Wastewater Criteria'!$C$23)+('Project Tankers'!BV14*'Wastewater Criteria'!$C$9))*(1+'Wastewater Criteria'!$C$36)</f>
        <v>56.784128762864235</v>
      </c>
      <c r="BW14" s="44">
        <f>(('Project W Pop Connected'!BX14*'Water Demand Criteria'!CA$17/1000)*('Wastewater Criteria'!$C$8+'Wastewater Criteria'!$C$10*'Water Demand Criteria'!CA$56+'Water Demand Criteria'!CA$37*'Wastewater Criteria'!$C$11)*(1+'Wastewater Criteria'!$C$23)+('Project Tankers'!BW14*'Wastewater Criteria'!$C$9))*(1+'Wastewater Criteria'!$C$36)</f>
        <v>58.122229845918135</v>
      </c>
      <c r="BX14" s="44">
        <f>(('Project W Pop Connected'!BY14*'Water Demand Criteria'!CB$17/1000)*('Wastewater Criteria'!$C$8+'Wastewater Criteria'!$C$10*'Water Demand Criteria'!CB$56+'Water Demand Criteria'!CB$37*'Wastewater Criteria'!$C$11)*(1+'Wastewater Criteria'!$C$23)+('Project Tankers'!BX14*'Wastewater Criteria'!$C$9))*(1+'Wastewater Criteria'!$C$36)</f>
        <v>59.492445354965319</v>
      </c>
      <c r="BY14" s="44">
        <f>(('Project W Pop Connected'!BZ14*'Water Demand Criteria'!CC$17/1000)*('Wastewater Criteria'!$C$8+'Wastewater Criteria'!$C$10*'Water Demand Criteria'!CC$56+'Water Demand Criteria'!CC$37*'Wastewater Criteria'!$C$11)*(1+'Wastewater Criteria'!$C$23)+('Project Tankers'!BY14*'Wastewater Criteria'!$C$9))*(1+'Wastewater Criteria'!$C$36)</f>
        <v>60.895546036229632</v>
      </c>
      <c r="BZ14" s="44">
        <f>(('Project W Pop Connected'!CA14*'Water Demand Criteria'!CD$17/1000)*('Wastewater Criteria'!$C$8+'Wastewater Criteria'!$C$10*'Water Demand Criteria'!CD$56+'Water Demand Criteria'!CD$37*'Wastewater Criteria'!$C$11)*(1+'Wastewater Criteria'!$C$23)+('Project Tankers'!BZ14*'Wastewater Criteria'!$C$9))*(1+'Wastewater Criteria'!$C$36)</f>
        <v>62.332321133844296</v>
      </c>
      <c r="CA14" s="44">
        <f>(('Project W Pop Connected'!CB14*'Water Demand Criteria'!CE$17/1000)*('Wastewater Criteria'!$C$8+'Wastewater Criteria'!$C$10*'Water Demand Criteria'!CE$56+'Water Demand Criteria'!CE$37*'Wastewater Criteria'!$C$11)*(1+'Wastewater Criteria'!$C$23)+('Project Tankers'!CA14*'Wastewater Criteria'!$C$9))*(1+'Wastewater Criteria'!$C$36)</f>
        <v>63.803578833801701</v>
      </c>
    </row>
    <row r="15" spans="1:79" x14ac:dyDescent="0.25">
      <c r="A15" s="33">
        <v>14</v>
      </c>
      <c r="B15" s="36" t="s">
        <v>46</v>
      </c>
      <c r="C15" s="34">
        <f>(('Project W Pop Connected'!D15*'Water Demand Criteria'!G$17/1000)*('Wastewater Criteria'!$C$8+'Wastewater Criteria'!$C$10*'Water Demand Criteria'!G$56+'Water Demand Criteria'!G$37*'Wastewater Criteria'!$C$11)*(1+'Wastewater Criteria'!$C$23)+('Project Tankers'!C15*'Wastewater Criteria'!$C$9))*(1+'Wastewater Criteria'!$C$36)</f>
        <v>454.54379239847088</v>
      </c>
      <c r="D15" s="34">
        <f>(('Project W Pop Connected'!E15*'Water Demand Criteria'!H$17/1000)*('Wastewater Criteria'!$C$8+'Wastewater Criteria'!$C$10*'Water Demand Criteria'!H$56+'Water Demand Criteria'!H$37*'Wastewater Criteria'!$C$11)*(1+'Wastewater Criteria'!$C$23)+('Project Tankers'!D15*'Wastewater Criteria'!$C$9))*(1+'Wastewater Criteria'!$C$36)</f>
        <v>484.34672065860929</v>
      </c>
      <c r="E15" s="34">
        <f>(('Project W Pop Connected'!F15*'Water Demand Criteria'!I$17/1000)*('Wastewater Criteria'!$C$8+'Wastewater Criteria'!$C$10*'Water Demand Criteria'!I$56+'Water Demand Criteria'!I$37*'Wastewater Criteria'!$C$11)*(1+'Wastewater Criteria'!$C$23)+('Project Tankers'!E15*'Wastewater Criteria'!$C$9))*(1+'Wastewater Criteria'!$C$36)</f>
        <v>516.85290819821876</v>
      </c>
      <c r="F15" s="34">
        <f>(('Project W Pop Connected'!G15*'Water Demand Criteria'!J$17/1000)*('Wastewater Criteria'!$C$8+'Wastewater Criteria'!$C$10*'Water Demand Criteria'!J$56+'Water Demand Criteria'!J$37*'Wastewater Criteria'!$C$11)*(1+'Wastewater Criteria'!$C$23)+('Project Tankers'!F15*'Wastewater Criteria'!$C$9))*(1+'Wastewater Criteria'!$C$36)</f>
        <v>550.67081187670919</v>
      </c>
      <c r="G15" s="34">
        <f>(('Project W Pop Connected'!H15*'Water Demand Criteria'!K$17/1000)*('Wastewater Criteria'!$C$8+'Wastewater Criteria'!$C$10*'Water Demand Criteria'!K$56+'Water Demand Criteria'!K$37*'Wastewater Criteria'!$C$11)*(1+'Wastewater Criteria'!$C$23)+('Project Tankers'!G15*'Wastewater Criteria'!$C$9))*(1+'Wastewater Criteria'!$C$36)</f>
        <v>585.8575563389785</v>
      </c>
      <c r="H15" s="34">
        <f>(('Project W Pop Connected'!I15*'Water Demand Criteria'!L$17/1000)*('Wastewater Criteria'!$C$8+'Wastewater Criteria'!$C$10*'Water Demand Criteria'!L$56+'Water Demand Criteria'!L$37*'Wastewater Criteria'!$C$11)*(1+'Wastewater Criteria'!$C$23)+('Project Tankers'!H15*'Wastewater Criteria'!$C$9))*(1+'Wastewater Criteria'!$C$36)</f>
        <v>622.44709825323059</v>
      </c>
      <c r="I15" s="34">
        <f>(('Project W Pop Connected'!J15*'Water Demand Criteria'!M$17/1000)*('Wastewater Criteria'!$C$8+'Wastewater Criteria'!$C$10*'Water Demand Criteria'!M$56+'Water Demand Criteria'!M$37*'Wastewater Criteria'!$C$11)*(1+'Wastewater Criteria'!$C$23)+('Project Tankers'!I15*'Wastewater Criteria'!$C$9))*(1+'Wastewater Criteria'!$C$36)</f>
        <v>657.95436361453096</v>
      </c>
      <c r="J15" s="34">
        <f>(('Project W Pop Connected'!K15*'Water Demand Criteria'!N$17/1000)*('Wastewater Criteria'!$C$8+'Wastewater Criteria'!$C$10*'Water Demand Criteria'!N$56+'Water Demand Criteria'!N$37*'Wastewater Criteria'!$C$11)*(1+'Wastewater Criteria'!$C$23)+('Project Tankers'!J15*'Wastewater Criteria'!$C$9))*(1+'Wastewater Criteria'!$C$36)</f>
        <v>697.24260365731243</v>
      </c>
      <c r="K15" s="34">
        <f>(('Project W Pop Connected'!L15*'Water Demand Criteria'!O$17/1000)*('Wastewater Criteria'!$C$8+'Wastewater Criteria'!$C$10*'Water Demand Criteria'!O$56+'Water Demand Criteria'!O$37*'Wastewater Criteria'!$C$11)*(1+'Wastewater Criteria'!$C$23)+('Project Tankers'!K15*'Wastewater Criteria'!$C$9))*(1+'Wastewater Criteria'!$C$36)</f>
        <v>738.06177195891951</v>
      </c>
      <c r="L15" s="34">
        <f>(('Project W Pop Connected'!M15*'Water Demand Criteria'!P$17/1000)*('Wastewater Criteria'!$C$8+'Wastewater Criteria'!$C$10*'Water Demand Criteria'!P$56+'Water Demand Criteria'!P$37*'Wastewater Criteria'!$C$11)*(1+'Wastewater Criteria'!$C$23)+('Project Tankers'!L15*'Wastewater Criteria'!$C$9))*(1+'Wastewater Criteria'!$C$36)</f>
        <v>771.66856519735904</v>
      </c>
      <c r="M15" s="34">
        <f>(('Project W Pop Connected'!N15*'Water Demand Criteria'!Q$17/1000)*('Wastewater Criteria'!$C$8+'Wastewater Criteria'!$C$10*'Water Demand Criteria'!Q$56+'Water Demand Criteria'!Q$37*'Wastewater Criteria'!$C$11)*(1+'Wastewater Criteria'!$C$23)+('Project Tankers'!M15*'Wastewater Criteria'!$C$9))*(1+'Wastewater Criteria'!$C$36)</f>
        <v>824.64743312486291</v>
      </c>
      <c r="N15" s="34">
        <f>(('Project W Pop Connected'!O15*'Water Demand Criteria'!R$17/1000)*('Wastewater Criteria'!$C$8+'Wastewater Criteria'!$C$10*'Water Demand Criteria'!R$56+'Water Demand Criteria'!R$37*'Wastewater Criteria'!$C$11)*(1+'Wastewater Criteria'!$C$23)+('Project Tankers'!N15*'Wastewater Criteria'!$C$9))*(1+'Wastewater Criteria'!$C$36)</f>
        <v>866.87047669323476</v>
      </c>
      <c r="O15" s="34">
        <f>(('Project W Pop Connected'!P15*'Water Demand Criteria'!S$17/1000)*('Wastewater Criteria'!$C$8+'Wastewater Criteria'!$C$10*'Water Demand Criteria'!S$56+'Water Demand Criteria'!S$37*'Wastewater Criteria'!$C$11)*(1+'Wastewater Criteria'!$C$23)+('Project Tankers'!O15*'Wastewater Criteria'!$C$9))*(1+'Wastewater Criteria'!$C$36)</f>
        <v>887.36825752470634</v>
      </c>
      <c r="P15" s="34">
        <f>(('Project W Pop Connected'!Q15*'Water Demand Criteria'!T$17/1000)*('Wastewater Criteria'!$C$8+'Wastewater Criteria'!$C$10*'Water Demand Criteria'!T$56+'Water Demand Criteria'!T$37*'Wastewater Criteria'!$C$11)*(1+'Wastewater Criteria'!$C$23)+('Project Tankers'!P15*'Wastewater Criteria'!$C$9))*(1+'Wastewater Criteria'!$C$36)</f>
        <v>908.6743830314806</v>
      </c>
      <c r="Q15" s="34">
        <f>(('Project W Pop Connected'!R15*'Water Demand Criteria'!U$17/1000)*('Wastewater Criteria'!$C$8+'Wastewater Criteria'!$C$10*'Water Demand Criteria'!U$56+'Water Demand Criteria'!U$37*'Wastewater Criteria'!$C$11)*(1+'Wastewater Criteria'!$C$23)+('Project Tankers'!Q15*'Wastewater Criteria'!$C$9))*(1+'Wastewater Criteria'!$C$36)</f>
        <v>930.72970604219495</v>
      </c>
      <c r="R15" s="34">
        <f>(('Project W Pop Connected'!S15*'Water Demand Criteria'!V$17/1000)*('Wastewater Criteria'!$C$8+'Wastewater Criteria'!$C$10*'Water Demand Criteria'!V$56+'Water Demand Criteria'!V$37*'Wastewater Criteria'!$C$11)*(1+'Wastewater Criteria'!$C$23)+('Project Tankers'!R15*'Wastewater Criteria'!$C$9))*(1+'Wastewater Criteria'!$C$36)</f>
        <v>953.73138379472755</v>
      </c>
      <c r="S15" s="34">
        <f>(('Project W Pop Connected'!T15*'Water Demand Criteria'!W$17/1000)*('Wastewater Criteria'!$C$8+'Wastewater Criteria'!$C$10*'Water Demand Criteria'!W$56+'Water Demand Criteria'!W$37*'Wastewater Criteria'!$C$11)*(1+'Wastewater Criteria'!$C$23)+('Project Tankers'!S15*'Wastewater Criteria'!$C$9))*(1+'Wastewater Criteria'!$C$36)</f>
        <v>972.87863754672867</v>
      </c>
      <c r="T15" s="34">
        <f>(('Project W Pop Connected'!U15*'Water Demand Criteria'!X$17/1000)*('Wastewater Criteria'!$C$8+'Wastewater Criteria'!$C$10*'Water Demand Criteria'!X$56+'Water Demand Criteria'!X$37*'Wastewater Criteria'!$C$11)*(1+'Wastewater Criteria'!$C$23)+('Project Tankers'!T15*'Wastewater Criteria'!$C$9))*(1+'Wastewater Criteria'!$C$36)</f>
        <v>990.03694368063805</v>
      </c>
      <c r="U15" s="34">
        <f>(('Project W Pop Connected'!V15*'Water Demand Criteria'!Y$17/1000)*('Wastewater Criteria'!$C$8+'Wastewater Criteria'!$C$10*'Water Demand Criteria'!Y$56+'Water Demand Criteria'!Y$37*'Wastewater Criteria'!$C$11)*(1+'Wastewater Criteria'!$C$23)+('Project Tankers'!U15*'Wastewater Criteria'!$C$9))*(1+'Wastewater Criteria'!$C$36)</f>
        <v>1007.9785977527937</v>
      </c>
      <c r="V15" s="34">
        <f>(('Project W Pop Connected'!W15*'Water Demand Criteria'!Z$17/1000)*('Wastewater Criteria'!$C$8+'Wastewater Criteria'!$C$10*'Water Demand Criteria'!Z$56+'Water Demand Criteria'!Z$37*'Wastewater Criteria'!$C$11)*(1+'Wastewater Criteria'!$C$23)+('Project Tankers'!V15*'Wastewater Criteria'!$C$9))*(1+'Wastewater Criteria'!$C$36)</f>
        <v>1026.4787926973149</v>
      </c>
      <c r="W15" s="34">
        <f>(('Project W Pop Connected'!X15*'Water Demand Criteria'!AA$17/1000)*('Wastewater Criteria'!$C$8+'Wastewater Criteria'!$C$10*'Water Demand Criteria'!AA$56+'Water Demand Criteria'!AA$37*'Wastewater Criteria'!$C$11)*(1+'Wastewater Criteria'!$C$23)+('Project Tankers'!W15*'Wastewater Criteria'!$C$9))*(1+'Wastewater Criteria'!$C$36)</f>
        <v>1045.5759664117995</v>
      </c>
      <c r="X15" s="34">
        <f>(('Project W Pop Connected'!Y15*'Water Demand Criteria'!AB$17/1000)*('Wastewater Criteria'!$C$8+'Wastewater Criteria'!$C$10*'Water Demand Criteria'!AB$56+'Water Demand Criteria'!AB$37*'Wastewater Criteria'!$C$11)*(1+'Wastewater Criteria'!$C$23)+('Project Tankers'!X15*'Wastewater Criteria'!$C$9))*(1+'Wastewater Criteria'!$C$36)</f>
        <v>1065.3085567943986</v>
      </c>
      <c r="Y15" s="34">
        <f>(('Project W Pop Connected'!Z15*'Water Demand Criteria'!AC$17/1000)*('Wastewater Criteria'!$C$8+'Wastewater Criteria'!$C$10*'Water Demand Criteria'!AC$56+'Water Demand Criteria'!AC$37*'Wastewater Criteria'!$C$11)*(1+'Wastewater Criteria'!$C$23)+('Project Tankers'!Y15*'Wastewater Criteria'!$C$9))*(1+'Wastewater Criteria'!$C$36)</f>
        <v>1085.715001773114</v>
      </c>
      <c r="Z15" s="34">
        <f>(('Project W Pop Connected'!AA15*'Water Demand Criteria'!AD$17/1000)*('Wastewater Criteria'!$C$8+'Wastewater Criteria'!$C$10*'Water Demand Criteria'!AD$56+'Water Demand Criteria'!AD$37*'Wastewater Criteria'!$C$11)*(1+'Wastewater Criteria'!$C$23)+('Project Tankers'!Z15*'Wastewater Criteria'!$C$9))*(1+'Wastewater Criteria'!$C$36)</f>
        <v>1106.8337392253452</v>
      </c>
      <c r="AA15" s="34">
        <f>(('Project W Pop Connected'!AB15*'Water Demand Criteria'!AE$17/1000)*('Wastewater Criteria'!$C$8+'Wastewater Criteria'!$C$10*'Water Demand Criteria'!AE$56+'Water Demand Criteria'!AE$37*'Wastewater Criteria'!$C$11)*(1+'Wastewater Criteria'!$C$23)+('Project Tankers'!AA15*'Wastewater Criteria'!$C$9))*(1+'Wastewater Criteria'!$C$36)</f>
        <v>1128.7032071119145</v>
      </c>
      <c r="AB15" s="34">
        <f>(('Project W Pop Connected'!AC15*'Water Demand Criteria'!AF$17/1000)*('Wastewater Criteria'!$C$8+'Wastewater Criteria'!$C$10*'Water Demand Criteria'!AF$56+'Water Demand Criteria'!AF$37*'Wastewater Criteria'!$C$11)*(1+'Wastewater Criteria'!$C$23)+('Project Tankers'!AB15*'Wastewater Criteria'!$C$9))*(1+'Wastewater Criteria'!$C$36)</f>
        <v>1151.36184328132</v>
      </c>
      <c r="AC15" s="34">
        <f>(('Project W Pop Connected'!AD15*'Water Demand Criteria'!AG$17/1000)*('Wastewater Criteria'!$C$8+'Wastewater Criteria'!$C$10*'Water Demand Criteria'!AG$56+'Water Demand Criteria'!AG$37*'Wastewater Criteria'!$C$11)*(1+'Wastewater Criteria'!$C$23)+('Project Tankers'!AC15*'Wastewater Criteria'!$C$9))*(1+'Wastewater Criteria'!$C$36)</f>
        <v>1174.8480857136703</v>
      </c>
      <c r="AD15" s="44">
        <f>(('Project W Pop Connected'!AE15*'Water Demand Criteria'!AH$17/1000)*('Wastewater Criteria'!$C$8+'Wastewater Criteria'!$C$10*'Water Demand Criteria'!AH$56+'Water Demand Criteria'!AH$37*'Wastewater Criteria'!$C$11)*(1+'Wastewater Criteria'!$C$23)+('Project Tankers'!AD15*'Wastewater Criteria'!$C$9))*(1+'Wastewater Criteria'!$C$36)</f>
        <v>1213.2482975810976</v>
      </c>
      <c r="AE15" s="44">
        <f>(('Project W Pop Connected'!AF15*'Water Demand Criteria'!AI$17/1000)*('Wastewater Criteria'!$C$8+'Wastewater Criteria'!$C$10*'Water Demand Criteria'!AI$56+'Water Demand Criteria'!AI$37*'Wastewater Criteria'!$C$11)*(1+'Wastewater Criteria'!$C$23)+('Project Tankers'!AE15*'Wastewater Criteria'!$C$9))*(1+'Wastewater Criteria'!$C$36)</f>
        <v>1253.1536922199189</v>
      </c>
      <c r="AF15" s="44">
        <f>(('Project W Pop Connected'!AG15*'Water Demand Criteria'!AJ$17/1000)*('Wastewater Criteria'!$C$8+'Wastewater Criteria'!$C$10*'Water Demand Criteria'!AJ$56+'Water Demand Criteria'!AJ$37*'Wastewater Criteria'!$C$11)*(1+'Wastewater Criteria'!$C$23)+('Project Tankers'!AF15*'Wastewater Criteria'!$C$9))*(1+'Wastewater Criteria'!$C$36)</f>
        <v>1294.63282907654</v>
      </c>
      <c r="AG15" s="44">
        <f>(('Project W Pop Connected'!AH15*'Water Demand Criteria'!AK$17/1000)*('Wastewater Criteria'!$C$8+'Wastewater Criteria'!$C$10*'Water Demand Criteria'!AK$56+'Water Demand Criteria'!AK$37*'Wastewater Criteria'!$C$11)*(1+'Wastewater Criteria'!$C$23)+('Project Tankers'!AG15*'Wastewater Criteria'!$C$9))*(1+'Wastewater Criteria'!$C$36)</f>
        <v>1337.7576487118761</v>
      </c>
      <c r="AH15" s="44">
        <f>(('Project W Pop Connected'!AI15*'Water Demand Criteria'!AL$17/1000)*('Wastewater Criteria'!$C$8+'Wastewater Criteria'!$C$10*'Water Demand Criteria'!AL$56+'Water Demand Criteria'!AL$37*'Wastewater Criteria'!$C$11)*(1+'Wastewater Criteria'!$C$23)+('Project Tankers'!AH15*'Wastewater Criteria'!$C$9))*(1+'Wastewater Criteria'!$C$36)</f>
        <v>1382.6036545341137</v>
      </c>
      <c r="AI15" s="44">
        <f>(('Project W Pop Connected'!AJ15*'Water Demand Criteria'!AM$17/1000)*('Wastewater Criteria'!$C$8+'Wastewater Criteria'!$C$10*'Water Demand Criteria'!AM$56+'Water Demand Criteria'!AM$37*'Wastewater Criteria'!$C$11)*(1+'Wastewater Criteria'!$C$23)+('Project Tankers'!AI15*'Wastewater Criteria'!$C$9))*(1+'Wastewater Criteria'!$C$36)</f>
        <v>1429.2501049191469</v>
      </c>
      <c r="AJ15" s="44">
        <f>(('Project W Pop Connected'!AK15*'Water Demand Criteria'!AN$17/1000)*('Wastewater Criteria'!$C$8+'Wastewater Criteria'!$C$10*'Water Demand Criteria'!AN$56+'Water Demand Criteria'!AN$37*'Wastewater Criteria'!$C$11)*(1+'Wastewater Criteria'!$C$23)+('Project Tankers'!AJ15*'Wastewater Criteria'!$C$9))*(1+'Wastewater Criteria'!$C$36)</f>
        <v>1477.7802163496165</v>
      </c>
      <c r="AK15" s="44">
        <f>(('Project W Pop Connected'!AL15*'Water Demand Criteria'!AO$17/1000)*('Wastewater Criteria'!$C$8+'Wastewater Criteria'!$C$10*'Water Demand Criteria'!AO$56+'Water Demand Criteria'!AO$37*'Wastewater Criteria'!$C$11)*(1+'Wastewater Criteria'!$C$23)+('Project Tankers'!AK15*'Wastewater Criteria'!$C$9))*(1+'Wastewater Criteria'!$C$36)</f>
        <v>1528.0139532236281</v>
      </c>
      <c r="AL15" s="44">
        <f>(('Project W Pop Connected'!AM15*'Water Demand Criteria'!AP$17/1000)*('Wastewater Criteria'!$C$8+'Wastewater Criteria'!$C$10*'Water Demand Criteria'!AP$56+'Water Demand Criteria'!AP$37*'Wastewater Criteria'!$C$11)*(1+'Wastewater Criteria'!$C$23)+('Project Tankers'!AL15*'Wastewater Criteria'!$C$9))*(1+'Wastewater Criteria'!$C$36)</f>
        <v>1579.8500042547935</v>
      </c>
      <c r="AM15" s="44">
        <f>(('Project W Pop Connected'!AN15*'Water Demand Criteria'!AQ$17/1000)*('Wastewater Criteria'!$C$8+'Wastewater Criteria'!$C$10*'Water Demand Criteria'!AQ$56+'Water Demand Criteria'!AQ$37*'Wastewater Criteria'!$C$11)*(1+'Wastewater Criteria'!$C$23)+('Project Tankers'!AM15*'Wastewater Criteria'!$C$9))*(1+'Wastewater Criteria'!$C$36)</f>
        <v>1633.3363458902159</v>
      </c>
      <c r="AN15" s="44">
        <f>(('Project W Pop Connected'!AO15*'Water Demand Criteria'!AR$17/1000)*('Wastewater Criteria'!$C$8+'Wastewater Criteria'!$C$10*'Water Demand Criteria'!AR$56+'Water Demand Criteria'!AR$37*'Wastewater Criteria'!$C$11)*(1+'Wastewater Criteria'!$C$23)+('Project Tankers'!AN15*'Wastewater Criteria'!$C$9))*(1+'Wastewater Criteria'!$C$36)</f>
        <v>1688.5223345135066</v>
      </c>
      <c r="AO15" s="44">
        <f>(('Project W Pop Connected'!AP15*'Water Demand Criteria'!AS$17/1000)*('Wastewater Criteria'!$C$8+'Wastewater Criteria'!$C$10*'Water Demand Criteria'!AS$56+'Water Demand Criteria'!AS$37*'Wastewater Criteria'!$C$11)*(1+'Wastewater Criteria'!$C$23)+('Project Tankers'!AO15*'Wastewater Criteria'!$C$9))*(1+'Wastewater Criteria'!$C$36)</f>
        <v>1745.4587450473009</v>
      </c>
      <c r="AP15" s="44">
        <f>(('Project W Pop Connected'!AQ15*'Water Demand Criteria'!AT$17/1000)*('Wastewater Criteria'!$C$8+'Wastewater Criteria'!$C$10*'Water Demand Criteria'!AT$56+'Water Demand Criteria'!AT$37*'Wastewater Criteria'!$C$11)*(1+'Wastewater Criteria'!$C$23)+('Project Tankers'!AP15*'Wastewater Criteria'!$C$9))*(1+'Wastewater Criteria'!$C$36)</f>
        <v>1804.1978106138556</v>
      </c>
      <c r="AQ15" s="44">
        <f>(('Project W Pop Connected'!AR15*'Water Demand Criteria'!AU$17/1000)*('Wastewater Criteria'!$C$8+'Wastewater Criteria'!$C$10*'Water Demand Criteria'!AU$56+'Water Demand Criteria'!AU$37*'Wastewater Criteria'!$C$11)*(1+'Wastewater Criteria'!$C$23)+('Project Tankers'!AQ15*'Wastewater Criteria'!$C$9))*(1+'Wastewater Criteria'!$C$36)</f>
        <v>1864.793263282276</v>
      </c>
      <c r="AR15" s="44">
        <f>(('Project W Pop Connected'!AS15*'Water Demand Criteria'!AV$17/1000)*('Wastewater Criteria'!$C$8+'Wastewater Criteria'!$C$10*'Water Demand Criteria'!AV$56+'Water Demand Criteria'!AV$37*'Wastewater Criteria'!$C$11)*(1+'Wastewater Criteria'!$C$23)+('Project Tankers'!AR15*'Wastewater Criteria'!$C$9))*(1+'Wastewater Criteria'!$C$36)</f>
        <v>1927.3003759316855</v>
      </c>
      <c r="AS15" s="44">
        <f>(('Project W Pop Connected'!AT15*'Water Demand Criteria'!AW$17/1000)*('Wastewater Criteria'!$C$8+'Wastewater Criteria'!$C$10*'Water Demand Criteria'!AW$56+'Water Demand Criteria'!AW$37*'Wastewater Criteria'!$C$11)*(1+'Wastewater Criteria'!$C$23)+('Project Tankers'!AS15*'Wastewater Criteria'!$C$9))*(1+'Wastewater Criteria'!$C$36)</f>
        <v>1991.7760052604344</v>
      </c>
      <c r="AT15" s="44">
        <f>(('Project W Pop Connected'!AU15*'Water Demand Criteria'!AX$17/1000)*('Wastewater Criteria'!$C$8+'Wastewater Criteria'!$C$10*'Water Demand Criteria'!AX$56+'Water Demand Criteria'!AX$37*'Wastewater Criteria'!$C$11)*(1+'Wastewater Criteria'!$C$23)+('Project Tankers'!AT15*'Wastewater Criteria'!$C$9))*(1+'Wastewater Criteria'!$C$36)</f>
        <v>2058.2786359722459</v>
      </c>
      <c r="AU15" s="44">
        <f>(('Project W Pop Connected'!AV15*'Water Demand Criteria'!AY$17/1000)*('Wastewater Criteria'!$C$8+'Wastewater Criteria'!$C$10*'Water Demand Criteria'!AY$56+'Water Demand Criteria'!AY$37*'Wastewater Criteria'!$C$11)*(1+'Wastewater Criteria'!$C$23)+('Project Tankers'!AU15*'Wastewater Criteria'!$C$9))*(1+'Wastewater Criteria'!$C$36)</f>
        <v>2126.8684261710114</v>
      </c>
      <c r="AV15" s="44">
        <f>(('Project W Pop Connected'!AW15*'Water Demand Criteria'!AZ$17/1000)*('Wastewater Criteria'!$C$8+'Wastewater Criteria'!$C$10*'Water Demand Criteria'!AZ$56+'Water Demand Criteria'!AZ$37*'Wastewater Criteria'!$C$11)*(1+'Wastewater Criteria'!$C$23)+('Project Tankers'!AV15*'Wastewater Criteria'!$C$9))*(1+'Wastewater Criteria'!$C$36)</f>
        <v>2197.6072539968168</v>
      </c>
      <c r="AW15" s="44">
        <f>(('Project W Pop Connected'!AX15*'Water Demand Criteria'!BA$17/1000)*('Wastewater Criteria'!$C$8+'Wastewater Criteria'!$C$10*'Water Demand Criteria'!BA$56+'Water Demand Criteria'!BA$37*'Wastewater Criteria'!$C$11)*(1+'Wastewater Criteria'!$C$23)+('Project Tankers'!AW15*'Wastewater Criteria'!$C$9))*(1+'Wastewater Criteria'!$C$36)</f>
        <v>2270.5587655366039</v>
      </c>
      <c r="AX15" s="44">
        <f>(('Project W Pop Connected'!AY15*'Water Demand Criteria'!BB$17/1000)*('Wastewater Criteria'!$C$8+'Wastewater Criteria'!$C$10*'Water Demand Criteria'!BB$56+'Water Demand Criteria'!BB$37*'Wastewater Criteria'!$C$11)*(1+'Wastewater Criteria'!$C$23)+('Project Tankers'!AX15*'Wastewater Criteria'!$C$9))*(1+'Wastewater Criteria'!$C$36)</f>
        <v>2323.2898345837161</v>
      </c>
      <c r="AY15" s="44">
        <f>(('Project W Pop Connected'!AZ15*'Water Demand Criteria'!BC$17/1000)*('Wastewater Criteria'!$C$8+'Wastewater Criteria'!$C$10*'Water Demand Criteria'!BC$56+'Water Demand Criteria'!BC$37*'Wastewater Criteria'!$C$11)*(1+'Wastewater Criteria'!$C$23)+('Project Tankers'!AY15*'Wastewater Criteria'!$C$9))*(1+'Wastewater Criteria'!$C$36)</f>
        <v>2377.2864492879594</v>
      </c>
      <c r="AZ15" s="44">
        <f>(('Project W Pop Connected'!BA15*'Water Demand Criteria'!BD$17/1000)*('Wastewater Criteria'!$C$8+'Wastewater Criteria'!$C$10*'Water Demand Criteria'!BD$56+'Water Demand Criteria'!BD$37*'Wastewater Criteria'!$C$11)*(1+'Wastewater Criteria'!$C$23)+('Project Tankers'!AZ15*'Wastewater Criteria'!$C$9))*(1+'Wastewater Criteria'!$C$36)</f>
        <v>2432.5789827451049</v>
      </c>
      <c r="BA15" s="44">
        <f>(('Project W Pop Connected'!BB15*'Water Demand Criteria'!BE$17/1000)*('Wastewater Criteria'!$C$8+'Wastewater Criteria'!$C$10*'Water Demand Criteria'!BE$56+'Water Demand Criteria'!BE$37*'Wastewater Criteria'!$C$11)*(1+'Wastewater Criteria'!$C$23)+('Project Tankers'!BA15*'Wastewater Criteria'!$C$9))*(1+'Wastewater Criteria'!$C$36)</f>
        <v>2489.1985370052212</v>
      </c>
      <c r="BB15" s="44">
        <f>(('Project W Pop Connected'!BC15*'Water Demand Criteria'!BF$17/1000)*('Wastewater Criteria'!$C$8+'Wastewater Criteria'!$C$10*'Water Demand Criteria'!BF$56+'Water Demand Criteria'!BF$37*'Wastewater Criteria'!$C$11)*(1+'Wastewater Criteria'!$C$23)+('Project Tankers'!BB15*'Wastewater Criteria'!$C$9))*(1+'Wastewater Criteria'!$C$36)</f>
        <v>2547.1769605675809</v>
      </c>
      <c r="BC15" s="44">
        <f>(('Project W Pop Connected'!BD15*'Water Demand Criteria'!BG$17/1000)*('Wastewater Criteria'!$C$8+'Wastewater Criteria'!$C$10*'Water Demand Criteria'!BG$56+'Water Demand Criteria'!BG$37*'Wastewater Criteria'!$C$11)*(1+'Wastewater Criteria'!$C$23)+('Project Tankers'!BC15*'Wastewater Criteria'!$C$9))*(1+'Wastewater Criteria'!$C$36)</f>
        <v>2606.5468662954368</v>
      </c>
      <c r="BD15" s="44">
        <f>(('Project W Pop Connected'!BE15*'Water Demand Criteria'!BH$17/1000)*('Wastewater Criteria'!$C$8+'Wastewater Criteria'!$C$10*'Water Demand Criteria'!BH$56+'Water Demand Criteria'!BH$37*'Wastewater Criteria'!$C$11)*(1+'Wastewater Criteria'!$C$23)+('Project Tankers'!BD15*'Wastewater Criteria'!$C$9))*(1+'Wastewater Criteria'!$C$36)</f>
        <v>2667.3416497607614</v>
      </c>
      <c r="BE15" s="44">
        <f>(('Project W Pop Connected'!BF15*'Water Demand Criteria'!BI$17/1000)*('Wastewater Criteria'!$C$8+'Wastewater Criteria'!$C$10*'Water Demand Criteria'!BI$56+'Water Demand Criteria'!BI$37*'Wastewater Criteria'!$C$11)*(1+'Wastewater Criteria'!$C$23)+('Project Tankers'!BE15*'Wastewater Criteria'!$C$9))*(1+'Wastewater Criteria'!$C$36)</f>
        <v>2729.5955080292538</v>
      </c>
      <c r="BF15" s="44">
        <f>(('Project W Pop Connected'!BG15*'Water Demand Criteria'!BJ$17/1000)*('Wastewater Criteria'!$C$8+'Wastewater Criteria'!$C$10*'Water Demand Criteria'!BJ$56+'Water Demand Criteria'!BJ$37*'Wastewater Criteria'!$C$11)*(1+'Wastewater Criteria'!$C$23)+('Project Tankers'!BF15*'Wastewater Criteria'!$C$9))*(1+'Wastewater Criteria'!$C$36)</f>
        <v>2793.3434588961891</v>
      </c>
      <c r="BG15" s="44">
        <f>(('Project W Pop Connected'!BH15*'Water Demand Criteria'!BK$17/1000)*('Wastewater Criteria'!$C$8+'Wastewater Criteria'!$C$10*'Water Demand Criteria'!BK$56+'Water Demand Criteria'!BK$37*'Wastewater Criteria'!$C$11)*(1+'Wastewater Criteria'!$C$23)+('Project Tankers'!BG15*'Wastewater Criteria'!$C$9))*(1+'Wastewater Criteria'!$C$36)</f>
        <v>2858.6213605839325</v>
      </c>
      <c r="BH15" s="44">
        <f>(('Project W Pop Connected'!BI15*'Water Demand Criteria'!BL$17/1000)*('Wastewater Criteria'!$C$8+'Wastewater Criteria'!$C$10*'Water Demand Criteria'!BL$56+'Water Demand Criteria'!BL$37*'Wastewater Criteria'!$C$11)*(1+'Wastewater Criteria'!$C$23)+('Project Tankers'!BH15*'Wastewater Criteria'!$C$9))*(1+'Wastewater Criteria'!$C$36)</f>
        <v>2925.4659319121806</v>
      </c>
      <c r="BI15" s="44">
        <f>(('Project W Pop Connected'!BJ15*'Water Demand Criteria'!BM$17/1000)*('Wastewater Criteria'!$C$8+'Wastewater Criteria'!$C$10*'Water Demand Criteria'!BM$56+'Water Demand Criteria'!BM$37*'Wastewater Criteria'!$C$11)*(1+'Wastewater Criteria'!$C$23)+('Project Tankers'!BI15*'Wastewater Criteria'!$C$9))*(1+'Wastewater Criteria'!$C$36)</f>
        <v>2993.9147729523074</v>
      </c>
      <c r="BJ15" s="44">
        <f>(('Project W Pop Connected'!BK15*'Water Demand Criteria'!BN$17/1000)*('Wastewater Criteria'!$C$8+'Wastewater Criteria'!$C$10*'Water Demand Criteria'!BN$56+'Water Demand Criteria'!BN$37*'Wastewater Criteria'!$C$11)*(1+'Wastewater Criteria'!$C$23)+('Project Tankers'!BJ15*'Wastewater Criteria'!$C$9))*(1+'Wastewater Criteria'!$C$36)</f>
        <v>3064.0063861773965</v>
      </c>
      <c r="BK15" s="44">
        <f>(('Project W Pop Connected'!BL15*'Water Demand Criteria'!BO$17/1000)*('Wastewater Criteria'!$C$8+'Wastewater Criteria'!$C$10*'Water Demand Criteria'!BO$56+'Water Demand Criteria'!BO$37*'Wastewater Criteria'!$C$11)*(1+'Wastewater Criteria'!$C$23)+('Project Tankers'!BK15*'Wastewater Criteria'!$C$9))*(1+'Wastewater Criteria'!$C$36)</f>
        <v>3135.7801981198891</v>
      </c>
      <c r="BL15" s="44">
        <f>(('Project W Pop Connected'!BM15*'Water Demand Criteria'!BP$17/1000)*('Wastewater Criteria'!$C$8+'Wastewater Criteria'!$C$10*'Water Demand Criteria'!BP$56+'Water Demand Criteria'!BP$37*'Wastewater Criteria'!$C$11)*(1+'Wastewater Criteria'!$C$23)+('Project Tankers'!BL15*'Wastewater Criteria'!$C$9))*(1+'Wastewater Criteria'!$C$36)</f>
        <v>3209.2765815489993</v>
      </c>
      <c r="BM15" s="44">
        <f>(('Project W Pop Connected'!BN15*'Water Demand Criteria'!BQ$17/1000)*('Wastewater Criteria'!$C$8+'Wastewater Criteria'!$C$10*'Water Demand Criteria'!BQ$56+'Water Demand Criteria'!BQ$37*'Wastewater Criteria'!$C$11)*(1+'Wastewater Criteria'!$C$23)+('Project Tankers'!BM15*'Wastewater Criteria'!$C$9))*(1+'Wastewater Criteria'!$C$36)</f>
        <v>3284.5368781804086</v>
      </c>
      <c r="BN15" s="44">
        <f>(('Project W Pop Connected'!BO15*'Water Demand Criteria'!BR$17/1000)*('Wastewater Criteria'!$C$8+'Wastewater Criteria'!$C$10*'Water Demand Criteria'!BR$56+'Water Demand Criteria'!BR$37*'Wastewater Criteria'!$C$11)*(1+'Wastewater Criteria'!$C$23)+('Project Tankers'!BN15*'Wastewater Criteria'!$C$9))*(1+'Wastewater Criteria'!$C$36)</f>
        <v>3361.6034219309731</v>
      </c>
      <c r="BO15" s="44">
        <f>(('Project W Pop Connected'!BP15*'Water Demand Criteria'!BS$17/1000)*('Wastewater Criteria'!$C$8+'Wastewater Criteria'!$C$10*'Water Demand Criteria'!BS$56+'Water Demand Criteria'!BS$37*'Wastewater Criteria'!$C$11)*(1+'Wastewater Criteria'!$C$23)+('Project Tankers'!BO15*'Wastewater Criteria'!$C$9))*(1+'Wastewater Criteria'!$C$36)</f>
        <v>3440.5195627315497</v>
      </c>
      <c r="BP15" s="44">
        <f>(('Project W Pop Connected'!BQ15*'Water Demand Criteria'!BT$17/1000)*('Wastewater Criteria'!$C$8+'Wastewater Criteria'!$C$10*'Water Demand Criteria'!BT$56+'Water Demand Criteria'!BT$37*'Wastewater Criteria'!$C$11)*(1+'Wastewater Criteria'!$C$23)+('Project Tankers'!BP15*'Wastewater Criteria'!$C$9))*(1+'Wastewater Criteria'!$C$36)</f>
        <v>3521.3296909113405</v>
      </c>
      <c r="BQ15" s="44">
        <f>(('Project W Pop Connected'!BR15*'Water Demand Criteria'!BU$17/1000)*('Wastewater Criteria'!$C$8+'Wastewater Criteria'!$C$10*'Water Demand Criteria'!BU$56+'Water Demand Criteria'!BU$37*'Wastewater Criteria'!$C$11)*(1+'Wastewater Criteria'!$C$23)+('Project Tankers'!BQ15*'Wastewater Criteria'!$C$9))*(1+'Wastewater Criteria'!$C$36)</f>
        <v>3604.0792621674468</v>
      </c>
      <c r="BR15" s="44">
        <f>(('Project W Pop Connected'!BS15*'Water Demand Criteria'!BV$17/1000)*('Wastewater Criteria'!$C$8+'Wastewater Criteria'!$C$10*'Water Demand Criteria'!BV$56+'Water Demand Criteria'!BV$37*'Wastewater Criteria'!$C$11)*(1+'Wastewater Criteria'!$C$23)+('Project Tankers'!BR15*'Wastewater Criteria'!$C$9))*(1+'Wastewater Criteria'!$C$36)</f>
        <v>3688.8148231337004</v>
      </c>
      <c r="BS15" s="44">
        <f>(('Project W Pop Connected'!BT15*'Water Demand Criteria'!BW$17/1000)*('Wastewater Criteria'!$C$8+'Wastewater Criteria'!$C$10*'Water Demand Criteria'!BW$56+'Water Demand Criteria'!BW$37*'Wastewater Criteria'!$C$11)*(1+'Wastewater Criteria'!$C$23)+('Project Tankers'!BS15*'Wastewater Criteria'!$C$9))*(1+'Wastewater Criteria'!$C$36)</f>
        <v>3775.5840375631428</v>
      </c>
      <c r="BT15" s="44">
        <f>(('Project W Pop Connected'!BU15*'Water Demand Criteria'!BX$17/1000)*('Wastewater Criteria'!$C$8+'Wastewater Criteria'!$C$10*'Water Demand Criteria'!BX$56+'Water Demand Criteria'!BX$37*'Wastewater Criteria'!$C$11)*(1+'Wastewater Criteria'!$C$23)+('Project Tankers'!BT15*'Wastewater Criteria'!$C$9))*(1+'Wastewater Criteria'!$C$36)</f>
        <v>3864.435713138892</v>
      </c>
      <c r="BU15" s="44">
        <f>(('Project W Pop Connected'!BV15*'Water Demand Criteria'!BY$17/1000)*('Wastewater Criteria'!$C$8+'Wastewater Criteria'!$C$10*'Water Demand Criteria'!BY$56+'Water Demand Criteria'!BY$37*'Wastewater Criteria'!$C$11)*(1+'Wastewater Criteria'!$C$23)+('Project Tankers'!BU15*'Wastewater Criteria'!$C$9))*(1+'Wastewater Criteria'!$C$36)</f>
        <v>3955.41982892846</v>
      </c>
      <c r="BV15" s="44">
        <f>(('Project W Pop Connected'!BW15*'Water Demand Criteria'!BZ$17/1000)*('Wastewater Criteria'!$C$8+'Wastewater Criteria'!$C$10*'Water Demand Criteria'!BZ$56+'Water Demand Criteria'!BZ$37*'Wastewater Criteria'!$C$11)*(1+'Wastewater Criteria'!$C$23)+('Project Tankers'!BV15*'Wastewater Criteria'!$C$9))*(1+'Wastewater Criteria'!$C$36)</f>
        <v>4048.5875634969771</v>
      </c>
      <c r="BW15" s="44">
        <f>(('Project W Pop Connected'!BX15*'Water Demand Criteria'!CA$17/1000)*('Wastewater Criteria'!$C$8+'Wastewater Criteria'!$C$10*'Water Demand Criteria'!CA$56+'Water Demand Criteria'!CA$37*'Wastewater Criteria'!$C$11)*(1+'Wastewater Criteria'!$C$23)+('Project Tankers'!BW15*'Wastewater Criteria'!$C$9))*(1+'Wastewater Criteria'!$C$36)</f>
        <v>4143.9913236951379</v>
      </c>
      <c r="BX15" s="44">
        <f>(('Project W Pop Connected'!BY15*'Water Demand Criteria'!CB$17/1000)*('Wastewater Criteria'!$C$8+'Wastewater Criteria'!$C$10*'Water Demand Criteria'!CB$56+'Water Demand Criteria'!CB$37*'Wastewater Criteria'!$C$11)*(1+'Wastewater Criteria'!$C$23)+('Project Tankers'!BX15*'Wastewater Criteria'!$C$9))*(1+'Wastewater Criteria'!$C$36)</f>
        <v>4241.6847741380561</v>
      </c>
      <c r="BY15" s="44">
        <f>(('Project W Pop Connected'!BZ15*'Water Demand Criteria'!CC$17/1000)*('Wastewater Criteria'!$C$8+'Wastewater Criteria'!$C$10*'Water Demand Criteria'!CC$56+'Water Demand Criteria'!CC$37*'Wastewater Criteria'!$C$11)*(1+'Wastewater Criteria'!$C$23)+('Project Tankers'!BY15*'Wastewater Criteria'!$C$9))*(1+'Wastewater Criteria'!$C$36)</f>
        <v>4341.7228673916043</v>
      </c>
      <c r="BZ15" s="44">
        <f>(('Project W Pop Connected'!CA15*'Water Demand Criteria'!CD$17/1000)*('Wastewater Criteria'!$C$8+'Wastewater Criteria'!$C$10*'Water Demand Criteria'!CD$56+'Water Demand Criteria'!CD$37*'Wastewater Criteria'!$C$11)*(1+'Wastewater Criteria'!$C$23)+('Project Tankers'!BZ15*'Wastewater Criteria'!$C$9))*(1+'Wastewater Criteria'!$C$36)</f>
        <v>4444.1618748832352</v>
      </c>
      <c r="CA15" s="44">
        <f>(('Project W Pop Connected'!CB15*'Water Demand Criteria'!CE$17/1000)*('Wastewater Criteria'!$C$8+'Wastewater Criteria'!$C$10*'Water Demand Criteria'!CE$56+'Water Demand Criteria'!CE$37*'Wastewater Criteria'!$C$11)*(1+'Wastewater Criteria'!$C$23)+('Project Tankers'!CA15*'Wastewater Criteria'!$C$9))*(1+'Wastewater Criteria'!$C$36)</f>
        <v>4549.059418554667</v>
      </c>
    </row>
    <row r="16" spans="1:79" x14ac:dyDescent="0.25">
      <c r="A16" s="33">
        <v>15</v>
      </c>
      <c r="B16" s="36" t="s">
        <v>54</v>
      </c>
      <c r="C16" s="34">
        <f>(('Project W Pop Connected'!D16*'Water Demand Criteria'!G$17/1000)*('Wastewater Criteria'!$C$8+'Wastewater Criteria'!$C$10*'Water Demand Criteria'!G$56+'Water Demand Criteria'!G$37*'Wastewater Criteria'!$C$11)*(1+'Wastewater Criteria'!$C$23)+('Project Tankers'!C16*'Wastewater Criteria'!$C$9))*(1+'Wastewater Criteria'!$C$36)</f>
        <v>347.11356751646889</v>
      </c>
      <c r="D16" s="34">
        <f>(('Project W Pop Connected'!E16*'Water Demand Criteria'!H$17/1000)*('Wastewater Criteria'!$C$8+'Wastewater Criteria'!$C$10*'Water Demand Criteria'!H$56+'Water Demand Criteria'!H$37*'Wastewater Criteria'!$C$11)*(1+'Wastewater Criteria'!$C$23)+('Project Tankers'!D16*'Wastewater Criteria'!$C$9))*(1+'Wastewater Criteria'!$C$36)</f>
        <v>369.87265239193704</v>
      </c>
      <c r="E16" s="34">
        <f>(('Project W Pop Connected'!F16*'Water Demand Criteria'!I$17/1000)*('Wastewater Criteria'!$C$8+'Wastewater Criteria'!$C$10*'Water Demand Criteria'!I$56+'Water Demand Criteria'!I$37*'Wastewater Criteria'!$C$11)*(1+'Wastewater Criteria'!$C$23)+('Project Tankers'!E16*'Wastewater Criteria'!$C$9))*(1+'Wastewater Criteria'!$C$36)</f>
        <v>394.69608835548848</v>
      </c>
      <c r="F16" s="34">
        <f>(('Project W Pop Connected'!G16*'Water Demand Criteria'!J$17/1000)*('Wastewater Criteria'!$C$8+'Wastewater Criteria'!$C$10*'Water Demand Criteria'!J$56+'Water Demand Criteria'!J$37*'Wastewater Criteria'!$C$11)*(1+'Wastewater Criteria'!$C$23)+('Project Tankers'!F16*'Wastewater Criteria'!$C$9))*(1+'Wastewater Criteria'!$C$36)</f>
        <v>420.521219812742</v>
      </c>
      <c r="G16" s="34">
        <f>(('Project W Pop Connected'!H16*'Water Demand Criteria'!K$17/1000)*('Wastewater Criteria'!$C$8+'Wastewater Criteria'!$C$10*'Water Demand Criteria'!K$56+'Water Demand Criteria'!K$37*'Wastewater Criteria'!$C$11)*(1+'Wastewater Criteria'!$C$23)+('Project Tankers'!G16*'Wastewater Criteria'!$C$9))*(1+'Wastewater Criteria'!$C$36)</f>
        <v>447.39167014964056</v>
      </c>
      <c r="H16" s="34">
        <f>(('Project W Pop Connected'!I16*'Water Demand Criteria'!L$17/1000)*('Wastewater Criteria'!$C$8+'Wastewater Criteria'!$C$10*'Water Demand Criteria'!L$56+'Water Demand Criteria'!L$37*'Wastewater Criteria'!$C$11)*(1+'Wastewater Criteria'!$C$23)+('Project Tankers'!H16*'Wastewater Criteria'!$C$9))*(1+'Wastewater Criteria'!$C$36)</f>
        <v>475.33337046553777</v>
      </c>
      <c r="I16" s="34">
        <f>(('Project W Pop Connected'!J16*'Water Demand Criteria'!M$17/1000)*('Wastewater Criteria'!$C$8+'Wastewater Criteria'!$C$10*'Water Demand Criteria'!M$56+'Water Demand Criteria'!M$37*'Wastewater Criteria'!$C$11)*(1+'Wastewater Criteria'!$C$23)+('Project Tankers'!I16*'Wastewater Criteria'!$C$9))*(1+'Wastewater Criteria'!$C$36)</f>
        <v>502.44858743347794</v>
      </c>
      <c r="J16" s="34">
        <f>(('Project W Pop Connected'!K16*'Water Demand Criteria'!N$17/1000)*('Wastewater Criteria'!$C$8+'Wastewater Criteria'!$C$10*'Water Demand Criteria'!N$56+'Water Demand Criteria'!N$37*'Wastewater Criteria'!$C$11)*(1+'Wastewater Criteria'!$C$23)+('Project Tankers'!J16*'Wastewater Criteria'!$C$9))*(1+'Wastewater Criteria'!$C$36)</f>
        <v>532.4511557024955</v>
      </c>
      <c r="K16" s="34">
        <f>(('Project W Pop Connected'!L16*'Water Demand Criteria'!O$17/1000)*('Wastewater Criteria'!$C$8+'Wastewater Criteria'!$C$10*'Water Demand Criteria'!O$56+'Water Demand Criteria'!O$37*'Wastewater Criteria'!$C$11)*(1+'Wastewater Criteria'!$C$23)+('Project Tankers'!K16*'Wastewater Criteria'!$C$9))*(1+'Wastewater Criteria'!$C$36)</f>
        <v>563.62282137955094</v>
      </c>
      <c r="L16" s="34">
        <f>(('Project W Pop Connected'!M16*'Water Demand Criteria'!P$17/1000)*('Wastewater Criteria'!$C$8+'Wastewater Criteria'!$C$10*'Water Demand Criteria'!P$56+'Water Demand Criteria'!P$37*'Wastewater Criteria'!$C$11)*(1+'Wastewater Criteria'!$C$23)+('Project Tankers'!L16*'Wastewater Criteria'!$C$9))*(1+'Wastewater Criteria'!$C$36)</f>
        <v>589.2867377917164</v>
      </c>
      <c r="M16" s="34">
        <f>(('Project W Pop Connected'!N16*'Water Demand Criteria'!Q$17/1000)*('Wastewater Criteria'!$C$8+'Wastewater Criteria'!$C$10*'Water Demand Criteria'!Q$56+'Water Demand Criteria'!Q$37*'Wastewater Criteria'!$C$11)*(1+'Wastewater Criteria'!$C$23)+('Project Tankers'!M16*'Wastewater Criteria'!$C$9))*(1+'Wastewater Criteria'!$C$36)</f>
        <v>629.74419020188748</v>
      </c>
      <c r="N16" s="34">
        <f>(('Project W Pop Connected'!O16*'Water Demand Criteria'!R$17/1000)*('Wastewater Criteria'!$C$8+'Wastewater Criteria'!$C$10*'Water Demand Criteria'!R$56+'Water Demand Criteria'!R$37*'Wastewater Criteria'!$C$11)*(1+'Wastewater Criteria'!$C$23)+('Project Tankers'!N16*'Wastewater Criteria'!$C$9))*(1+'Wastewater Criteria'!$C$36)</f>
        <v>661.98792893404607</v>
      </c>
      <c r="O16" s="34">
        <f>(('Project W Pop Connected'!P16*'Water Demand Criteria'!S$17/1000)*('Wastewater Criteria'!$C$8+'Wastewater Criteria'!$C$10*'Water Demand Criteria'!S$56+'Water Demand Criteria'!S$37*'Wastewater Criteria'!$C$11)*(1+'Wastewater Criteria'!$C$23)+('Project Tankers'!O16*'Wastewater Criteria'!$C$9))*(1+'Wastewater Criteria'!$C$36)</f>
        <v>677.64111340069314</v>
      </c>
      <c r="P16" s="34">
        <f>(('Project W Pop Connected'!Q16*'Water Demand Criteria'!T$17/1000)*('Wastewater Criteria'!$C$8+'Wastewater Criteria'!$C$10*'Water Demand Criteria'!T$56+'Water Demand Criteria'!T$37*'Wastewater Criteria'!$C$11)*(1+'Wastewater Criteria'!$C$23)+('Project Tankers'!P16*'Wastewater Criteria'!$C$9))*(1+'Wastewater Criteria'!$C$36)</f>
        <v>693.91159241347634</v>
      </c>
      <c r="Q16" s="34">
        <f>(('Project W Pop Connected'!R16*'Water Demand Criteria'!U$17/1000)*('Wastewater Criteria'!$C$8+'Wastewater Criteria'!$C$10*'Water Demand Criteria'!U$56+'Water Demand Criteria'!U$37*'Wastewater Criteria'!$C$11)*(1+'Wastewater Criteria'!$C$23)+('Project Tankers'!Q16*'Wastewater Criteria'!$C$9))*(1+'Wastewater Criteria'!$C$36)</f>
        <v>710.7541980787754</v>
      </c>
      <c r="R16" s="34">
        <f>(('Project W Pop Connected'!S16*'Water Demand Criteria'!V$17/1000)*('Wastewater Criteria'!$C$8+'Wastewater Criteria'!$C$10*'Water Demand Criteria'!V$56+'Water Demand Criteria'!V$37*'Wastewater Criteria'!$C$11)*(1+'Wastewater Criteria'!$C$23)+('Project Tankers'!R16*'Wastewater Criteria'!$C$9))*(1+'Wastewater Criteria'!$C$36)</f>
        <v>728.31949004198975</v>
      </c>
      <c r="S16" s="34">
        <f>(('Project W Pop Connected'!T16*'Water Demand Criteria'!W$17/1000)*('Wastewater Criteria'!$C$8+'Wastewater Criteria'!$C$10*'Water Demand Criteria'!W$56+'Water Demand Criteria'!W$37*'Wastewater Criteria'!$C$11)*(1+'Wastewater Criteria'!$C$23)+('Project Tankers'!S16*'Wastewater Criteria'!$C$9))*(1+'Wastewater Criteria'!$C$36)</f>
        <v>742.94134093765399</v>
      </c>
      <c r="T16" s="34">
        <f>(('Project W Pop Connected'!U16*'Water Demand Criteria'!X$17/1000)*('Wastewater Criteria'!$C$8+'Wastewater Criteria'!$C$10*'Water Demand Criteria'!X$56+'Water Demand Criteria'!X$37*'Wastewater Criteria'!$C$11)*(1+'Wastewater Criteria'!$C$23)+('Project Tankers'!T16*'Wastewater Criteria'!$C$9))*(1+'Wastewater Criteria'!$C$36)</f>
        <v>756.0443267319464</v>
      </c>
      <c r="U16" s="34">
        <f>(('Project W Pop Connected'!V16*'Water Demand Criteria'!Y$17/1000)*('Wastewater Criteria'!$C$8+'Wastewater Criteria'!$C$10*'Water Demand Criteria'!Y$56+'Water Demand Criteria'!Y$37*'Wastewater Criteria'!$C$11)*(1+'Wastewater Criteria'!$C$23)+('Project Tankers'!U16*'Wastewater Criteria'!$C$9))*(1+'Wastewater Criteria'!$C$36)</f>
        <v>769.74551824810476</v>
      </c>
      <c r="V16" s="34">
        <f>(('Project W Pop Connected'!W16*'Water Demand Criteria'!Z$17/1000)*('Wastewater Criteria'!$C$8+'Wastewater Criteria'!$C$10*'Water Demand Criteria'!Z$56+'Water Demand Criteria'!Z$37*'Wastewater Criteria'!$C$11)*(1+'Wastewater Criteria'!$C$23)+('Project Tankers'!V16*'Wastewater Criteria'!$C$9))*(1+'Wastewater Criteria'!$C$36)</f>
        <v>783.87324097655312</v>
      </c>
      <c r="W16" s="34">
        <f>(('Project W Pop Connected'!X16*'Water Demand Criteria'!AA$17/1000)*('Wastewater Criteria'!$C$8+'Wastewater Criteria'!$C$10*'Water Demand Criteria'!AA$56+'Water Demand Criteria'!AA$37*'Wastewater Criteria'!$C$11)*(1+'Wastewater Criteria'!$C$23)+('Project Tankers'!W16*'Wastewater Criteria'!$C$9))*(1+'Wastewater Criteria'!$C$36)</f>
        <v>798.45684811930641</v>
      </c>
      <c r="X16" s="34">
        <f>(('Project W Pop Connected'!Y16*'Water Demand Criteria'!AB$17/1000)*('Wastewater Criteria'!$C$8+'Wastewater Criteria'!$C$10*'Water Demand Criteria'!AB$56+'Water Demand Criteria'!AB$37*'Wastewater Criteria'!$C$11)*(1+'Wastewater Criteria'!$C$23)+('Project Tankers'!X16*'Wastewater Criteria'!$C$9))*(1+'Wastewater Criteria'!$C$36)</f>
        <v>813.52569287880215</v>
      </c>
      <c r="Y16" s="34">
        <f>(('Project W Pop Connected'!Z16*'Water Demand Criteria'!AC$17/1000)*('Wastewater Criteria'!$C$8+'Wastewater Criteria'!$C$10*'Water Demand Criteria'!AC$56+'Water Demand Criteria'!AC$37*'Wastewater Criteria'!$C$11)*(1+'Wastewater Criteria'!$C$23)+('Project Tankers'!Y16*'Wastewater Criteria'!$C$9))*(1+'Wastewater Criteria'!$C$36)</f>
        <v>829.10912848027397</v>
      </c>
      <c r="Z16" s="34">
        <f>(('Project W Pop Connected'!AA16*'Water Demand Criteria'!AD$17/1000)*('Wastewater Criteria'!$C$8+'Wastewater Criteria'!$C$10*'Water Demand Criteria'!AD$56+'Water Demand Criteria'!AD$37*'Wastewater Criteria'!$C$11)*(1+'Wastewater Criteria'!$C$23)+('Project Tankers'!Z16*'Wastewater Criteria'!$C$9))*(1+'Wastewater Criteria'!$C$36)</f>
        <v>845.23650811031291</v>
      </c>
      <c r="AA16" s="34">
        <f>(('Project W Pop Connected'!AB16*'Water Demand Criteria'!AE$17/1000)*('Wastewater Criteria'!$C$8+'Wastewater Criteria'!$C$10*'Water Demand Criteria'!AE$56+'Water Demand Criteria'!AE$37*'Wastewater Criteria'!$C$11)*(1+'Wastewater Criteria'!$C$23)+('Project Tankers'!AA16*'Wastewater Criteria'!$C$9))*(1+'Wastewater Criteria'!$C$36)</f>
        <v>861.93718501921478</v>
      </c>
      <c r="AB16" s="34">
        <f>(('Project W Pop Connected'!AC16*'Water Demand Criteria'!AF$17/1000)*('Wastewater Criteria'!$C$8+'Wastewater Criteria'!$C$10*'Water Demand Criteria'!AF$56+'Water Demand Criteria'!AF$37*'Wastewater Criteria'!$C$11)*(1+'Wastewater Criteria'!$C$23)+('Project Tankers'!AB16*'Wastewater Criteria'!$C$9))*(1+'Wastewater Criteria'!$C$36)</f>
        <v>879.24051237150013</v>
      </c>
      <c r="AC16" s="34">
        <f>(('Project W Pop Connected'!AD16*'Water Demand Criteria'!AG$17/1000)*('Wastewater Criteria'!$C$8+'Wastewater Criteria'!$C$10*'Water Demand Criteria'!AG$56+'Water Demand Criteria'!AG$37*'Wastewater Criteria'!$C$11)*(1+'Wastewater Criteria'!$C$23)+('Project Tankers'!AC16*'Wastewater Criteria'!$C$9))*(1+'Wastewater Criteria'!$C$36)</f>
        <v>897.1758434321938</v>
      </c>
      <c r="AD16" s="44">
        <f>(('Project W Pop Connected'!AE16*'Water Demand Criteria'!AH$17/1000)*('Wastewater Criteria'!$C$8+'Wastewater Criteria'!$C$10*'Water Demand Criteria'!AH$56+'Water Demand Criteria'!AH$37*'Wastewater Criteria'!$C$11)*(1+'Wastewater Criteria'!$C$23)+('Project Tankers'!AD16*'Wastewater Criteria'!$C$9))*(1+'Wastewater Criteria'!$C$36)</f>
        <v>926.50026663981737</v>
      </c>
      <c r="AE16" s="44">
        <f>(('Project W Pop Connected'!AF16*'Water Demand Criteria'!AI$17/1000)*('Wastewater Criteria'!$C$8+'Wastewater Criteria'!$C$10*'Water Demand Criteria'!AI$56+'Water Demand Criteria'!AI$37*'Wastewater Criteria'!$C$11)*(1+'Wastewater Criteria'!$C$23)+('Project Tankers'!AE16*'Wastewater Criteria'!$C$9))*(1+'Wastewater Criteria'!$C$36)</f>
        <v>956.97412664600756</v>
      </c>
      <c r="AF16" s="44">
        <f>(('Project W Pop Connected'!AG16*'Water Demand Criteria'!AJ$17/1000)*('Wastewater Criteria'!$C$8+'Wastewater Criteria'!$C$10*'Water Demand Criteria'!AJ$56+'Water Demand Criteria'!AJ$37*'Wastewater Criteria'!$C$11)*(1+'Wastewater Criteria'!$C$23)+('Project Tankers'!AF16*'Wastewater Criteria'!$C$9))*(1+'Wastewater Criteria'!$C$36)</f>
        <v>988.6497790530783</v>
      </c>
      <c r="AG16" s="44">
        <f>(('Project W Pop Connected'!AH16*'Water Demand Criteria'!AK$17/1000)*('Wastewater Criteria'!$C$8+'Wastewater Criteria'!$C$10*'Water Demand Criteria'!AK$56+'Water Demand Criteria'!AK$37*'Wastewater Criteria'!$C$11)*(1+'Wastewater Criteria'!$C$23)+('Project Tankers'!AG16*'Wastewater Criteria'!$C$9))*(1+'Wastewater Criteria'!$C$36)</f>
        <v>1021.5821614603673</v>
      </c>
      <c r="AH16" s="44">
        <f>(('Project W Pop Connected'!AI16*'Water Demand Criteria'!AL$17/1000)*('Wastewater Criteria'!$C$8+'Wastewater Criteria'!$C$10*'Water Demand Criteria'!AL$56+'Water Demand Criteria'!AL$37*'Wastewater Criteria'!$C$11)*(1+'Wastewater Criteria'!$C$23)+('Project Tankers'!AH16*'Wastewater Criteria'!$C$9))*(1+'Wastewater Criteria'!$C$36)</f>
        <v>1055.8289322449409</v>
      </c>
      <c r="AI16" s="44">
        <f>(('Project W Pop Connected'!AJ16*'Water Demand Criteria'!AM$17/1000)*('Wastewater Criteria'!$C$8+'Wastewater Criteria'!$C$10*'Water Demand Criteria'!AM$56+'Water Demand Criteria'!AM$37*'Wastewater Criteria'!$C$11)*(1+'Wastewater Criteria'!$C$23)+('Project Tankers'!AI16*'Wastewater Criteria'!$C$9))*(1+'Wastewater Criteria'!$C$36)</f>
        <v>1091.4506172748722</v>
      </c>
      <c r="AJ16" s="44">
        <f>(('Project W Pop Connected'!AK16*'Water Demand Criteria'!AN$17/1000)*('Wastewater Criteria'!$C$8+'Wastewater Criteria'!$C$10*'Water Demand Criteria'!AN$56+'Water Demand Criteria'!AN$37*'Wastewater Criteria'!$C$11)*(1+'Wastewater Criteria'!$C$23)+('Project Tankers'!AJ16*'Wastewater Criteria'!$C$9))*(1+'Wastewater Criteria'!$C$36)</f>
        <v>1128.510765036905</v>
      </c>
      <c r="AK16" s="44">
        <f>(('Project W Pop Connected'!AL16*'Water Demand Criteria'!AO$17/1000)*('Wastewater Criteria'!$C$8+'Wastewater Criteria'!$C$10*'Water Demand Criteria'!AO$56+'Water Demand Criteria'!AO$37*'Wastewater Criteria'!$C$11)*(1+'Wastewater Criteria'!$C$23)+('Project Tankers'!AK16*'Wastewater Criteria'!$C$9))*(1+'Wastewater Criteria'!$C$36)</f>
        <v>1166.8718908681783</v>
      </c>
      <c r="AL16" s="44">
        <f>(('Project W Pop Connected'!AM16*'Water Demand Criteria'!AP$17/1000)*('Wastewater Criteria'!$C$8+'Wastewater Criteria'!$C$10*'Water Demand Criteria'!AP$56+'Water Demand Criteria'!AP$37*'Wastewater Criteria'!$C$11)*(1+'Wastewater Criteria'!$C$23)+('Project Tankers'!AL16*'Wastewater Criteria'!$C$9))*(1+'Wastewater Criteria'!$C$36)</f>
        <v>1206.4566281372774</v>
      </c>
      <c r="AM16" s="44">
        <f>(('Project W Pop Connected'!AN16*'Water Demand Criteria'!AQ$17/1000)*('Wastewater Criteria'!$C$8+'Wastewater Criteria'!$C$10*'Water Demand Criteria'!AQ$56+'Water Demand Criteria'!AQ$37*'Wastewater Criteria'!$C$11)*(1+'Wastewater Criteria'!$C$23)+('Project Tankers'!AM16*'Wastewater Criteria'!$C$9))*(1+'Wastewater Criteria'!$C$36)</f>
        <v>1247.3016141847399</v>
      </c>
      <c r="AN16" s="44">
        <f>(('Project W Pop Connected'!AO16*'Water Demand Criteria'!AR$17/1000)*('Wastewater Criteria'!$C$8+'Wastewater Criteria'!$C$10*'Water Demand Criteria'!AR$56+'Water Demand Criteria'!AR$37*'Wastewater Criteria'!$C$11)*(1+'Wastewater Criteria'!$C$23)+('Project Tankers'!AN16*'Wastewater Criteria'!$C$9))*(1+'Wastewater Criteria'!$C$36)</f>
        <v>1289.4445401432597</v>
      </c>
      <c r="AO16" s="44">
        <f>(('Project W Pop Connected'!AP16*'Water Demand Criteria'!AS$17/1000)*('Wastewater Criteria'!$C$8+'Wastewater Criteria'!$C$10*'Water Demand Criteria'!AS$56+'Water Demand Criteria'!AS$37*'Wastewater Criteria'!$C$11)*(1+'Wastewater Criteria'!$C$23)+('Project Tankers'!AO16*'Wastewater Criteria'!$C$9))*(1+'Wastewater Criteria'!$C$36)</f>
        <v>1332.9241804166052</v>
      </c>
      <c r="AP16" s="44">
        <f>(('Project W Pop Connected'!AQ16*'Water Demand Criteria'!AT$17/1000)*('Wastewater Criteria'!$C$8+'Wastewater Criteria'!$C$10*'Water Demand Criteria'!AT$56+'Water Demand Criteria'!AT$37*'Wastewater Criteria'!$C$11)*(1+'Wastewater Criteria'!$C$23)+('Project Tankers'!AP16*'Wastewater Criteria'!$C$9))*(1+'Wastewater Criteria'!$C$36)</f>
        <v>1377.7804229665344</v>
      </c>
      <c r="AQ16" s="44">
        <f>(('Project W Pop Connected'!AR16*'Water Demand Criteria'!AU$17/1000)*('Wastewater Criteria'!$C$8+'Wastewater Criteria'!$C$10*'Water Demand Criteria'!AU$56+'Water Demand Criteria'!AU$37*'Wastewater Criteria'!$C$11)*(1+'Wastewater Criteria'!$C$23)+('Project Tankers'!AQ16*'Wastewater Criteria'!$C$9))*(1+'Wastewater Criteria'!$C$36)</f>
        <v>1424.0543004295271</v>
      </c>
      <c r="AR16" s="44">
        <f>(('Project W Pop Connected'!AS16*'Water Demand Criteria'!AV$17/1000)*('Wastewater Criteria'!$C$8+'Wastewater Criteria'!$C$10*'Water Demand Criteria'!AV$56+'Water Demand Criteria'!AV$37*'Wastewater Criteria'!$C$11)*(1+'Wastewater Criteria'!$C$23)+('Project Tankers'!AR16*'Wastewater Criteria'!$C$9))*(1+'Wastewater Criteria'!$C$36)</f>
        <v>1471.7880220857012</v>
      </c>
      <c r="AS16" s="44">
        <f>(('Project W Pop Connected'!AT16*'Water Demand Criteria'!AW$17/1000)*('Wastewater Criteria'!$C$8+'Wastewater Criteria'!$C$10*'Water Demand Criteria'!AW$56+'Water Demand Criteria'!AW$37*'Wastewater Criteria'!$C$11)*(1+'Wastewater Criteria'!$C$23)+('Project Tankers'!AS16*'Wastewater Criteria'!$C$9))*(1+'Wastewater Criteria'!$C$36)</f>
        <v>1521.0250067029108</v>
      </c>
      <c r="AT16" s="44">
        <f>(('Project W Pop Connected'!AU16*'Water Demand Criteria'!AX$17/1000)*('Wastewater Criteria'!$C$8+'Wastewater Criteria'!$C$10*'Water Demand Criteria'!AX$56+'Water Demand Criteria'!AX$37*'Wastewater Criteria'!$C$11)*(1+'Wastewater Criteria'!$C$23)+('Project Tankers'!AT16*'Wastewater Criteria'!$C$9))*(1+'Wastewater Criteria'!$C$36)</f>
        <v>1571.8099162796113</v>
      </c>
      <c r="AU16" s="44">
        <f>(('Project W Pop Connected'!AV16*'Water Demand Criteria'!AY$17/1000)*('Wastewater Criteria'!$C$8+'Wastewater Criteria'!$C$10*'Water Demand Criteria'!AY$56+'Water Demand Criteria'!AY$37*'Wastewater Criteria'!$C$11)*(1+'Wastewater Criteria'!$C$23)+('Project Tankers'!AU16*'Wastewater Criteria'!$C$9))*(1+'Wastewater Criteria'!$C$36)</f>
        <v>1624.1886907107196</v>
      </c>
      <c r="AV16" s="44">
        <f>(('Project W Pop Connected'!AW16*'Water Demand Criteria'!AZ$17/1000)*('Wastewater Criteria'!$C$8+'Wastewater Criteria'!$C$10*'Water Demand Criteria'!AZ$56+'Water Demand Criteria'!AZ$37*'Wastewater Criteria'!$C$11)*(1+'Wastewater Criteria'!$C$23)+('Project Tankers'!AV16*'Wastewater Criteria'!$C$9))*(1+'Wastewater Criteria'!$C$36)</f>
        <v>1678.2085834013294</v>
      </c>
      <c r="AW16" s="44">
        <f>(('Project W Pop Connected'!AX16*'Water Demand Criteria'!BA$17/1000)*('Wastewater Criteria'!$C$8+'Wastewater Criteria'!$C$10*'Water Demand Criteria'!BA$56+'Water Demand Criteria'!BA$37*'Wastewater Criteria'!$C$11)*(1+'Wastewater Criteria'!$C$23)+('Project Tankers'!AW16*'Wastewater Criteria'!$C$9))*(1+'Wastewater Criteria'!$C$36)</f>
        <v>1733.9181978538268</v>
      </c>
      <c r="AX16" s="44">
        <f>(('Project W Pop Connected'!AY16*'Water Demand Criteria'!BB$17/1000)*('Wastewater Criteria'!$C$8+'Wastewater Criteria'!$C$10*'Water Demand Criteria'!BB$56+'Water Demand Criteria'!BB$37*'Wastewater Criteria'!$C$11)*(1+'Wastewater Criteria'!$C$23)+('Project Tankers'!AX16*'Wastewater Criteria'!$C$9))*(1+'Wastewater Criteria'!$C$36)</f>
        <v>1774.1864179945489</v>
      </c>
      <c r="AY16" s="44">
        <f>(('Project W Pop Connected'!AZ16*'Water Demand Criteria'!BC$17/1000)*('Wastewater Criteria'!$C$8+'Wastewater Criteria'!$C$10*'Water Demand Criteria'!BC$56+'Water Demand Criteria'!BC$37*'Wastewater Criteria'!$C$11)*(1+'Wastewater Criteria'!$C$23)+('Project Tankers'!AY16*'Wastewater Criteria'!$C$9))*(1+'Wastewater Criteria'!$C$36)</f>
        <v>1815.4210754186488</v>
      </c>
      <c r="AZ16" s="44">
        <f>(('Project W Pop Connected'!BA16*'Water Demand Criteria'!BD$17/1000)*('Wastewater Criteria'!$C$8+'Wastewater Criteria'!$C$10*'Water Demand Criteria'!BD$56+'Water Demand Criteria'!BD$37*'Wastewater Criteria'!$C$11)*(1+'Wastewater Criteria'!$C$23)+('Project Tankers'!AZ16*'Wastewater Criteria'!$C$9))*(1+'Wastewater Criteria'!$C$36)</f>
        <v>1857.6453646209266</v>
      </c>
      <c r="BA16" s="44">
        <f>(('Project W Pop Connected'!BB16*'Water Demand Criteria'!BE$17/1000)*('Wastewater Criteria'!$C$8+'Wastewater Criteria'!$C$10*'Water Demand Criteria'!BE$56+'Water Demand Criteria'!BE$37*'Wastewater Criteria'!$C$11)*(1+'Wastewater Criteria'!$C$23)+('Project Tankers'!BA16*'Wastewater Criteria'!$C$9))*(1+'Wastewater Criteria'!$C$36)</f>
        <v>1900.8830367640599</v>
      </c>
      <c r="BB16" s="44">
        <f>(('Project W Pop Connected'!BC16*'Water Demand Criteria'!BF$17/1000)*('Wastewater Criteria'!$C$8+'Wastewater Criteria'!$C$10*'Water Demand Criteria'!BF$56+'Water Demand Criteria'!BF$37*'Wastewater Criteria'!$C$11)*(1+'Wastewater Criteria'!$C$23)+('Project Tankers'!BB16*'Wastewater Criteria'!$C$9))*(1+'Wastewater Criteria'!$C$36)</f>
        <v>1945.1584130386279</v>
      </c>
      <c r="BC16" s="44">
        <f>(('Project W Pop Connected'!BD16*'Water Demand Criteria'!BG$17/1000)*('Wastewater Criteria'!$C$8+'Wastewater Criteria'!$C$10*'Water Demand Criteria'!BG$56+'Water Demand Criteria'!BG$37*'Wastewater Criteria'!$C$11)*(1+'Wastewater Criteria'!$C$23)+('Project Tankers'!BC16*'Wastewater Criteria'!$C$9))*(1+'Wastewater Criteria'!$C$36)</f>
        <v>1990.4963983437851</v>
      </c>
      <c r="BD16" s="44">
        <f>(('Project W Pop Connected'!BE16*'Water Demand Criteria'!BH$17/1000)*('Wastewater Criteria'!$C$8+'Wastewater Criteria'!$C$10*'Water Demand Criteria'!BH$56+'Water Demand Criteria'!BH$37*'Wastewater Criteria'!$C$11)*(1+'Wastewater Criteria'!$C$23)+('Project Tankers'!BD16*'Wastewater Criteria'!$C$9))*(1+'Wastewater Criteria'!$C$36)</f>
        <v>2036.9224952962666</v>
      </c>
      <c r="BE16" s="44">
        <f>(('Project W Pop Connected'!BF16*'Water Demand Criteria'!BI$17/1000)*('Wastewater Criteria'!$C$8+'Wastewater Criteria'!$C$10*'Water Demand Criteria'!BI$56+'Water Demand Criteria'!BI$37*'Wastewater Criteria'!$C$11)*(1+'Wastewater Criteria'!$C$23)+('Project Tankers'!BE16*'Wastewater Criteria'!$C$9))*(1+'Wastewater Criteria'!$C$36)</f>
        <v>2084.4628185756083</v>
      </c>
      <c r="BF16" s="44">
        <f>(('Project W Pop Connected'!BG16*'Water Demand Criteria'!BJ$17/1000)*('Wastewater Criteria'!$C$8+'Wastewater Criteria'!$C$10*'Water Demand Criteria'!BJ$56+'Water Demand Criteria'!BJ$37*'Wastewater Criteria'!$C$11)*(1+'Wastewater Criteria'!$C$23)+('Project Tankers'!BF16*'Wastewater Criteria'!$C$9))*(1+'Wastewater Criteria'!$C$36)</f>
        <v>2133.1441096136532</v>
      </c>
      <c r="BG16" s="44">
        <f>(('Project W Pop Connected'!BH16*'Water Demand Criteria'!BK$17/1000)*('Wastewater Criteria'!$C$8+'Wastewater Criteria'!$C$10*'Water Demand Criteria'!BK$56+'Water Demand Criteria'!BK$37*'Wastewater Criteria'!$C$11)*(1+'Wastewater Criteria'!$C$23)+('Project Tankers'!BG16*'Wastewater Criteria'!$C$9))*(1+'Wastewater Criteria'!$C$36)</f>
        <v>2182.9937516366108</v>
      </c>
      <c r="BH16" s="44">
        <f>(('Project W Pop Connected'!BI16*'Water Demand Criteria'!BL$17/1000)*('Wastewater Criteria'!$C$8+'Wastewater Criteria'!$C$10*'Water Demand Criteria'!BL$56+'Water Demand Criteria'!BL$37*'Wastewater Criteria'!$C$11)*(1+'Wastewater Criteria'!$C$23)+('Project Tankers'!BH16*'Wastewater Criteria'!$C$9))*(1+'Wastewater Criteria'!$C$36)</f>
        <v>2234.0397850681206</v>
      </c>
      <c r="BI16" s="44">
        <f>(('Project W Pop Connected'!BJ16*'Water Demand Criteria'!BM$17/1000)*('Wastewater Criteria'!$C$8+'Wastewater Criteria'!$C$10*'Water Demand Criteria'!BM$56+'Water Demand Criteria'!BM$37*'Wastewater Criteria'!$C$11)*(1+'Wastewater Criteria'!$C$23)+('Project Tankers'!BI16*'Wastewater Criteria'!$C$9))*(1+'Wastewater Criteria'!$C$36)</f>
        <v>2286.3109233019863</v>
      </c>
      <c r="BJ16" s="44">
        <f>(('Project W Pop Connected'!BK16*'Water Demand Criteria'!BN$17/1000)*('Wastewater Criteria'!$C$8+'Wastewater Criteria'!$C$10*'Water Demand Criteria'!BN$56+'Water Demand Criteria'!BN$37*'Wastewater Criteria'!$C$11)*(1+'Wastewater Criteria'!$C$23)+('Project Tankers'!BJ16*'Wastewater Criteria'!$C$9))*(1+'Wastewater Criteria'!$C$36)</f>
        <v>2339.8365688534645</v>
      </c>
      <c r="BK16" s="44">
        <f>(('Project W Pop Connected'!BL16*'Water Demand Criteria'!BO$17/1000)*('Wastewater Criteria'!$C$8+'Wastewater Criteria'!$C$10*'Water Demand Criteria'!BO$56+'Water Demand Criteria'!BO$37*'Wastewater Criteria'!$C$11)*(1+'Wastewater Criteria'!$C$23)+('Project Tankers'!BK16*'Wastewater Criteria'!$C$9))*(1+'Wastewater Criteria'!$C$36)</f>
        <v>2394.6468298981781</v>
      </c>
      <c r="BL16" s="44">
        <f>(('Project W Pop Connected'!BM16*'Water Demand Criteria'!BP$17/1000)*('Wastewater Criteria'!$C$8+'Wastewater Criteria'!$C$10*'Water Demand Criteria'!BP$56+'Water Demand Criteria'!BP$37*'Wastewater Criteria'!$C$11)*(1+'Wastewater Criteria'!$C$23)+('Project Tankers'!BL16*'Wastewater Criteria'!$C$9))*(1+'Wastewater Criteria'!$C$36)</f>
        <v>2450.7725372079653</v>
      </c>
      <c r="BM16" s="44">
        <f>(('Project W Pop Connected'!BN16*'Water Demand Criteria'!BQ$17/1000)*('Wastewater Criteria'!$C$8+'Wastewater Criteria'!$C$10*'Water Demand Criteria'!BQ$56+'Water Demand Criteria'!BQ$37*'Wastewater Criteria'!$C$11)*(1+'Wastewater Criteria'!$C$23)+('Project Tankers'!BM16*'Wastewater Criteria'!$C$9))*(1+'Wastewater Criteria'!$C$36)</f>
        <v>2508.2452614931872</v>
      </c>
      <c r="BN16" s="44">
        <f>(('Project W Pop Connected'!BO16*'Water Demand Criteria'!BR$17/1000)*('Wastewater Criteria'!$C$8+'Wastewater Criteria'!$C$10*'Water Demand Criteria'!BR$56+'Water Demand Criteria'!BR$37*'Wastewater Criteria'!$C$11)*(1+'Wastewater Criteria'!$C$23)+('Project Tankers'!BN16*'Wastewater Criteria'!$C$9))*(1+'Wastewater Criteria'!$C$36)</f>
        <v>2567.0973311612547</v>
      </c>
      <c r="BO16" s="44">
        <f>(('Project W Pop Connected'!BP16*'Water Demand Criteria'!BS$17/1000)*('Wastewater Criteria'!$C$8+'Wastewater Criteria'!$C$10*'Water Demand Criteria'!BS$56+'Water Demand Criteria'!BS$37*'Wastewater Criteria'!$C$11)*(1+'Wastewater Criteria'!$C$23)+('Project Tankers'!BO16*'Wastewater Criteria'!$C$9))*(1+'Wastewater Criteria'!$C$36)</f>
        <v>2627.3618505013551</v>
      </c>
      <c r="BP16" s="44">
        <f>(('Project W Pop Connected'!BQ16*'Water Demand Criteria'!BT$17/1000)*('Wastewater Criteria'!$C$8+'Wastewater Criteria'!$C$10*'Water Demand Criteria'!BT$56+'Water Demand Criteria'!BT$37*'Wastewater Criteria'!$C$11)*(1+'Wastewater Criteria'!$C$23)+('Project Tankers'!BP16*'Wastewater Criteria'!$C$9))*(1+'Wastewater Criteria'!$C$36)</f>
        <v>2689.0727183056183</v>
      </c>
      <c r="BQ16" s="44">
        <f>(('Project W Pop Connected'!BR16*'Water Demand Criteria'!BU$17/1000)*('Wastewater Criteria'!$C$8+'Wastewater Criteria'!$C$10*'Water Demand Criteria'!BU$56+'Water Demand Criteria'!BU$37*'Wastewater Criteria'!$C$11)*(1+'Wastewater Criteria'!$C$23)+('Project Tankers'!BQ16*'Wastewater Criteria'!$C$9))*(1+'Wastewater Criteria'!$C$36)</f>
        <v>2752.2646469371834</v>
      </c>
      <c r="BR16" s="44">
        <f>(('Project W Pop Connected'!BS16*'Water Demand Criteria'!BV$17/1000)*('Wastewater Criteria'!$C$8+'Wastewater Criteria'!$C$10*'Water Demand Criteria'!BV$56+'Water Demand Criteria'!BV$37*'Wastewater Criteria'!$C$11)*(1+'Wastewater Criteria'!$C$23)+('Project Tankers'!BR16*'Wastewater Criteria'!$C$9))*(1+'Wastewater Criteria'!$C$36)</f>
        <v>2816.9731818559062</v>
      </c>
      <c r="BS16" s="44">
        <f>(('Project W Pop Connected'!BT16*'Water Demand Criteria'!BW$17/1000)*('Wastewater Criteria'!$C$8+'Wastewater Criteria'!$C$10*'Water Demand Criteria'!BW$56+'Water Demand Criteria'!BW$37*'Wastewater Criteria'!$C$11)*(1+'Wastewater Criteria'!$C$23)+('Project Tankers'!BS16*'Wastewater Criteria'!$C$9))*(1+'Wastewater Criteria'!$C$36)</f>
        <v>2883.2347216126796</v>
      </c>
      <c r="BT16" s="44">
        <f>(('Project W Pop Connected'!BU16*'Water Demand Criteria'!BX$17/1000)*('Wastewater Criteria'!$C$8+'Wastewater Criteria'!$C$10*'Water Demand Criteria'!BX$56+'Water Demand Criteria'!BX$37*'Wastewater Criteria'!$C$11)*(1+'Wastewater Criteria'!$C$23)+('Project Tankers'!BT16*'Wastewater Criteria'!$C$9))*(1+'Wastewater Criteria'!$C$36)</f>
        <v>2951.0865383236137</v>
      </c>
      <c r="BU16" s="44">
        <f>(('Project W Pop Connected'!BV16*'Water Demand Criteria'!BY$17/1000)*('Wastewater Criteria'!$C$8+'Wastewater Criteria'!$C$10*'Water Demand Criteria'!BY$56+'Water Demand Criteria'!BY$37*'Wastewater Criteria'!$C$11)*(1+'Wastewater Criteria'!$C$23)+('Project Tankers'!BU16*'Wastewater Criteria'!$C$9))*(1+'Wastewater Criteria'!$C$36)</f>
        <v>3020.5667986356116</v>
      </c>
      <c r="BV16" s="44">
        <f>(('Project W Pop Connected'!BW16*'Water Demand Criteria'!BZ$17/1000)*('Wastewater Criteria'!$C$8+'Wastewater Criteria'!$C$10*'Water Demand Criteria'!BZ$56+'Water Demand Criteria'!BZ$37*'Wastewater Criteria'!$C$11)*(1+'Wastewater Criteria'!$C$23)+('Project Tankers'!BV16*'Wastewater Criteria'!$C$9))*(1+'Wastewater Criteria'!$C$36)</f>
        <v>3091.7145851950972</v>
      </c>
      <c r="BW16" s="44">
        <f>(('Project W Pop Connected'!BX16*'Water Demand Criteria'!CA$17/1000)*('Wastewater Criteria'!$C$8+'Wastewater Criteria'!$C$10*'Water Demand Criteria'!CA$56+'Water Demand Criteria'!CA$37*'Wastewater Criteria'!$C$11)*(1+'Wastewater Criteria'!$C$23)+('Project Tankers'!BW16*'Wastewater Criteria'!$C$9))*(1+'Wastewater Criteria'!$C$36)</f>
        <v>3164.5699186320103</v>
      </c>
      <c r="BX16" s="44">
        <f>(('Project W Pop Connected'!BY16*'Water Demand Criteria'!CB$17/1000)*('Wastewater Criteria'!$C$8+'Wastewater Criteria'!$C$10*'Water Demand Criteria'!CB$56+'Water Demand Criteria'!CB$37*'Wastewater Criteria'!$C$11)*(1+'Wastewater Criteria'!$C$23)+('Project Tankers'!BX16*'Wastewater Criteria'!$C$9))*(1+'Wastewater Criteria'!$C$36)</f>
        <v>3239.1737800714095</v>
      </c>
      <c r="BY16" s="44">
        <f>(('Project W Pop Connected'!BZ16*'Water Demand Criteria'!CC$17/1000)*('Wastewater Criteria'!$C$8+'Wastewater Criteria'!$C$10*'Water Demand Criteria'!CC$56+'Water Demand Criteria'!CC$37*'Wastewater Criteria'!$C$11)*(1+'Wastewater Criteria'!$C$23)+('Project Tankers'!BY16*'Wastewater Criteria'!$C$9))*(1+'Wastewater Criteria'!$C$36)</f>
        <v>3315.5681341853528</v>
      </c>
      <c r="BZ16" s="44">
        <f>(('Project W Pop Connected'!CA16*'Water Demand Criteria'!CD$17/1000)*('Wastewater Criteria'!$C$8+'Wastewater Criteria'!$C$10*'Water Demand Criteria'!CD$56+'Water Demand Criteria'!CD$37*'Wastewater Criteria'!$C$11)*(1+'Wastewater Criteria'!$C$23)+('Project Tankers'!BZ16*'Wastewater Criteria'!$C$9))*(1+'Wastewater Criteria'!$C$36)</f>
        <v>3393.7959527980324</v>
      </c>
      <c r="CA16" s="44">
        <f>(('Project W Pop Connected'!CB16*'Water Demand Criteria'!CE$17/1000)*('Wastewater Criteria'!$C$8+'Wastewater Criteria'!$C$10*'Water Demand Criteria'!CE$56+'Water Demand Criteria'!CE$37*'Wastewater Criteria'!$C$11)*(1+'Wastewater Criteria'!$C$23)+('Project Tankers'!CA16*'Wastewater Criteria'!$C$9))*(1+'Wastewater Criteria'!$C$36)</f>
        <v>3473.9012390574162</v>
      </c>
    </row>
    <row r="17" spans="1:79" x14ac:dyDescent="0.25">
      <c r="A17" s="33">
        <v>16</v>
      </c>
      <c r="B17" s="36" t="s">
        <v>49</v>
      </c>
      <c r="C17" s="34">
        <f>(('Project W Pop Connected'!D17*'Water Demand Criteria'!G$17/1000)*('Wastewater Criteria'!$C$8+'Wastewater Criteria'!$C$10*'Water Demand Criteria'!G$56+'Water Demand Criteria'!G$37*'Wastewater Criteria'!$C$11)*(1+'Wastewater Criteria'!$C$23)+('Project Tankers'!C17*'Wastewater Criteria'!$C$9))*(1+'Wastewater Criteria'!$C$36)</f>
        <v>117.59795361233381</v>
      </c>
      <c r="D17" s="34">
        <f>(('Project W Pop Connected'!E17*'Water Demand Criteria'!H$17/1000)*('Wastewater Criteria'!$C$8+'Wastewater Criteria'!$C$10*'Water Demand Criteria'!H$56+'Water Demand Criteria'!H$37*'Wastewater Criteria'!$C$11)*(1+'Wastewater Criteria'!$C$23)+('Project Tankers'!D17*'Wastewater Criteria'!$C$9))*(1+'Wastewater Criteria'!$C$36)</f>
        <v>126.79408247565314</v>
      </c>
      <c r="E17" s="34">
        <f>(('Project W Pop Connected'!F17*'Water Demand Criteria'!I$17/1000)*('Wastewater Criteria'!$C$8+'Wastewater Criteria'!$C$10*'Water Demand Criteria'!I$56+'Water Demand Criteria'!I$37*'Wastewater Criteria'!$C$11)*(1+'Wastewater Criteria'!$C$23)+('Project Tankers'!E17*'Wastewater Criteria'!$C$9))*(1+'Wastewater Criteria'!$C$36)</f>
        <v>136.82434147772895</v>
      </c>
      <c r="F17" s="34">
        <f>(('Project W Pop Connected'!G17*'Water Demand Criteria'!J$17/1000)*('Wastewater Criteria'!$C$8+'Wastewater Criteria'!$C$10*'Water Demand Criteria'!J$56+'Water Demand Criteria'!J$37*'Wastewater Criteria'!$C$11)*(1+'Wastewater Criteria'!$C$23)+('Project Tankers'!F17*'Wastewater Criteria'!$C$9))*(1+'Wastewater Criteria'!$C$36)</f>
        <v>147.25934965545474</v>
      </c>
      <c r="G17" s="34">
        <f>(('Project W Pop Connected'!H17*'Water Demand Criteria'!K$17/1000)*('Wastewater Criteria'!$C$8+'Wastewater Criteria'!$C$10*'Water Demand Criteria'!K$56+'Water Demand Criteria'!K$37*'Wastewater Criteria'!$C$11)*(1+'Wastewater Criteria'!$C$23)+('Project Tankers'!G17*'Wastewater Criteria'!$C$9))*(1+'Wastewater Criteria'!$C$36)</f>
        <v>158.11673365246651</v>
      </c>
      <c r="H17" s="34">
        <f>(('Project W Pop Connected'!I17*'Water Demand Criteria'!L$17/1000)*('Wastewater Criteria'!$C$8+'Wastewater Criteria'!$C$10*'Water Demand Criteria'!L$56+'Water Demand Criteria'!L$37*'Wastewater Criteria'!$C$11)*(1+'Wastewater Criteria'!$C$23)+('Project Tankers'!H17*'Wastewater Criteria'!$C$9))*(1+'Wastewater Criteria'!$C$36)</f>
        <v>169.40697129476334</v>
      </c>
      <c r="I17" s="34">
        <f>(('Project W Pop Connected'!J17*'Water Demand Criteria'!M$17/1000)*('Wastewater Criteria'!$C$8+'Wastewater Criteria'!$C$10*'Water Demand Criteria'!M$56+'Water Demand Criteria'!M$37*'Wastewater Criteria'!$C$11)*(1+'Wastewater Criteria'!$C$23)+('Project Tankers'!I17*'Wastewater Criteria'!$C$9))*(1+'Wastewater Criteria'!$C$36)</f>
        <v>180.36325669720574</v>
      </c>
      <c r="J17" s="34">
        <f>(('Project W Pop Connected'!K17*'Water Demand Criteria'!N$17/1000)*('Wastewater Criteria'!$C$8+'Wastewater Criteria'!$C$10*'Water Demand Criteria'!N$56+'Water Demand Criteria'!N$37*'Wastewater Criteria'!$C$11)*(1+'Wastewater Criteria'!$C$23)+('Project Tankers'!J17*'Wastewater Criteria'!$C$9))*(1+'Wastewater Criteria'!$C$36)</f>
        <v>192.48621706850864</v>
      </c>
      <c r="K17" s="34">
        <f>(('Project W Pop Connected'!L17*'Water Demand Criteria'!O$17/1000)*('Wastewater Criteria'!$C$8+'Wastewater Criteria'!$C$10*'Water Demand Criteria'!O$56+'Water Demand Criteria'!O$37*'Wastewater Criteria'!$C$11)*(1+'Wastewater Criteria'!$C$23)+('Project Tankers'!K17*'Wastewater Criteria'!$C$9))*(1+'Wastewater Criteria'!$C$36)</f>
        <v>205.08156771722898</v>
      </c>
      <c r="L17" s="34">
        <f>(('Project W Pop Connected'!M17*'Water Demand Criteria'!P$17/1000)*('Wastewater Criteria'!$C$8+'Wastewater Criteria'!$C$10*'Water Demand Criteria'!P$56+'Water Demand Criteria'!P$37*'Wastewater Criteria'!$C$11)*(1+'Wastewater Criteria'!$C$23)+('Project Tankers'!L17*'Wastewater Criteria'!$C$9))*(1+'Wastewater Criteria'!$C$36)</f>
        <v>215.45143468486449</v>
      </c>
      <c r="M17" s="34">
        <f>(('Project W Pop Connected'!N17*'Water Demand Criteria'!Q$17/1000)*('Wastewater Criteria'!$C$8+'Wastewater Criteria'!$C$10*'Water Demand Criteria'!Q$56+'Water Demand Criteria'!Q$37*'Wastewater Criteria'!$C$11)*(1+'Wastewater Criteria'!$C$23)+('Project Tankers'!M17*'Wastewater Criteria'!$C$9))*(1+'Wastewater Criteria'!$C$36)</f>
        <v>231.79883827693828</v>
      </c>
      <c r="N17" s="34">
        <f>(('Project W Pop Connected'!O17*'Water Demand Criteria'!R$17/1000)*('Wastewater Criteria'!$C$8+'Wastewater Criteria'!$C$10*'Water Demand Criteria'!R$56+'Water Demand Criteria'!R$37*'Wastewater Criteria'!$C$11)*(1+'Wastewater Criteria'!$C$23)+('Project Tankers'!N17*'Wastewater Criteria'!$C$9))*(1+'Wastewater Criteria'!$C$36)</f>
        <v>244.82737514643881</v>
      </c>
      <c r="O17" s="34">
        <f>(('Project W Pop Connected'!P17*'Water Demand Criteria'!S$17/1000)*('Wastewater Criteria'!$C$8+'Wastewater Criteria'!$C$10*'Water Demand Criteria'!S$56+'Water Demand Criteria'!S$37*'Wastewater Criteria'!$C$11)*(1+'Wastewater Criteria'!$C$23)+('Project Tankers'!O17*'Wastewater Criteria'!$C$9))*(1+'Wastewater Criteria'!$C$36)</f>
        <v>251.15226484495906</v>
      </c>
      <c r="P17" s="34">
        <f>(('Project W Pop Connected'!Q17*'Water Demand Criteria'!T$17/1000)*('Wastewater Criteria'!$C$8+'Wastewater Criteria'!$C$10*'Water Demand Criteria'!T$56+'Water Demand Criteria'!T$37*'Wastewater Criteria'!$C$11)*(1+'Wastewater Criteria'!$C$23)+('Project Tankers'!P17*'Wastewater Criteria'!$C$9))*(1+'Wastewater Criteria'!$C$36)</f>
        <v>257.72658110100343</v>
      </c>
      <c r="Q17" s="34">
        <f>(('Project W Pop Connected'!R17*'Water Demand Criteria'!U$17/1000)*('Wastewater Criteria'!$C$8+'Wastewater Criteria'!$C$10*'Water Demand Criteria'!U$56+'Water Demand Criteria'!U$37*'Wastewater Criteria'!$C$11)*(1+'Wastewater Criteria'!$C$23)+('Project Tankers'!Q17*'Wastewater Criteria'!$C$9))*(1+'Wastewater Criteria'!$C$36)</f>
        <v>264.53207319085084</v>
      </c>
      <c r="R17" s="34">
        <f>(('Project W Pop Connected'!S17*'Water Demand Criteria'!V$17/1000)*('Wastewater Criteria'!$C$8+'Wastewater Criteria'!$C$10*'Water Demand Criteria'!V$56+'Water Demand Criteria'!V$37*'Wastewater Criteria'!$C$11)*(1+'Wastewater Criteria'!$C$23)+('Project Tankers'!R17*'Wastewater Criteria'!$C$9))*(1+'Wastewater Criteria'!$C$36)</f>
        <v>271.62957686023867</v>
      </c>
      <c r="S17" s="34">
        <f>(('Project W Pop Connected'!T17*'Water Demand Criteria'!W$17/1000)*('Wastewater Criteria'!$C$8+'Wastewater Criteria'!$C$10*'Water Demand Criteria'!W$56+'Water Demand Criteria'!W$37*'Wastewater Criteria'!$C$11)*(1+'Wastewater Criteria'!$C$23)+('Project Tankers'!S17*'Wastewater Criteria'!$C$9))*(1+'Wastewater Criteria'!$C$36)</f>
        <v>277.53774170045625</v>
      </c>
      <c r="T17" s="34">
        <f>(('Project W Pop Connected'!U17*'Water Demand Criteria'!X$17/1000)*('Wastewater Criteria'!$C$8+'Wastewater Criteria'!$C$10*'Water Demand Criteria'!X$56+'Water Demand Criteria'!X$37*'Wastewater Criteria'!$C$11)*(1+'Wastewater Criteria'!$C$23)+('Project Tankers'!T17*'Wastewater Criteria'!$C$9))*(1+'Wastewater Criteria'!$C$36)</f>
        <v>282.83218769940055</v>
      </c>
      <c r="U17" s="34">
        <f>(('Project W Pop Connected'!V17*'Water Demand Criteria'!Y$17/1000)*('Wastewater Criteria'!$C$8+'Wastewater Criteria'!$C$10*'Water Demand Criteria'!Y$56+'Water Demand Criteria'!Y$37*'Wastewater Criteria'!$C$11)*(1+'Wastewater Criteria'!$C$23)+('Project Tankers'!U17*'Wastewater Criteria'!$C$9))*(1+'Wastewater Criteria'!$C$36)</f>
        <v>288.3683471475083</v>
      </c>
      <c r="V17" s="34">
        <f>(('Project W Pop Connected'!W17*'Water Demand Criteria'!Z$17/1000)*('Wastewater Criteria'!$C$8+'Wastewater Criteria'!$C$10*'Water Demand Criteria'!Z$56+'Water Demand Criteria'!Z$37*'Wastewater Criteria'!$C$11)*(1+'Wastewater Criteria'!$C$23)+('Project Tankers'!V17*'Wastewater Criteria'!$C$9))*(1+'Wastewater Criteria'!$C$36)</f>
        <v>294.07685254071492</v>
      </c>
      <c r="W17" s="34">
        <f>(('Project W Pop Connected'!X17*'Water Demand Criteria'!AA$17/1000)*('Wastewater Criteria'!$C$8+'Wastewater Criteria'!$C$10*'Water Demand Criteria'!AA$56+'Water Demand Criteria'!AA$37*'Wastewater Criteria'!$C$11)*(1+'Wastewater Criteria'!$C$23)+('Project Tankers'!W17*'Wastewater Criteria'!$C$9))*(1+'Wastewater Criteria'!$C$36)</f>
        <v>299.96956445380857</v>
      </c>
      <c r="X17" s="34">
        <f>(('Project W Pop Connected'!Y17*'Water Demand Criteria'!AB$17/1000)*('Wastewater Criteria'!$C$8+'Wastewater Criteria'!$C$10*'Water Demand Criteria'!AB$56+'Water Demand Criteria'!AB$37*'Wastewater Criteria'!$C$11)*(1+'Wastewater Criteria'!$C$23)+('Project Tankers'!X17*'Wastewater Criteria'!$C$9))*(1+'Wastewater Criteria'!$C$36)</f>
        <v>306.05834346174862</v>
      </c>
      <c r="Y17" s="34">
        <f>(('Project W Pop Connected'!Z17*'Water Demand Criteria'!AC$17/1000)*('Wastewater Criteria'!$C$8+'Wastewater Criteria'!$C$10*'Water Demand Criteria'!AC$56+'Water Demand Criteria'!AC$37*'Wastewater Criteria'!$C$11)*(1+'Wastewater Criteria'!$C$23)+('Project Tankers'!Y17*'Wastewater Criteria'!$C$9))*(1+'Wastewater Criteria'!$C$36)</f>
        <v>312.35505014870517</v>
      </c>
      <c r="Z17" s="34">
        <f>(('Project W Pop Connected'!AA17*'Water Demand Criteria'!AD$17/1000)*('Wastewater Criteria'!$C$8+'Wastewater Criteria'!$C$10*'Water Demand Criteria'!AD$56+'Water Demand Criteria'!AD$37*'Wastewater Criteria'!$C$11)*(1+'Wastewater Criteria'!$C$23)+('Project Tankers'!Z17*'Wastewater Criteria'!$C$9))*(1+'Wastewater Criteria'!$C$36)</f>
        <v>318.87154508323448</v>
      </c>
      <c r="AA17" s="34">
        <f>(('Project W Pop Connected'!AB17*'Water Demand Criteria'!AE$17/1000)*('Wastewater Criteria'!$C$8+'Wastewater Criteria'!$C$10*'Water Demand Criteria'!AE$56+'Water Demand Criteria'!AE$37*'Wastewater Criteria'!$C$11)*(1+'Wastewater Criteria'!$C$23)+('Project Tankers'!AA17*'Wastewater Criteria'!$C$9))*(1+'Wastewater Criteria'!$C$36)</f>
        <v>325.61968885963324</v>
      </c>
      <c r="AB17" s="34">
        <f>(('Project W Pop Connected'!AC17*'Water Demand Criteria'!AF$17/1000)*('Wastewater Criteria'!$C$8+'Wastewater Criteria'!$C$10*'Water Demand Criteria'!AF$56+'Water Demand Criteria'!AF$37*'Wastewater Criteria'!$C$11)*(1+'Wastewater Criteria'!$C$23)+('Project Tankers'!AB17*'Wastewater Criteria'!$C$9))*(1+'Wastewater Criteria'!$C$36)</f>
        <v>332.61134203753994</v>
      </c>
      <c r="AC17" s="34">
        <f>(('Project W Pop Connected'!AD17*'Water Demand Criteria'!AG$17/1000)*('Wastewater Criteria'!$C$8+'Wastewater Criteria'!$C$10*'Water Demand Criteria'!AG$56+'Water Demand Criteria'!AG$37*'Wastewater Criteria'!$C$11)*(1+'Wastewater Criteria'!$C$23)+('Project Tankers'!AC17*'Wastewater Criteria'!$C$9))*(1+'Wastewater Criteria'!$C$36)</f>
        <v>339.85836521720273</v>
      </c>
      <c r="AD17" s="44">
        <f>(('Project W Pop Connected'!AE17*'Water Demand Criteria'!AH$17/1000)*('Wastewater Criteria'!$C$8+'Wastewater Criteria'!$C$10*'Water Demand Criteria'!AH$56+'Water Demand Criteria'!AH$37*'Wastewater Criteria'!$C$11)*(1+'Wastewater Criteria'!$C$23)+('Project Tankers'!AD17*'Wastewater Criteria'!$C$9))*(1+'Wastewater Criteria'!$C$36)</f>
        <v>351.70731152305763</v>
      </c>
      <c r="AE17" s="44">
        <f>(('Project W Pop Connected'!AF17*'Water Demand Criteria'!AI$17/1000)*('Wastewater Criteria'!$C$8+'Wastewater Criteria'!$C$10*'Water Demand Criteria'!AI$56+'Water Demand Criteria'!AI$37*'Wastewater Criteria'!$C$11)*(1+'Wastewater Criteria'!$C$23)+('Project Tankers'!AE17*'Wastewater Criteria'!$C$9))*(1+'Wastewater Criteria'!$C$36)</f>
        <v>364.02070396010379</v>
      </c>
      <c r="AF17" s="44">
        <f>(('Project W Pop Connected'!AG17*'Water Demand Criteria'!AJ$17/1000)*('Wastewater Criteria'!$C$8+'Wastewater Criteria'!$C$10*'Water Demand Criteria'!AJ$56+'Water Demand Criteria'!AJ$37*'Wastewater Criteria'!$C$11)*(1+'Wastewater Criteria'!$C$23)+('Project Tankers'!AF17*'Wastewater Criteria'!$C$9))*(1+'Wastewater Criteria'!$C$36)</f>
        <v>376.81969754701697</v>
      </c>
      <c r="AG17" s="44">
        <f>(('Project W Pop Connected'!AH17*'Water Demand Criteria'!AK$17/1000)*('Wastewater Criteria'!$C$8+'Wastewater Criteria'!$C$10*'Water Demand Criteria'!AK$56+'Water Demand Criteria'!AK$37*'Wastewater Criteria'!$C$11)*(1+'Wastewater Criteria'!$C$23)+('Project Tankers'!AG17*'Wastewater Criteria'!$C$9))*(1+'Wastewater Criteria'!$C$36)</f>
        <v>390.12649059474535</v>
      </c>
      <c r="AH17" s="44">
        <f>(('Project W Pop Connected'!AI17*'Water Demand Criteria'!AL$17/1000)*('Wastewater Criteria'!$C$8+'Wastewater Criteria'!$C$10*'Water Demand Criteria'!AL$56+'Water Demand Criteria'!AL$37*'Wastewater Criteria'!$C$11)*(1+'Wastewater Criteria'!$C$23)+('Project Tankers'!AH17*'Wastewater Criteria'!$C$9))*(1+'Wastewater Criteria'!$C$36)</f>
        <v>403.96438078280664</v>
      </c>
      <c r="AI17" s="44">
        <f>(('Project W Pop Connected'!AJ17*'Water Demand Criteria'!AM$17/1000)*('Wastewater Criteria'!$C$8+'Wastewater Criteria'!$C$10*'Water Demand Criteria'!AM$56+'Water Demand Criteria'!AM$37*'Wastewater Criteria'!$C$11)*(1+'Wastewater Criteria'!$C$23)+('Project Tankers'!AI17*'Wastewater Criteria'!$C$9))*(1+'Wastewater Criteria'!$C$36)</f>
        <v>418.35782444085635</v>
      </c>
      <c r="AJ17" s="44">
        <f>(('Project W Pop Connected'!AK17*'Water Demand Criteria'!AN$17/1000)*('Wastewater Criteria'!$C$8+'Wastewater Criteria'!$C$10*'Water Demand Criteria'!AN$56+'Water Demand Criteria'!AN$37*'Wastewater Criteria'!$C$11)*(1+'Wastewater Criteria'!$C$23)+('Project Tankers'!AJ17*'Wastewater Criteria'!$C$9))*(1+'Wastewater Criteria'!$C$36)</f>
        <v>433.33249923020452</v>
      </c>
      <c r="AK17" s="44">
        <f>(('Project W Pop Connected'!AL17*'Water Demand Criteria'!AO$17/1000)*('Wastewater Criteria'!$C$8+'Wastewater Criteria'!$C$10*'Water Demand Criteria'!AO$56+'Water Demand Criteria'!AO$37*'Wastewater Criteria'!$C$11)*(1+'Wastewater Criteria'!$C$23)+('Project Tankers'!AK17*'Wastewater Criteria'!$C$9))*(1+'Wastewater Criteria'!$C$36)</f>
        <v>448.83285253600224</v>
      </c>
      <c r="AL17" s="44">
        <f>(('Project W Pop Connected'!AM17*'Water Demand Criteria'!AP$17/1000)*('Wastewater Criteria'!$C$8+'Wastewater Criteria'!$C$10*'Water Demand Criteria'!AP$56+'Water Demand Criteria'!AP$37*'Wastewater Criteria'!$C$11)*(1+'Wastewater Criteria'!$C$23)+('Project Tankers'!AL17*'Wastewater Criteria'!$C$9))*(1+'Wastewater Criteria'!$C$36)</f>
        <v>464.8276232809215</v>
      </c>
      <c r="AM17" s="44">
        <f>(('Project W Pop Connected'!AN17*'Water Demand Criteria'!AQ$17/1000)*('Wastewater Criteria'!$C$8+'Wastewater Criteria'!$C$10*'Water Demand Criteria'!AQ$56+'Water Demand Criteria'!AQ$37*'Wastewater Criteria'!$C$11)*(1+'Wastewater Criteria'!$C$23)+('Project Tankers'!AM17*'Wastewater Criteria'!$C$9))*(1+'Wastewater Criteria'!$C$36)</f>
        <v>481.33161529853629</v>
      </c>
      <c r="AN17" s="44">
        <f>(('Project W Pop Connected'!AO17*'Water Demand Criteria'!AR$17/1000)*('Wastewater Criteria'!$C$8+'Wastewater Criteria'!$C$10*'Water Demand Criteria'!AR$56+'Water Demand Criteria'!AR$37*'Wastewater Criteria'!$C$11)*(1+'Wastewater Criteria'!$C$23)+('Project Tankers'!AN17*'Wastewater Criteria'!$C$9))*(1+'Wastewater Criteria'!$C$36)</f>
        <v>498.36005822198672</v>
      </c>
      <c r="AO17" s="44">
        <f>(('Project W Pop Connected'!AP17*'Water Demand Criteria'!AS$17/1000)*('Wastewater Criteria'!$C$8+'Wastewater Criteria'!$C$10*'Water Demand Criteria'!AS$56+'Water Demand Criteria'!AS$37*'Wastewater Criteria'!$C$11)*(1+'Wastewater Criteria'!$C$23)+('Project Tankers'!AO17*'Wastewater Criteria'!$C$9))*(1+'Wastewater Criteria'!$C$36)</f>
        <v>515.92861939535101</v>
      </c>
      <c r="AP17" s="44">
        <f>(('Project W Pop Connected'!AQ17*'Water Demand Criteria'!AT$17/1000)*('Wastewater Criteria'!$C$8+'Wastewater Criteria'!$C$10*'Water Demand Criteria'!AT$56+'Water Demand Criteria'!AT$37*'Wastewater Criteria'!$C$11)*(1+'Wastewater Criteria'!$C$23)+('Project Tankers'!AP17*'Wastewater Criteria'!$C$9))*(1+'Wastewater Criteria'!$C$36)</f>
        <v>534.05341611150072</v>
      </c>
      <c r="AQ17" s="44">
        <f>(('Project W Pop Connected'!AR17*'Water Demand Criteria'!AU$17/1000)*('Wastewater Criteria'!$C$8+'Wastewater Criteria'!$C$10*'Water Demand Criteria'!AU$56+'Water Demand Criteria'!AU$37*'Wastewater Criteria'!$C$11)*(1+'Wastewater Criteria'!$C$23)+('Project Tankers'!AQ17*'Wastewater Criteria'!$C$9))*(1+'Wastewater Criteria'!$C$36)</f>
        <v>552.75102818525386</v>
      </c>
      <c r="AR17" s="44">
        <f>(('Project W Pop Connected'!AS17*'Water Demand Criteria'!AV$17/1000)*('Wastewater Criteria'!$C$8+'Wastewater Criteria'!$C$10*'Water Demand Criteria'!AV$56+'Water Demand Criteria'!AV$37*'Wastewater Criteria'!$C$11)*(1+'Wastewater Criteria'!$C$23)+('Project Tankers'!AR17*'Wastewater Criteria'!$C$9))*(1+'Wastewater Criteria'!$C$36)</f>
        <v>572.03851087086696</v>
      </c>
      <c r="AS17" s="44">
        <f>(('Project W Pop Connected'!AT17*'Water Demand Criteria'!AW$17/1000)*('Wastewater Criteria'!$C$8+'Wastewater Criteria'!$C$10*'Water Demand Criteria'!AW$56+'Water Demand Criteria'!AW$37*'Wastewater Criteria'!$C$11)*(1+'Wastewater Criteria'!$C$23)+('Project Tankers'!AS17*'Wastewater Criteria'!$C$9))*(1+'Wastewater Criteria'!$C$36)</f>
        <v>591.9334081331549</v>
      </c>
      <c r="AT17" s="44">
        <f>(('Project W Pop Connected'!AU17*'Water Demand Criteria'!AX$17/1000)*('Wastewater Criteria'!$C$8+'Wastewater Criteria'!$C$10*'Water Demand Criteria'!AX$56+'Water Demand Criteria'!AX$37*'Wastewater Criteria'!$C$11)*(1+'Wastewater Criteria'!$C$23)+('Project Tankers'!AT17*'Wastewater Criteria'!$C$9))*(1+'Wastewater Criteria'!$C$36)</f>
        <v>612.45376628177087</v>
      </c>
      <c r="AU17" s="44">
        <f>(('Project W Pop Connected'!AV17*'Water Demand Criteria'!AY$17/1000)*('Wastewater Criteria'!$C$8+'Wastewater Criteria'!$C$10*'Water Demand Criteria'!AY$56+'Water Demand Criteria'!AY$37*'Wastewater Criteria'!$C$11)*(1+'Wastewater Criteria'!$C$23)+('Project Tankers'!AU17*'Wastewater Criteria'!$C$9))*(1+'Wastewater Criteria'!$C$36)</f>
        <v>633.61814797843579</v>
      </c>
      <c r="AV17" s="44">
        <f>(('Project W Pop Connected'!AW17*'Water Demand Criteria'!AZ$17/1000)*('Wastewater Criteria'!$C$8+'Wastewater Criteria'!$C$10*'Water Demand Criteria'!AZ$56+'Water Demand Criteria'!AZ$37*'Wastewater Criteria'!$C$11)*(1+'Wastewater Criteria'!$C$23)+('Project Tankers'!AV17*'Wastewater Criteria'!$C$9))*(1+'Wastewater Criteria'!$C$36)</f>
        <v>655.44564662716232</v>
      </c>
      <c r="AW17" s="44">
        <f>(('Project W Pop Connected'!AX17*'Water Demand Criteria'!BA$17/1000)*('Wastewater Criteria'!$C$8+'Wastewater Criteria'!$C$10*'Water Demand Criteria'!BA$56+'Water Demand Criteria'!BA$37*'Wastewater Criteria'!$C$11)*(1+'Wastewater Criteria'!$C$23)+('Project Tankers'!AW17*'Wastewater Criteria'!$C$9))*(1+'Wastewater Criteria'!$C$36)</f>
        <v>677.95590115779225</v>
      </c>
      <c r="AX17" s="44">
        <f>(('Project W Pop Connected'!AY17*'Water Demand Criteria'!BB$17/1000)*('Wastewater Criteria'!$C$8+'Wastewater Criteria'!$C$10*'Water Demand Criteria'!BB$56+'Water Demand Criteria'!BB$37*'Wastewater Criteria'!$C$11)*(1+'Wastewater Criteria'!$C$23)+('Project Tankers'!AX17*'Wastewater Criteria'!$C$9))*(1+'Wastewater Criteria'!$C$36)</f>
        <v>694.22684278557938</v>
      </c>
      <c r="AY17" s="44">
        <f>(('Project W Pop Connected'!AZ17*'Water Demand Criteria'!BC$17/1000)*('Wastewater Criteria'!$C$8+'Wastewater Criteria'!$C$10*'Water Demand Criteria'!BC$56+'Water Demand Criteria'!BC$37*'Wastewater Criteria'!$C$11)*(1+'Wastewater Criteria'!$C$23)+('Project Tankers'!AY17*'Wastewater Criteria'!$C$9))*(1+'Wastewater Criteria'!$C$36)</f>
        <v>710.88828701243324</v>
      </c>
      <c r="AZ17" s="44">
        <f>(('Project W Pop Connected'!BA17*'Water Demand Criteria'!BD$17/1000)*('Wastewater Criteria'!$C$8+'Wastewater Criteria'!$C$10*'Water Demand Criteria'!BD$56+'Water Demand Criteria'!BD$37*'Wastewater Criteria'!$C$11)*(1+'Wastewater Criteria'!$C$23)+('Project Tankers'!AZ17*'Wastewater Criteria'!$C$9))*(1+'Wastewater Criteria'!$C$36)</f>
        <v>727.94960590073174</v>
      </c>
      <c r="BA17" s="44">
        <f>(('Project W Pop Connected'!BB17*'Water Demand Criteria'!BE$17/1000)*('Wastewater Criteria'!$C$8+'Wastewater Criteria'!$C$10*'Water Demand Criteria'!BE$56+'Water Demand Criteria'!BE$37*'Wastewater Criteria'!$C$11)*(1+'Wastewater Criteria'!$C$23)+('Project Tankers'!BA17*'Wastewater Criteria'!$C$9))*(1+'Wastewater Criteria'!$C$36)</f>
        <v>745.42039644234899</v>
      </c>
      <c r="BB17" s="44">
        <f>(('Project W Pop Connected'!BC17*'Water Demand Criteria'!BF$17/1000)*('Wastewater Criteria'!$C$8+'Wastewater Criteria'!$C$10*'Water Demand Criteria'!BF$56+'Water Demand Criteria'!BF$37*'Wastewater Criteria'!$C$11)*(1+'Wastewater Criteria'!$C$23)+('Project Tankers'!BB17*'Wastewater Criteria'!$C$9))*(1+'Wastewater Criteria'!$C$36)</f>
        <v>763.31048595696541</v>
      </c>
      <c r="BC17" s="44">
        <f>(('Project W Pop Connected'!BD17*'Water Demand Criteria'!BG$17/1000)*('Wastewater Criteria'!$C$8+'Wastewater Criteria'!$C$10*'Water Demand Criteria'!BG$56+'Water Demand Criteria'!BG$37*'Wastewater Criteria'!$C$11)*(1+'Wastewater Criteria'!$C$23)+('Project Tankers'!BC17*'Wastewater Criteria'!$C$9))*(1+'Wastewater Criteria'!$C$36)</f>
        <v>781.629937619933</v>
      </c>
      <c r="BD17" s="44">
        <f>(('Project W Pop Connected'!BE17*'Water Demand Criteria'!BH$17/1000)*('Wastewater Criteria'!$C$8+'Wastewater Criteria'!$C$10*'Water Demand Criteria'!BH$56+'Water Demand Criteria'!BH$37*'Wastewater Criteria'!$C$11)*(1+'Wastewater Criteria'!$C$23)+('Project Tankers'!BD17*'Wastewater Criteria'!$C$9))*(1+'Wastewater Criteria'!$C$36)</f>
        <v>800.38905612281098</v>
      </c>
      <c r="BE17" s="44">
        <f>(('Project W Pop Connected'!BF17*'Water Demand Criteria'!BI$17/1000)*('Wastewater Criteria'!$C$8+'Wastewater Criteria'!$C$10*'Water Demand Criteria'!BI$56+'Water Demand Criteria'!BI$37*'Wastewater Criteria'!$C$11)*(1+'Wastewater Criteria'!$C$23)+('Project Tankers'!BE17*'Wastewater Criteria'!$C$9))*(1+'Wastewater Criteria'!$C$36)</f>
        <v>819.59839346975866</v>
      </c>
      <c r="BF17" s="44">
        <f>(('Project W Pop Connected'!BG17*'Water Demand Criteria'!BJ$17/1000)*('Wastewater Criteria'!$C$8+'Wastewater Criteria'!$C$10*'Water Demand Criteria'!BJ$56+'Water Demand Criteria'!BJ$37*'Wastewater Criteria'!$C$11)*(1+'Wastewater Criteria'!$C$23)+('Project Tankers'!BF17*'Wastewater Criteria'!$C$9))*(1+'Wastewater Criteria'!$C$36)</f>
        <v>839.26875491303304</v>
      </c>
      <c r="BG17" s="44">
        <f>(('Project W Pop Connected'!BH17*'Water Demand Criteria'!BK$17/1000)*('Wastewater Criteria'!$C$8+'Wastewater Criteria'!$C$10*'Water Demand Criteria'!BK$56+'Water Demand Criteria'!BK$37*'Wastewater Criteria'!$C$11)*(1+'Wastewater Criteria'!$C$23)+('Project Tankers'!BG17*'Wastewater Criteria'!$C$9))*(1+'Wastewater Criteria'!$C$36)</f>
        <v>859.41120503094578</v>
      </c>
      <c r="BH17" s="44">
        <f>(('Project W Pop Connected'!BI17*'Water Demand Criteria'!BL$17/1000)*('Wastewater Criteria'!$C$8+'Wastewater Criteria'!$C$10*'Water Demand Criteria'!BL$56+'Water Demand Criteria'!BL$37*'Wastewater Criteria'!$C$11)*(1+'Wastewater Criteria'!$C$23)+('Project Tankers'!BH17*'Wastewater Criteria'!$C$9))*(1+'Wastewater Criteria'!$C$36)</f>
        <v>880.03707395168851</v>
      </c>
      <c r="BI17" s="44">
        <f>(('Project W Pop Connected'!BJ17*'Water Demand Criteria'!BM$17/1000)*('Wastewater Criteria'!$C$8+'Wastewater Criteria'!$C$10*'Water Demand Criteria'!BM$56+'Water Demand Criteria'!BM$37*'Wastewater Criteria'!$C$11)*(1+'Wastewater Criteria'!$C$23)+('Project Tankers'!BI17*'Wastewater Criteria'!$C$9))*(1+'Wastewater Criteria'!$C$36)</f>
        <v>901.15796372652903</v>
      </c>
      <c r="BJ17" s="44">
        <f>(('Project W Pop Connected'!BK17*'Water Demand Criteria'!BN$17/1000)*('Wastewater Criteria'!$C$8+'Wastewater Criteria'!$C$10*'Water Demand Criteria'!BN$56+'Water Demand Criteria'!BN$37*'Wastewater Criteria'!$C$11)*(1+'Wastewater Criteria'!$C$23)+('Project Tankers'!BJ17*'Wastewater Criteria'!$C$9))*(1+'Wastewater Criteria'!$C$36)</f>
        <v>922.78575485596593</v>
      </c>
      <c r="BK17" s="44">
        <f>(('Project W Pop Connected'!BL17*'Water Demand Criteria'!BO$17/1000)*('Wastewater Criteria'!$C$8+'Wastewater Criteria'!$C$10*'Water Demand Criteria'!BO$56+'Water Demand Criteria'!BO$37*'Wastewater Criteria'!$C$11)*(1+'Wastewater Criteria'!$C$23)+('Project Tankers'!BK17*'Wastewater Criteria'!$C$9))*(1+'Wastewater Criteria'!$C$36)</f>
        <v>944.93261297250888</v>
      </c>
      <c r="BL17" s="44">
        <f>(('Project W Pop Connected'!BM17*'Water Demand Criteria'!BP$17/1000)*('Wastewater Criteria'!$C$8+'Wastewater Criteria'!$C$10*'Water Demand Criteria'!BP$56+'Water Demand Criteria'!BP$37*'Wastewater Criteria'!$C$11)*(1+'Wastewater Criteria'!$C$23)+('Project Tankers'!BL17*'Wastewater Criteria'!$C$9))*(1+'Wastewater Criteria'!$C$36)</f>
        <v>967.61099568384907</v>
      </c>
      <c r="BM17" s="44">
        <f>(('Project W Pop Connected'!BN17*'Water Demand Criteria'!BQ$17/1000)*('Wastewater Criteria'!$C$8+'Wastewater Criteria'!$C$10*'Water Demand Criteria'!BQ$56+'Water Demand Criteria'!BQ$37*'Wastewater Criteria'!$C$11)*(1+'Wastewater Criteria'!$C$23)+('Project Tankers'!BM17*'Wastewater Criteria'!$C$9))*(1+'Wastewater Criteria'!$C$36)</f>
        <v>990.8336595802615</v>
      </c>
      <c r="BN17" s="44">
        <f>(('Project W Pop Connected'!BO17*'Water Demand Criteria'!BR$17/1000)*('Wastewater Criteria'!$C$8+'Wastewater Criteria'!$C$10*'Water Demand Criteria'!BR$56+'Water Demand Criteria'!BR$37*'Wastewater Criteria'!$C$11)*(1+'Wastewater Criteria'!$C$23)+('Project Tankers'!BN17*'Wastewater Criteria'!$C$9))*(1+'Wastewater Criteria'!$C$36)</f>
        <v>1014.6136674101878</v>
      </c>
      <c r="BO17" s="44">
        <f>(('Project W Pop Connected'!BP17*'Water Demand Criteria'!BS$17/1000)*('Wastewater Criteria'!$C$8+'Wastewater Criteria'!$C$10*'Water Demand Criteria'!BS$56+'Water Demand Criteria'!BS$37*'Wastewater Criteria'!$C$11)*(1+'Wastewater Criteria'!$C$23)+('Project Tankers'!BO17*'Wastewater Criteria'!$C$9))*(1+'Wastewater Criteria'!$C$36)</f>
        <v>1038.9643954280327</v>
      </c>
      <c r="BP17" s="44">
        <f>(('Project W Pop Connected'!BQ17*'Water Demand Criteria'!BT$17/1000)*('Wastewater Criteria'!$C$8+'Wastewater Criteria'!$C$10*'Water Demand Criteria'!BT$56+'Water Demand Criteria'!BT$37*'Wastewater Criteria'!$C$11)*(1+'Wastewater Criteria'!$C$23)+('Project Tankers'!BP17*'Wastewater Criteria'!$C$9))*(1+'Wastewater Criteria'!$C$36)</f>
        <v>1063.8995409183053</v>
      </c>
      <c r="BQ17" s="44">
        <f>(('Project W Pop Connected'!BR17*'Water Demand Criteria'!BU$17/1000)*('Wastewater Criteria'!$C$8+'Wastewater Criteria'!$C$10*'Water Demand Criteria'!BU$56+'Water Demand Criteria'!BU$37*'Wastewater Criteria'!$C$11)*(1+'Wastewater Criteria'!$C$23)+('Project Tankers'!BQ17*'Wastewater Criteria'!$C$9))*(1+'Wastewater Criteria'!$C$36)</f>
        <v>1089.4331299003445</v>
      </c>
      <c r="BR17" s="44">
        <f>(('Project W Pop Connected'!BS17*'Water Demand Criteria'!BV$17/1000)*('Wastewater Criteria'!$C$8+'Wastewater Criteria'!$C$10*'Water Demand Criteria'!BV$56+'Water Demand Criteria'!BV$37*'Wastewater Criteria'!$C$11)*(1+'Wastewater Criteria'!$C$23)+('Project Tankers'!BR17*'Wastewater Criteria'!$C$9))*(1+'Wastewater Criteria'!$C$36)</f>
        <v>1115.5795250179531</v>
      </c>
      <c r="BS17" s="44">
        <f>(('Project W Pop Connected'!BT17*'Water Demand Criteria'!BW$17/1000)*('Wastewater Criteria'!$C$8+'Wastewater Criteria'!$C$10*'Water Demand Criteria'!BW$56+'Water Demand Criteria'!BW$37*'Wastewater Criteria'!$C$11)*(1+'Wastewater Criteria'!$C$23)+('Project Tankers'!BS17*'Wastewater Criteria'!$C$9))*(1+'Wastewater Criteria'!$C$36)</f>
        <v>1142.3534336183839</v>
      </c>
      <c r="BT17" s="44">
        <f>(('Project W Pop Connected'!BU17*'Water Demand Criteria'!BX$17/1000)*('Wastewater Criteria'!$C$8+'Wastewater Criteria'!$C$10*'Water Demand Criteria'!BX$56+'Water Demand Criteria'!BX$37*'Wastewater Criteria'!$C$11)*(1+'Wastewater Criteria'!$C$23)+('Project Tankers'!BT17*'Wastewater Criteria'!$C$9))*(1+'Wastewater Criteria'!$C$36)</f>
        <v>1169.769916025225</v>
      </c>
      <c r="BU17" s="44">
        <f>(('Project W Pop Connected'!BV17*'Water Demand Criteria'!BY$17/1000)*('Wastewater Criteria'!$C$8+'Wastewater Criteria'!$C$10*'Water Demand Criteria'!BY$56+'Water Demand Criteria'!BY$37*'Wastewater Criteria'!$C$11)*(1+'Wastewater Criteria'!$C$23)+('Project Tankers'!BU17*'Wastewater Criteria'!$C$9))*(1+'Wastewater Criteria'!$C$36)</f>
        <v>1197.8443940098305</v>
      </c>
      <c r="BV17" s="44">
        <f>(('Project W Pop Connected'!BW17*'Water Demand Criteria'!BZ$17/1000)*('Wastewater Criteria'!$C$8+'Wastewater Criteria'!$C$10*'Water Demand Criteria'!BZ$56+'Water Demand Criteria'!BZ$37*'Wastewater Criteria'!$C$11)*(1+'Wastewater Criteria'!$C$23)+('Project Tankers'!BV17*'Wastewater Criteria'!$C$9))*(1+'Wastewater Criteria'!$C$36)</f>
        <v>1226.5926594660666</v>
      </c>
      <c r="BW17" s="44">
        <f>(('Project W Pop Connected'!BX17*'Water Demand Criteria'!CA$17/1000)*('Wastewater Criteria'!$C$8+'Wastewater Criteria'!$C$10*'Water Demand Criteria'!CA$56+'Water Demand Criteria'!CA$37*'Wastewater Criteria'!$C$11)*(1+'Wastewater Criteria'!$C$23)+('Project Tankers'!BW17*'Wastewater Criteria'!$C$9))*(1+'Wastewater Criteria'!$C$36)</f>
        <v>1256.0308832932517</v>
      </c>
      <c r="BX17" s="44">
        <f>(('Project W Pop Connected'!BY17*'Water Demand Criteria'!CB$17/1000)*('Wastewater Criteria'!$C$8+'Wastewater Criteria'!$C$10*'Water Demand Criteria'!CB$56+'Water Demand Criteria'!CB$37*'Wastewater Criteria'!$C$11)*(1+'Wastewater Criteria'!$C$23)+('Project Tankers'!BX17*'Wastewater Criteria'!$C$9))*(1+'Wastewater Criteria'!$C$36)</f>
        <v>1286.1756244922901</v>
      </c>
      <c r="BY17" s="44">
        <f>(('Project W Pop Connected'!BZ17*'Water Demand Criteria'!CC$17/1000)*('Wastewater Criteria'!$C$8+'Wastewater Criteria'!$C$10*'Water Demand Criteria'!CC$56+'Water Demand Criteria'!CC$37*'Wastewater Criteria'!$C$11)*(1+'Wastewater Criteria'!$C$23)+('Project Tankers'!BY17*'Wastewater Criteria'!$C$9))*(1+'Wastewater Criteria'!$C$36)</f>
        <v>1317.0438394801051</v>
      </c>
      <c r="BZ17" s="44">
        <f>(('Project W Pop Connected'!CA17*'Water Demand Criteria'!CD$17/1000)*('Wastewater Criteria'!$C$8+'Wastewater Criteria'!$C$10*'Water Demand Criteria'!CD$56+'Water Demand Criteria'!CD$37*'Wastewater Criteria'!$C$11)*(1+'Wastewater Criteria'!$C$23)+('Project Tankers'!BZ17*'Wastewater Criteria'!$C$9))*(1+'Wastewater Criteria'!$C$36)</f>
        <v>1348.6528916276277</v>
      </c>
      <c r="CA17" s="44">
        <f>(('Project W Pop Connected'!CB17*'Water Demand Criteria'!CE$17/1000)*('Wastewater Criteria'!$C$8+'Wastewater Criteria'!$C$10*'Water Demand Criteria'!CE$56+'Water Demand Criteria'!CE$37*'Wastewater Criteria'!$C$11)*(1+'Wastewater Criteria'!$C$23)+('Project Tankers'!CA17*'Wastewater Criteria'!$C$9))*(1+'Wastewater Criteria'!$C$36)</f>
        <v>1381.020561026691</v>
      </c>
    </row>
    <row r="18" spans="1:79" x14ac:dyDescent="0.25">
      <c r="A18" s="33">
        <v>17</v>
      </c>
      <c r="B18" s="36" t="s">
        <v>18</v>
      </c>
      <c r="C18" s="34">
        <f>(('Project W Pop Connected'!D18*'Water Demand Criteria'!G$17/1000)*('Wastewater Criteria'!$C$8+'Wastewater Criteria'!$C$10*'Water Demand Criteria'!G$56+'Water Demand Criteria'!G$37*'Wastewater Criteria'!$C$11)*(1+'Wastewater Criteria'!$C$23)+('Project Tankers'!C18*'Wastewater Criteria'!$C$9))*(1+'Wastewater Criteria'!$C$36)</f>
        <v>7638.6353543702007</v>
      </c>
      <c r="D18" s="34">
        <f>(('Project W Pop Connected'!E18*'Water Demand Criteria'!H$17/1000)*('Wastewater Criteria'!$C$8+'Wastewater Criteria'!$C$10*'Water Demand Criteria'!H$56+'Water Demand Criteria'!H$37*'Wastewater Criteria'!$C$11)*(1+'Wastewater Criteria'!$C$23)+('Project Tankers'!D18*'Wastewater Criteria'!$C$9))*(1+'Wastewater Criteria'!$C$36)</f>
        <v>8235.9746183701809</v>
      </c>
      <c r="E18" s="34">
        <f>(('Project W Pop Connected'!F18*'Water Demand Criteria'!I$17/1000)*('Wastewater Criteria'!$C$8+'Wastewater Criteria'!$C$10*'Water Demand Criteria'!I$56+'Water Demand Criteria'!I$37*'Wastewater Criteria'!$C$11)*(1+'Wastewater Criteria'!$C$23)+('Project Tankers'!E18*'Wastewater Criteria'!$C$9))*(1+'Wastewater Criteria'!$C$36)</f>
        <v>8887.4952330852866</v>
      </c>
      <c r="F18" s="34">
        <f>(('Project W Pop Connected'!G18*'Water Demand Criteria'!J$17/1000)*('Wastewater Criteria'!$C$8+'Wastewater Criteria'!$C$10*'Water Demand Criteria'!J$56+'Water Demand Criteria'!J$37*'Wastewater Criteria'!$C$11)*(1+'Wastewater Criteria'!$C$23)+('Project Tankers'!F18*'Wastewater Criteria'!$C$9))*(1+'Wastewater Criteria'!$C$36)</f>
        <v>9565.3065379680502</v>
      </c>
      <c r="G18" s="34">
        <f>(('Project W Pop Connected'!H18*'Water Demand Criteria'!K$17/1000)*('Wastewater Criteria'!$C$8+'Wastewater Criteria'!$C$10*'Water Demand Criteria'!K$56+'Water Demand Criteria'!K$37*'Wastewater Criteria'!$C$11)*(1+'Wastewater Criteria'!$C$23)+('Project Tankers'!G18*'Wastewater Criteria'!$C$9))*(1+'Wastewater Criteria'!$C$36)</f>
        <v>10270.553480690774</v>
      </c>
      <c r="H18" s="34">
        <f>(('Project W Pop Connected'!I18*'Water Demand Criteria'!L$17/1000)*('Wastewater Criteria'!$C$8+'Wastewater Criteria'!$C$10*'Water Demand Criteria'!L$56+'Water Demand Criteria'!L$37*'Wastewater Criteria'!$C$11)*(1+'Wastewater Criteria'!$C$23)+('Project Tankers'!H18*'Wastewater Criteria'!$C$9))*(1+'Wastewater Criteria'!$C$36)</f>
        <v>11003.916653811884</v>
      </c>
      <c r="I18" s="34">
        <f>(('Project W Pop Connected'!J18*'Water Demand Criteria'!M$17/1000)*('Wastewater Criteria'!$C$8+'Wastewater Criteria'!$C$10*'Water Demand Criteria'!M$56+'Water Demand Criteria'!M$37*'Wastewater Criteria'!$C$11)*(1+'Wastewater Criteria'!$C$23)+('Project Tankers'!I18*'Wastewater Criteria'!$C$9))*(1+'Wastewater Criteria'!$C$36)</f>
        <v>11715.587788018498</v>
      </c>
      <c r="J18" s="34">
        <f>(('Project W Pop Connected'!K18*'Water Demand Criteria'!N$17/1000)*('Wastewater Criteria'!$C$8+'Wastewater Criteria'!$C$10*'Water Demand Criteria'!N$56+'Water Demand Criteria'!N$37*'Wastewater Criteria'!$C$11)*(1+'Wastewater Criteria'!$C$23)+('Project Tankers'!J18*'Wastewater Criteria'!$C$9))*(1+'Wastewater Criteria'!$C$36)</f>
        <v>12503.040892832996</v>
      </c>
      <c r="K18" s="34">
        <f>(('Project W Pop Connected'!L18*'Water Demand Criteria'!O$17/1000)*('Wastewater Criteria'!$C$8+'Wastewater Criteria'!$C$10*'Water Demand Criteria'!O$56+'Water Demand Criteria'!O$37*'Wastewater Criteria'!$C$11)*(1+'Wastewater Criteria'!$C$23)+('Project Tankers'!K18*'Wastewater Criteria'!$C$9))*(1+'Wastewater Criteria'!$C$36)</f>
        <v>13321.178350251415</v>
      </c>
      <c r="L18" s="34">
        <f>(('Project W Pop Connected'!M18*'Water Demand Criteria'!P$17/1000)*('Wastewater Criteria'!$C$8+'Wastewater Criteria'!$C$10*'Water Demand Criteria'!P$56+'Water Demand Criteria'!P$37*'Wastewater Criteria'!$C$11)*(1+'Wastewater Criteria'!$C$23)+('Project Tankers'!L18*'Wastewater Criteria'!$C$9))*(1+'Wastewater Criteria'!$C$36)</f>
        <v>13994.75837444317</v>
      </c>
      <c r="M18" s="34">
        <f>(('Project W Pop Connected'!N18*'Water Demand Criteria'!Q$17/1000)*('Wastewater Criteria'!$C$8+'Wastewater Criteria'!$C$10*'Water Demand Criteria'!Q$56+'Water Demand Criteria'!Q$37*'Wastewater Criteria'!$C$11)*(1+'Wastewater Criteria'!$C$23)+('Project Tankers'!M18*'Wastewater Criteria'!$C$9))*(1+'Wastewater Criteria'!$C$36)</f>
        <v>15056.612353996401</v>
      </c>
      <c r="N18" s="34">
        <f>(('Project W Pop Connected'!O18*'Water Demand Criteria'!R$17/1000)*('Wastewater Criteria'!$C$8+'Wastewater Criteria'!$C$10*'Water Demand Criteria'!R$56+'Water Demand Criteria'!R$37*'Wastewater Criteria'!$C$11)*(1+'Wastewater Criteria'!$C$23)+('Project Tankers'!N18*'Wastewater Criteria'!$C$9))*(1+'Wastewater Criteria'!$C$36)</f>
        <v>15902.887644424969</v>
      </c>
      <c r="O18" s="34">
        <f>(('Project W Pop Connected'!P18*'Water Demand Criteria'!S$17/1000)*('Wastewater Criteria'!$C$8+'Wastewater Criteria'!$C$10*'Water Demand Criteria'!S$56+'Water Demand Criteria'!S$37*'Wastewater Criteria'!$C$11)*(1+'Wastewater Criteria'!$C$23)+('Project Tankers'!O18*'Wastewater Criteria'!$C$9))*(1+'Wastewater Criteria'!$C$36)</f>
        <v>16313.724096757091</v>
      </c>
      <c r="P18" s="34">
        <f>(('Project W Pop Connected'!Q18*'Water Demand Criteria'!T$17/1000)*('Wastewater Criteria'!$C$8+'Wastewater Criteria'!$C$10*'Water Demand Criteria'!T$56+'Water Demand Criteria'!T$37*'Wastewater Criteria'!$C$11)*(1+'Wastewater Criteria'!$C$23)+('Project Tankers'!P18*'Wastewater Criteria'!$C$9))*(1+'Wastewater Criteria'!$C$36)</f>
        <v>16740.762178982393</v>
      </c>
      <c r="Q18" s="34">
        <f>(('Project W Pop Connected'!R18*'Water Demand Criteria'!U$17/1000)*('Wastewater Criteria'!$C$8+'Wastewater Criteria'!$C$10*'Water Demand Criteria'!U$56+'Water Demand Criteria'!U$37*'Wastewater Criteria'!$C$11)*(1+'Wastewater Criteria'!$C$23)+('Project Tankers'!Q18*'Wastewater Criteria'!$C$9))*(1+'Wastewater Criteria'!$C$36)</f>
        <v>17182.816405986752</v>
      </c>
      <c r="R18" s="34">
        <f>(('Project W Pop Connected'!S18*'Water Demand Criteria'!V$17/1000)*('Wastewater Criteria'!$C$8+'Wastewater Criteria'!$C$10*'Water Demand Criteria'!V$56+'Water Demand Criteria'!V$37*'Wastewater Criteria'!$C$11)*(1+'Wastewater Criteria'!$C$23)+('Project Tankers'!R18*'Wastewater Criteria'!$C$9))*(1+'Wastewater Criteria'!$C$36)</f>
        <v>17643.838394817285</v>
      </c>
      <c r="S18" s="34">
        <f>(('Project W Pop Connected'!T18*'Water Demand Criteria'!W$17/1000)*('Wastewater Criteria'!$C$8+'Wastewater Criteria'!$C$10*'Water Demand Criteria'!W$56+'Water Demand Criteria'!W$37*'Wastewater Criteria'!$C$11)*(1+'Wastewater Criteria'!$C$23)+('Project Tankers'!S18*'Wastewater Criteria'!$C$9))*(1+'Wastewater Criteria'!$C$36)</f>
        <v>18027.60627037664</v>
      </c>
      <c r="T18" s="34">
        <f>(('Project W Pop Connected'!U18*'Water Demand Criteria'!X$17/1000)*('Wastewater Criteria'!$C$8+'Wastewater Criteria'!$C$10*'Water Demand Criteria'!X$56+'Water Demand Criteria'!X$37*'Wastewater Criteria'!$C$11)*(1+'Wastewater Criteria'!$C$23)+('Project Tankers'!T18*'Wastewater Criteria'!$C$9))*(1+'Wastewater Criteria'!$C$36)</f>
        <v>18371.509724025665</v>
      </c>
      <c r="U18" s="34">
        <f>(('Project W Pop Connected'!V18*'Water Demand Criteria'!Y$17/1000)*('Wastewater Criteria'!$C$8+'Wastewater Criteria'!$C$10*'Water Demand Criteria'!Y$56+'Water Demand Criteria'!Y$37*'Wastewater Criteria'!$C$11)*(1+'Wastewater Criteria'!$C$23)+('Project Tankers'!U18*'Wastewater Criteria'!$C$9))*(1+'Wastewater Criteria'!$C$36)</f>
        <v>18731.113798660783</v>
      </c>
      <c r="V18" s="34">
        <f>(('Project W Pop Connected'!W18*'Water Demand Criteria'!Z$17/1000)*('Wastewater Criteria'!$C$8+'Wastewater Criteria'!$C$10*'Water Demand Criteria'!Z$56+'Water Demand Criteria'!Z$37*'Wastewater Criteria'!$C$11)*(1+'Wastewater Criteria'!$C$23)+('Project Tankers'!V18*'Wastewater Criteria'!$C$9))*(1+'Wastewater Criteria'!$C$36)</f>
        <v>19101.912692499583</v>
      </c>
      <c r="W18" s="34">
        <f>(('Project W Pop Connected'!X18*'Water Demand Criteria'!AA$17/1000)*('Wastewater Criteria'!$C$8+'Wastewater Criteria'!$C$10*'Water Demand Criteria'!AA$56+'Water Demand Criteria'!AA$37*'Wastewater Criteria'!$C$11)*(1+'Wastewater Criteria'!$C$23)+('Project Tankers'!W18*'Wastewater Criteria'!$C$9))*(1+'Wastewater Criteria'!$C$36)</f>
        <v>19484.676815256866</v>
      </c>
      <c r="X18" s="34">
        <f>(('Project W Pop Connected'!Y18*'Water Demand Criteria'!AB$17/1000)*('Wastewater Criteria'!$C$8+'Wastewater Criteria'!$C$10*'Water Demand Criteria'!AB$56+'Water Demand Criteria'!AB$37*'Wastewater Criteria'!$C$11)*(1+'Wastewater Criteria'!$C$23)+('Project Tankers'!X18*'Wastewater Criteria'!$C$9))*(1+'Wastewater Criteria'!$C$36)</f>
        <v>19880.176576658498</v>
      </c>
      <c r="Y18" s="34">
        <f>(('Project W Pop Connected'!Z18*'Water Demand Criteria'!AC$17/1000)*('Wastewater Criteria'!$C$8+'Wastewater Criteria'!$C$10*'Water Demand Criteria'!AC$56+'Water Demand Criteria'!AC$37*'Wastewater Criteria'!$C$11)*(1+'Wastewater Criteria'!$C$23)+('Project Tankers'!Y18*'Wastewater Criteria'!$C$9))*(1+'Wastewater Criteria'!$C$36)</f>
        <v>20289.182387028664</v>
      </c>
      <c r="Z18" s="34">
        <f>(('Project W Pop Connected'!AA18*'Water Demand Criteria'!AD$17/1000)*('Wastewater Criteria'!$C$8+'Wastewater Criteria'!$C$10*'Water Demand Criteria'!AD$56+'Water Demand Criteria'!AD$37*'Wastewater Criteria'!$C$11)*(1+'Wastewater Criteria'!$C$23)+('Project Tankers'!Z18*'Wastewater Criteria'!$C$9))*(1+'Wastewater Criteria'!$C$36)</f>
        <v>20712.46465567733</v>
      </c>
      <c r="AA18" s="34">
        <f>(('Project W Pop Connected'!AB18*'Water Demand Criteria'!AE$17/1000)*('Wastewater Criteria'!$C$8+'Wastewater Criteria'!$C$10*'Water Demand Criteria'!AE$56+'Water Demand Criteria'!AE$37*'Wastewater Criteria'!$C$11)*(1+'Wastewater Criteria'!$C$23)+('Project Tankers'!AA18*'Wastewater Criteria'!$C$9))*(1+'Wastewater Criteria'!$C$36)</f>
        <v>21150.793793586472</v>
      </c>
      <c r="AB18" s="34">
        <f>(('Project W Pop Connected'!AC18*'Water Demand Criteria'!AF$17/1000)*('Wastewater Criteria'!$C$8+'Wastewater Criteria'!$C$10*'Water Demand Criteria'!AF$56+'Water Demand Criteria'!AF$37*'Wastewater Criteria'!$C$11)*(1+'Wastewater Criteria'!$C$23)+('Project Tankers'!AB18*'Wastewater Criteria'!$C$9))*(1+'Wastewater Criteria'!$C$36)</f>
        <v>21604.940209486776</v>
      </c>
      <c r="AC18" s="34">
        <f>(('Project W Pop Connected'!AD18*'Water Demand Criteria'!AG$17/1000)*('Wastewater Criteria'!$C$8+'Wastewater Criteria'!$C$10*'Water Demand Criteria'!AG$56+'Water Demand Criteria'!AG$37*'Wastewater Criteria'!$C$11)*(1+'Wastewater Criteria'!$C$23)+('Project Tankers'!AC18*'Wastewater Criteria'!$C$9))*(1+'Wastewater Criteria'!$C$36)</f>
        <v>22075.674314746815</v>
      </c>
      <c r="AD18" s="44">
        <f>(('Project W Pop Connected'!AE18*'Water Demand Criteria'!AH$17/1000)*('Wastewater Criteria'!$C$8+'Wastewater Criteria'!$C$10*'Water Demand Criteria'!AH$56+'Water Demand Criteria'!AH$37*'Wastewater Criteria'!$C$11)*(1+'Wastewater Criteria'!$C$23)+('Project Tankers'!AD18*'Wastewater Criteria'!$C$9))*(1+'Wastewater Criteria'!$C$36)</f>
        <v>22845.32869548805</v>
      </c>
      <c r="AE18" s="44">
        <f>(('Project W Pop Connected'!AF18*'Water Demand Criteria'!AI$17/1000)*('Wastewater Criteria'!$C$8+'Wastewater Criteria'!$C$10*'Water Demand Criteria'!AI$56+'Water Demand Criteria'!AI$37*'Wastewater Criteria'!$C$11)*(1+'Wastewater Criteria'!$C$23)+('Project Tankers'!AE18*'Wastewater Criteria'!$C$9))*(1+'Wastewater Criteria'!$C$36)</f>
        <v>23645.151412743136</v>
      </c>
      <c r="AF18" s="44">
        <f>(('Project W Pop Connected'!AG18*'Water Demand Criteria'!AJ$17/1000)*('Wastewater Criteria'!$C$8+'Wastewater Criteria'!$C$10*'Water Demand Criteria'!AJ$56+'Water Demand Criteria'!AJ$37*'Wastewater Criteria'!$C$11)*(1+'Wastewater Criteria'!$C$23)+('Project Tankers'!AF18*'Wastewater Criteria'!$C$9))*(1+'Wastewater Criteria'!$C$36)</f>
        <v>24476.516601593667</v>
      </c>
      <c r="AG18" s="44">
        <f>(('Project W Pop Connected'!AH18*'Water Demand Criteria'!AK$17/1000)*('Wastewater Criteria'!$C$8+'Wastewater Criteria'!$C$10*'Water Demand Criteria'!AK$56+'Water Demand Criteria'!AK$37*'Wastewater Criteria'!$C$11)*(1+'Wastewater Criteria'!$C$23)+('Project Tankers'!AG18*'Wastewater Criteria'!$C$9))*(1+'Wastewater Criteria'!$C$36)</f>
        <v>25340.866164705487</v>
      </c>
      <c r="AH18" s="44">
        <f>(('Project W Pop Connected'!AI18*'Water Demand Criteria'!AL$17/1000)*('Wastewater Criteria'!$C$8+'Wastewater Criteria'!$C$10*'Water Demand Criteria'!AL$56+'Water Demand Criteria'!AL$37*'Wastewater Criteria'!$C$11)*(1+'Wastewater Criteria'!$C$23)+('Project Tankers'!AH18*'Wastewater Criteria'!$C$9))*(1+'Wastewater Criteria'!$C$36)</f>
        <v>26239.713414793445</v>
      </c>
      <c r="AI18" s="44">
        <f>(('Project W Pop Connected'!AJ18*'Water Demand Criteria'!AM$17/1000)*('Wastewater Criteria'!$C$8+'Wastewater Criteria'!$C$10*'Water Demand Criteria'!AM$56+'Water Demand Criteria'!AM$37*'Wastewater Criteria'!$C$11)*(1+'Wastewater Criteria'!$C$23)+('Project Tankers'!AI18*'Wastewater Criteria'!$C$9))*(1+'Wastewater Criteria'!$C$36)</f>
        <v>27174.646925285953</v>
      </c>
      <c r="AJ18" s="44">
        <f>(('Project W Pop Connected'!AK18*'Water Demand Criteria'!AN$17/1000)*('Wastewater Criteria'!$C$8+'Wastewater Criteria'!$C$10*'Water Demand Criteria'!AN$56+'Water Demand Criteria'!AN$37*'Wastewater Criteria'!$C$11)*(1+'Wastewater Criteria'!$C$23)+('Project Tankers'!AJ18*'Wastewater Criteria'!$C$9))*(1+'Wastewater Criteria'!$C$36)</f>
        <v>28147.334601835064</v>
      </c>
      <c r="AK18" s="44">
        <f>(('Project W Pop Connected'!AL18*'Water Demand Criteria'!AO$17/1000)*('Wastewater Criteria'!$C$8+'Wastewater Criteria'!$C$10*'Water Demand Criteria'!AO$56+'Water Demand Criteria'!AO$37*'Wastewater Criteria'!$C$11)*(1+'Wastewater Criteria'!$C$23)+('Project Tankers'!AK18*'Wastewater Criteria'!$C$9))*(1+'Wastewater Criteria'!$C$36)</f>
        <v>29154.167995868524</v>
      </c>
      <c r="AL18" s="44">
        <f>(('Project W Pop Connected'!AM18*'Water Demand Criteria'!AP$17/1000)*('Wastewater Criteria'!$C$8+'Wastewater Criteria'!$C$10*'Water Demand Criteria'!AP$56+'Water Demand Criteria'!AP$37*'Wastewater Criteria'!$C$11)*(1+'Wastewater Criteria'!$C$23)+('Project Tankers'!AL18*'Wastewater Criteria'!$C$9))*(1+'Wastewater Criteria'!$C$36)</f>
        <v>30193.116528084924</v>
      </c>
      <c r="AM18" s="44">
        <f>(('Project W Pop Connected'!AN18*'Water Demand Criteria'!AQ$17/1000)*('Wastewater Criteria'!$C$8+'Wastewater Criteria'!$C$10*'Water Demand Criteria'!AQ$56+'Water Demand Criteria'!AQ$37*'Wastewater Criteria'!$C$11)*(1+'Wastewater Criteria'!$C$23)+('Project Tankers'!AM18*'Wastewater Criteria'!$C$9))*(1+'Wastewater Criteria'!$C$36)</f>
        <v>31265.141789082096</v>
      </c>
      <c r="AN18" s="44">
        <f>(('Project W Pop Connected'!AO18*'Water Demand Criteria'!AR$17/1000)*('Wastewater Criteria'!$C$8+'Wastewater Criteria'!$C$10*'Water Demand Criteria'!AR$56+'Water Demand Criteria'!AR$37*'Wastewater Criteria'!$C$11)*(1+'Wastewater Criteria'!$C$23)+('Project Tankers'!AN18*'Wastewater Criteria'!$C$9))*(1+'Wastewater Criteria'!$C$36)</f>
        <v>32371.23302748696</v>
      </c>
      <c r="AO18" s="44">
        <f>(('Project W Pop Connected'!AP18*'Water Demand Criteria'!AS$17/1000)*('Wastewater Criteria'!$C$8+'Wastewater Criteria'!$C$10*'Water Demand Criteria'!AS$56+'Water Demand Criteria'!AS$37*'Wastewater Criteria'!$C$11)*(1+'Wastewater Criteria'!$C$23)+('Project Tankers'!AO18*'Wastewater Criteria'!$C$9))*(1+'Wastewater Criteria'!$C$36)</f>
        <v>33512.407923664738</v>
      </c>
      <c r="AP18" s="44">
        <f>(('Project W Pop Connected'!AQ18*'Water Demand Criteria'!AT$17/1000)*('Wastewater Criteria'!$C$8+'Wastewater Criteria'!$C$10*'Water Demand Criteria'!AT$56+'Water Demand Criteria'!AT$37*'Wastewater Criteria'!$C$11)*(1+'Wastewater Criteria'!$C$23)+('Project Tankers'!AP18*'Wastewater Criteria'!$C$9))*(1+'Wastewater Criteria'!$C$36)</f>
        <v>34689.713384635215</v>
      </c>
      <c r="AQ18" s="44">
        <f>(('Project W Pop Connected'!AR18*'Water Demand Criteria'!AU$17/1000)*('Wastewater Criteria'!$C$8+'Wastewater Criteria'!$C$10*'Water Demand Criteria'!AU$56+'Water Demand Criteria'!AU$37*'Wastewater Criteria'!$C$11)*(1+'Wastewater Criteria'!$C$23)+('Project Tankers'!AQ18*'Wastewater Criteria'!$C$9))*(1+'Wastewater Criteria'!$C$36)</f>
        <v>35904.226360768247</v>
      </c>
      <c r="AR18" s="44">
        <f>(('Project W Pop Connected'!AS18*'Water Demand Criteria'!AV$17/1000)*('Wastewater Criteria'!$C$8+'Wastewater Criteria'!$C$10*'Water Demand Criteria'!AV$56+'Water Demand Criteria'!AV$37*'Wastewater Criteria'!$C$11)*(1+'Wastewater Criteria'!$C$23)+('Project Tankers'!AR18*'Wastewater Criteria'!$C$9))*(1+'Wastewater Criteria'!$C$36)</f>
        <v>37157.054684846124</v>
      </c>
      <c r="AS18" s="44">
        <f>(('Project W Pop Connected'!AT18*'Water Demand Criteria'!AW$17/1000)*('Wastewater Criteria'!$C$8+'Wastewater Criteria'!$C$10*'Water Demand Criteria'!AW$56+'Water Demand Criteria'!AW$37*'Wastewater Criteria'!$C$11)*(1+'Wastewater Criteria'!$C$23)+('Project Tankers'!AS18*'Wastewater Criteria'!$C$9))*(1+'Wastewater Criteria'!$C$36)</f>
        <v>38449.337934095929</v>
      </c>
      <c r="AT18" s="44">
        <f>(('Project W Pop Connected'!AU18*'Water Demand Criteria'!AX$17/1000)*('Wastewater Criteria'!$C$8+'Wastewater Criteria'!$C$10*'Water Demand Criteria'!AX$56+'Water Demand Criteria'!AX$37*'Wastewater Criteria'!$C$11)*(1+'Wastewater Criteria'!$C$23)+('Project Tankers'!AT18*'Wastewater Criteria'!$C$9))*(1+'Wastewater Criteria'!$C$36)</f>
        <v>39782.248315811252</v>
      </c>
      <c r="AU18" s="44">
        <f>(('Project W Pop Connected'!AV18*'Water Demand Criteria'!AY$17/1000)*('Wastewater Criteria'!$C$8+'Wastewater Criteria'!$C$10*'Water Demand Criteria'!AY$56+'Water Demand Criteria'!AY$37*'Wastewater Criteria'!$C$11)*(1+'Wastewater Criteria'!$C$23)+('Project Tankers'!AU18*'Wastewater Criteria'!$C$9))*(1+'Wastewater Criteria'!$C$36)</f>
        <v>41156.991577198874</v>
      </c>
      <c r="AV18" s="44">
        <f>(('Project W Pop Connected'!AW18*'Water Demand Criteria'!AZ$17/1000)*('Wastewater Criteria'!$C$8+'Wastewater Criteria'!$C$10*'Water Demand Criteria'!AZ$56+'Water Demand Criteria'!AZ$37*'Wastewater Criteria'!$C$11)*(1+'Wastewater Criteria'!$C$23)+('Project Tankers'!AV18*'Wastewater Criteria'!$C$9))*(1+'Wastewater Criteria'!$C$36)</f>
        <v>42574.807940103201</v>
      </c>
      <c r="AW18" s="44">
        <f>(('Project W Pop Connected'!AX18*'Water Demand Criteria'!BA$17/1000)*('Wastewater Criteria'!$C$8+'Wastewater Criteria'!$C$10*'Water Demand Criteria'!BA$56+'Water Demand Criteria'!BA$37*'Wastewater Criteria'!$C$11)*(1+'Wastewater Criteria'!$C$23)+('Project Tankers'!AW18*'Wastewater Criteria'!$C$9))*(1+'Wastewater Criteria'!$C$36)</f>
        <v>44036.973061278462</v>
      </c>
      <c r="AX18" s="44">
        <f>(('Project W Pop Connected'!AY18*'Water Demand Criteria'!BB$17/1000)*('Wastewater Criteria'!$C$8+'Wastewater Criteria'!$C$10*'Water Demand Criteria'!BB$56+'Water Demand Criteria'!BB$37*'Wastewater Criteria'!$C$11)*(1+'Wastewater Criteria'!$C$23)+('Project Tankers'!AX18*'Wastewater Criteria'!$C$9))*(1+'Wastewater Criteria'!$C$36)</f>
        <v>45093.86041474915</v>
      </c>
      <c r="AY18" s="44">
        <f>(('Project W Pop Connected'!AZ18*'Water Demand Criteria'!BC$17/1000)*('Wastewater Criteria'!$C$8+'Wastewater Criteria'!$C$10*'Water Demand Criteria'!BC$56+'Water Demand Criteria'!BC$37*'Wastewater Criteria'!$C$11)*(1+'Wastewater Criteria'!$C$23)+('Project Tankers'!AY18*'Wastewater Criteria'!$C$9))*(1+'Wastewater Criteria'!$C$36)</f>
        <v>46176.113064703124</v>
      </c>
      <c r="AZ18" s="44">
        <f>(('Project W Pop Connected'!BA18*'Water Demand Criteria'!BD$17/1000)*('Wastewater Criteria'!$C$8+'Wastewater Criteria'!$C$10*'Water Demand Criteria'!BD$56+'Water Demand Criteria'!BD$37*'Wastewater Criteria'!$C$11)*(1+'Wastewater Criteria'!$C$23)+('Project Tankers'!AZ18*'Wastewater Criteria'!$C$9))*(1+'Wastewater Criteria'!$C$36)</f>
        <v>47284.339778255999</v>
      </c>
      <c r="BA18" s="44">
        <f>(('Project W Pop Connected'!BB18*'Water Demand Criteria'!BE$17/1000)*('Wastewater Criteria'!$C$8+'Wastewater Criteria'!$C$10*'Water Demand Criteria'!BE$56+'Water Demand Criteria'!BE$37*'Wastewater Criteria'!$C$11)*(1+'Wastewater Criteria'!$C$23)+('Project Tankers'!BA18*'Wastewater Criteria'!$C$9))*(1+'Wastewater Criteria'!$C$36)</f>
        <v>48419.163932934149</v>
      </c>
      <c r="BB18" s="44">
        <f>(('Project W Pop Connected'!BC18*'Water Demand Criteria'!BF$17/1000)*('Wastewater Criteria'!$C$8+'Wastewater Criteria'!$C$10*'Water Demand Criteria'!BF$56+'Water Demand Criteria'!BF$37*'Wastewater Criteria'!$C$11)*(1+'Wastewater Criteria'!$C$23)+('Project Tankers'!BB18*'Wastewater Criteria'!$C$9))*(1+'Wastewater Criteria'!$C$36)</f>
        <v>49581.223867324567</v>
      </c>
      <c r="BC18" s="44">
        <f>(('Project W Pop Connected'!BD18*'Water Demand Criteria'!BG$17/1000)*('Wastewater Criteria'!$C$8+'Wastewater Criteria'!$C$10*'Water Demand Criteria'!BG$56+'Water Demand Criteria'!BG$37*'Wastewater Criteria'!$C$11)*(1+'Wastewater Criteria'!$C$23)+('Project Tankers'!BC18*'Wastewater Criteria'!$C$9))*(1+'Wastewater Criteria'!$C$36)</f>
        <v>50771.173240140364</v>
      </c>
      <c r="BD18" s="44">
        <f>(('Project W Pop Connected'!BE18*'Water Demand Criteria'!BH$17/1000)*('Wastewater Criteria'!$C$8+'Wastewater Criteria'!$C$10*'Water Demand Criteria'!BH$56+'Water Demand Criteria'!BH$37*'Wastewater Criteria'!$C$11)*(1+'Wastewater Criteria'!$C$23)+('Project Tankers'!BD18*'Wastewater Criteria'!$C$9))*(1+'Wastewater Criteria'!$C$36)</f>
        <v>51989.681397903732</v>
      </c>
      <c r="BE18" s="44">
        <f>(('Project W Pop Connected'!BF18*'Water Demand Criteria'!BI$17/1000)*('Wastewater Criteria'!$C$8+'Wastewater Criteria'!$C$10*'Water Demand Criteria'!BI$56+'Water Demand Criteria'!BI$37*'Wastewater Criteria'!$C$11)*(1+'Wastewater Criteria'!$C$23)+('Project Tankers'!BE18*'Wastewater Criteria'!$C$9))*(1+'Wastewater Criteria'!$C$36)</f>
        <v>53237.43375145342</v>
      </c>
      <c r="BF18" s="44">
        <f>(('Project W Pop Connected'!BG18*'Water Demand Criteria'!BJ$17/1000)*('Wastewater Criteria'!$C$8+'Wastewater Criteria'!$C$10*'Water Demand Criteria'!BJ$56+'Water Demand Criteria'!BJ$37*'Wastewater Criteria'!$C$11)*(1+'Wastewater Criteria'!$C$23)+('Project Tankers'!BF18*'Wastewater Criteria'!$C$9))*(1+'Wastewater Criteria'!$C$36)</f>
        <v>54515.132161488313</v>
      </c>
      <c r="BG18" s="44">
        <f>(('Project W Pop Connected'!BH18*'Water Demand Criteria'!BK$17/1000)*('Wastewater Criteria'!$C$8+'Wastewater Criteria'!$C$10*'Water Demand Criteria'!BK$56+'Water Demand Criteria'!BK$37*'Wastewater Criteria'!$C$11)*(1+'Wastewater Criteria'!$C$23)+('Project Tankers'!BG18*'Wastewater Criteria'!$C$9))*(1+'Wastewater Criteria'!$C$36)</f>
        <v>55823.495333364022</v>
      </c>
      <c r="BH18" s="44">
        <f>(('Project W Pop Connected'!BI18*'Water Demand Criteria'!BL$17/1000)*('Wastewater Criteria'!$C$8+'Wastewater Criteria'!$C$10*'Water Demand Criteria'!BL$56+'Water Demand Criteria'!BL$37*'Wastewater Criteria'!$C$11)*(1+'Wastewater Criteria'!$C$23)+('Project Tankers'!BH18*'Wastewater Criteria'!$C$9))*(1+'Wastewater Criteria'!$C$36)</f>
        <v>57163.259221364759</v>
      </c>
      <c r="BI18" s="44">
        <f>(('Project W Pop Connected'!BJ18*'Water Demand Criteria'!BM$17/1000)*('Wastewater Criteria'!$C$8+'Wastewater Criteria'!$C$10*'Water Demand Criteria'!BM$56+'Water Demand Criteria'!BM$37*'Wastewater Criteria'!$C$11)*(1+'Wastewater Criteria'!$C$23)+('Project Tankers'!BI18*'Wastewater Criteria'!$C$9))*(1+'Wastewater Criteria'!$C$36)</f>
        <v>58535.177442677516</v>
      </c>
      <c r="BJ18" s="44">
        <f>(('Project W Pop Connected'!BK18*'Water Demand Criteria'!BN$17/1000)*('Wastewater Criteria'!$C$8+'Wastewater Criteria'!$C$10*'Water Demand Criteria'!BN$56+'Water Demand Criteria'!BN$37*'Wastewater Criteria'!$C$11)*(1+'Wastewater Criteria'!$C$23)+('Project Tankers'!BJ18*'Wastewater Criteria'!$C$9))*(1+'Wastewater Criteria'!$C$36)</f>
        <v>59940.021701301783</v>
      </c>
      <c r="BK18" s="44">
        <f>(('Project W Pop Connected'!BL18*'Water Demand Criteria'!BO$17/1000)*('Wastewater Criteria'!$C$8+'Wastewater Criteria'!$C$10*'Water Demand Criteria'!BO$56+'Water Demand Criteria'!BO$37*'Wastewater Criteria'!$C$11)*(1+'Wastewater Criteria'!$C$23)+('Project Tankers'!BK18*'Wastewater Criteria'!$C$9))*(1+'Wastewater Criteria'!$C$36)</f>
        <v>61378.582222133024</v>
      </c>
      <c r="BL18" s="44">
        <f>(('Project W Pop Connected'!BM18*'Water Demand Criteria'!BP$17/1000)*('Wastewater Criteria'!$C$8+'Wastewater Criteria'!$C$10*'Water Demand Criteria'!BP$56+'Water Demand Criteria'!BP$37*'Wastewater Criteria'!$C$11)*(1+'Wastewater Criteria'!$C$23)+('Project Tankers'!BL18*'Wastewater Criteria'!$C$9))*(1+'Wastewater Criteria'!$C$36)</f>
        <v>62851.668195464212</v>
      </c>
      <c r="BM18" s="44">
        <f>(('Project W Pop Connected'!BN18*'Water Demand Criteria'!BQ$17/1000)*('Wastewater Criteria'!$C$8+'Wastewater Criteria'!$C$10*'Water Demand Criteria'!BQ$56+'Water Demand Criteria'!BQ$37*'Wastewater Criteria'!$C$11)*(1+'Wastewater Criteria'!$C$23)+('Project Tankers'!BM18*'Wastewater Criteria'!$C$9))*(1+'Wastewater Criteria'!$C$36)</f>
        <v>64360.108232155355</v>
      </c>
      <c r="BN18" s="44">
        <f>(('Project W Pop Connected'!BO18*'Water Demand Criteria'!BR$17/1000)*('Wastewater Criteria'!$C$8+'Wastewater Criteria'!$C$10*'Water Demand Criteria'!BR$56+'Water Demand Criteria'!BR$37*'Wastewater Criteria'!$C$11)*(1+'Wastewater Criteria'!$C$23)+('Project Tankers'!BN18*'Wastewater Criteria'!$C$9))*(1+'Wastewater Criteria'!$C$36)</f>
        <v>65904.750829727083</v>
      </c>
      <c r="BO18" s="44">
        <f>(('Project W Pop Connected'!BP18*'Water Demand Criteria'!BS$17/1000)*('Wastewater Criteria'!$C$8+'Wastewater Criteria'!$C$10*'Water Demand Criteria'!BS$56+'Water Demand Criteria'!BS$37*'Wastewater Criteria'!$C$11)*(1+'Wastewater Criteria'!$C$23)+('Project Tankers'!BO18*'Wastewater Criteria'!$C$9))*(1+'Wastewater Criteria'!$C$36)</f>
        <v>67486.464849640543</v>
      </c>
      <c r="BP18" s="44">
        <f>(('Project W Pop Connected'!BQ18*'Water Demand Criteria'!BT$17/1000)*('Wastewater Criteria'!$C$8+'Wastewater Criteria'!$C$10*'Water Demand Criteria'!BT$56+'Water Demand Criteria'!BT$37*'Wastewater Criteria'!$C$11)*(1+'Wastewater Criteria'!$C$23)+('Project Tankers'!BP18*'Wastewater Criteria'!$C$9))*(1+'Wastewater Criteria'!$C$36)</f>
        <v>69106.140006031885</v>
      </c>
      <c r="BQ18" s="44">
        <f>(('Project W Pop Connected'!BR18*'Water Demand Criteria'!BU$17/1000)*('Wastewater Criteria'!$C$8+'Wastewater Criteria'!$C$10*'Water Demand Criteria'!BU$56+'Water Demand Criteria'!BU$37*'Wastewater Criteria'!$C$11)*(1+'Wastewater Criteria'!$C$23)+('Project Tankers'!BQ18*'Wastewater Criteria'!$C$9))*(1+'Wastewater Criteria'!$C$36)</f>
        <v>70764.687366176673</v>
      </c>
      <c r="BR18" s="44">
        <f>(('Project W Pop Connected'!BS18*'Water Demand Criteria'!BV$17/1000)*('Wastewater Criteria'!$C$8+'Wastewater Criteria'!$C$10*'Water Demand Criteria'!BV$56+'Water Demand Criteria'!BV$37*'Wastewater Criteria'!$C$11)*(1+'Wastewater Criteria'!$C$23)+('Project Tankers'!BR18*'Wastewater Criteria'!$C$9))*(1+'Wastewater Criteria'!$C$36)</f>
        <v>72463.039862964899</v>
      </c>
      <c r="BS18" s="44">
        <f>(('Project W Pop Connected'!BT18*'Water Demand Criteria'!BW$17/1000)*('Wastewater Criteria'!$C$8+'Wastewater Criteria'!$C$10*'Water Demand Criteria'!BW$56+'Water Demand Criteria'!BW$37*'Wastewater Criteria'!$C$11)*(1+'Wastewater Criteria'!$C$23)+('Project Tankers'!BS18*'Wastewater Criteria'!$C$9))*(1+'Wastewater Criteria'!$C$36)</f>
        <v>74202.152819676077</v>
      </c>
      <c r="BT18" s="44">
        <f>(('Project W Pop Connected'!BU18*'Water Demand Criteria'!BX$17/1000)*('Wastewater Criteria'!$C$8+'Wastewater Criteria'!$C$10*'Water Demand Criteria'!BX$56+'Water Demand Criteria'!BX$37*'Wastewater Criteria'!$C$11)*(1+'Wastewater Criteria'!$C$23)+('Project Tankers'!BT18*'Wastewater Criteria'!$C$9))*(1+'Wastewater Criteria'!$C$36)</f>
        <v>75983.004487348298</v>
      </c>
      <c r="BU18" s="44">
        <f>(('Project W Pop Connected'!BV18*'Water Demand Criteria'!BY$17/1000)*('Wastewater Criteria'!$C$8+'Wastewater Criteria'!$C$10*'Water Demand Criteria'!BY$56+'Water Demand Criteria'!BY$37*'Wastewater Criteria'!$C$11)*(1+'Wastewater Criteria'!$C$23)+('Project Tankers'!BU18*'Wastewater Criteria'!$C$9))*(1+'Wastewater Criteria'!$C$36)</f>
        <v>77806.596595044641</v>
      </c>
      <c r="BV18" s="44">
        <f>(('Project W Pop Connected'!BW18*'Water Demand Criteria'!BZ$17/1000)*('Wastewater Criteria'!$C$8+'Wastewater Criteria'!$C$10*'Water Demand Criteria'!BZ$56+'Water Demand Criteria'!BZ$37*'Wastewater Criteria'!$C$11)*(1+'Wastewater Criteria'!$C$23)+('Project Tankers'!BV18*'Wastewater Criteria'!$C$9))*(1+'Wastewater Criteria'!$C$36)</f>
        <v>79673.95491332571</v>
      </c>
      <c r="BW18" s="44">
        <f>(('Project W Pop Connected'!BX18*'Water Demand Criteria'!CA$17/1000)*('Wastewater Criteria'!$C$8+'Wastewater Criteria'!$C$10*'Water Demand Criteria'!CA$56+'Water Demand Criteria'!CA$37*'Wastewater Criteria'!$C$11)*(1+'Wastewater Criteria'!$C$23)+('Project Tankers'!BW18*'Wastewater Criteria'!$C$9))*(1+'Wastewater Criteria'!$C$36)</f>
        <v>81586.129831245533</v>
      </c>
      <c r="BX18" s="44">
        <f>(('Project W Pop Connected'!BY18*'Water Demand Criteria'!CB$17/1000)*('Wastewater Criteria'!$C$8+'Wastewater Criteria'!$C$10*'Water Demand Criteria'!CB$56+'Water Demand Criteria'!CB$37*'Wastewater Criteria'!$C$11)*(1+'Wastewater Criteria'!$C$23)+('Project Tankers'!BX18*'Wastewater Criteria'!$C$9))*(1+'Wastewater Criteria'!$C$36)</f>
        <v>83544.196947195422</v>
      </c>
      <c r="BY18" s="44">
        <f>(('Project W Pop Connected'!BZ18*'Water Demand Criteria'!CC$17/1000)*('Wastewater Criteria'!$C$8+'Wastewater Criteria'!$C$10*'Water Demand Criteria'!CC$56+'Water Demand Criteria'!CC$37*'Wastewater Criteria'!$C$11)*(1+'Wastewater Criteria'!$C$23)+('Project Tankers'!BY18*'Wastewater Criteria'!$C$9))*(1+'Wastewater Criteria'!$C$36)</f>
        <v>85549.257673928121</v>
      </c>
      <c r="BZ18" s="44">
        <f>(('Project W Pop Connected'!CA18*'Water Demand Criteria'!CD$17/1000)*('Wastewater Criteria'!$C$8+'Wastewater Criteria'!$C$10*'Water Demand Criteria'!CD$56+'Water Demand Criteria'!CD$37*'Wastewater Criteria'!$C$11)*(1+'Wastewater Criteria'!$C$23)+('Project Tankers'!BZ18*'Wastewater Criteria'!$C$9))*(1+'Wastewater Criteria'!$C$36)</f>
        <v>87602.4398581024</v>
      </c>
      <c r="CA18" s="44">
        <f>(('Project W Pop Connected'!CB18*'Water Demand Criteria'!CE$17/1000)*('Wastewater Criteria'!$C$8+'Wastewater Criteria'!$C$10*'Water Demand Criteria'!CE$56+'Water Demand Criteria'!CE$37*'Wastewater Criteria'!$C$11)*(1+'Wastewater Criteria'!$C$23)+('Project Tankers'!CA18*'Wastewater Criteria'!$C$9))*(1+'Wastewater Criteria'!$C$36)</f>
        <v>89704.898414696872</v>
      </c>
    </row>
    <row r="19" spans="1:79" x14ac:dyDescent="0.25">
      <c r="A19" s="33">
        <v>18</v>
      </c>
      <c r="B19" s="36" t="s">
        <v>58</v>
      </c>
      <c r="C19" s="34">
        <f>(('Project W Pop Connected'!D19*'Water Demand Criteria'!G$17/1000)*('Wastewater Criteria'!$C$8+'Wastewater Criteria'!$C$10*'Water Demand Criteria'!G$56+'Water Demand Criteria'!G$37*'Wastewater Criteria'!$C$11)*(1+'Wastewater Criteria'!$C$23)+('Project Tankers'!C19*'Wastewater Criteria'!$C$9))*(1+'Wastewater Criteria'!$C$36)</f>
        <v>3.8668572754539148</v>
      </c>
      <c r="D19" s="34">
        <f>(('Project W Pop Connected'!E19*'Water Demand Criteria'!H$17/1000)*('Wastewater Criteria'!$C$8+'Wastewater Criteria'!$C$10*'Water Demand Criteria'!H$56+'Water Demand Criteria'!H$37*'Wastewater Criteria'!$C$11)*(1+'Wastewater Criteria'!$C$23)+('Project Tankers'!D19*'Wastewater Criteria'!$C$9))*(1+'Wastewater Criteria'!$C$36)</f>
        <v>4.1692444914624813</v>
      </c>
      <c r="E19" s="34">
        <f>(('Project W Pop Connected'!F19*'Water Demand Criteria'!I$17/1000)*('Wastewater Criteria'!$C$8+'Wastewater Criteria'!$C$10*'Water Demand Criteria'!I$56+'Water Demand Criteria'!I$37*'Wastewater Criteria'!$C$11)*(1+'Wastewater Criteria'!$C$23)+('Project Tankers'!E19*'Wastewater Criteria'!$C$9))*(1+'Wastewater Criteria'!$C$36)</f>
        <v>4.4990595843740655</v>
      </c>
      <c r="F19" s="34">
        <f>(('Project W Pop Connected'!G19*'Water Demand Criteria'!J$17/1000)*('Wastewater Criteria'!$C$8+'Wastewater Criteria'!$C$10*'Water Demand Criteria'!J$56+'Water Demand Criteria'!J$37*'Wastewater Criteria'!$C$11)*(1+'Wastewater Criteria'!$C$23)+('Project Tankers'!F19*'Wastewater Criteria'!$C$9))*(1+'Wastewater Criteria'!$C$36)</f>
        <v>4.8421836443766546</v>
      </c>
      <c r="G19" s="34">
        <f>(('Project W Pop Connected'!H19*'Water Demand Criteria'!K$17/1000)*('Wastewater Criteria'!$C$8+'Wastewater Criteria'!$C$10*'Water Demand Criteria'!K$56+'Water Demand Criteria'!K$37*'Wastewater Criteria'!$C$11)*(1+'Wastewater Criteria'!$C$23)+('Project Tankers'!G19*'Wastewater Criteria'!$C$9))*(1+'Wastewater Criteria'!$C$36)</f>
        <v>5.1991962709708535</v>
      </c>
      <c r="H19" s="34">
        <f>(('Project W Pop Connected'!I19*'Water Demand Criteria'!L$17/1000)*('Wastewater Criteria'!$C$8+'Wastewater Criteria'!$C$10*'Water Demand Criteria'!L$56+'Water Demand Criteria'!L$37*'Wastewater Criteria'!$C$11)*(1+'Wastewater Criteria'!$C$23)+('Project Tankers'!H19*'Wastewater Criteria'!$C$9))*(1+'Wastewater Criteria'!$C$36)</f>
        <v>5.57044199615276</v>
      </c>
      <c r="I19" s="34">
        <f>(('Project W Pop Connected'!J19*'Water Demand Criteria'!M$17/1000)*('Wastewater Criteria'!$C$8+'Wastewater Criteria'!$C$10*'Water Demand Criteria'!M$56+'Water Demand Criteria'!M$37*'Wastewater Criteria'!$C$11)*(1+'Wastewater Criteria'!$C$23)+('Project Tankers'!I19*'Wastewater Criteria'!$C$9))*(1+'Wastewater Criteria'!$C$36)</f>
        <v>5.9307066999081197</v>
      </c>
      <c r="J19" s="34">
        <f>(('Project W Pop Connected'!K19*'Water Demand Criteria'!N$17/1000)*('Wastewater Criteria'!$C$8+'Wastewater Criteria'!$C$10*'Water Demand Criteria'!N$56+'Water Demand Criteria'!N$37*'Wastewater Criteria'!$C$11)*(1+'Wastewater Criteria'!$C$23)+('Project Tankers'!J19*'Wastewater Criteria'!$C$9))*(1+'Wastewater Criteria'!$C$36)</f>
        <v>6.3293340235292996</v>
      </c>
      <c r="K19" s="34">
        <f>(('Project W Pop Connected'!L19*'Water Demand Criteria'!O$17/1000)*('Wastewater Criteria'!$C$8+'Wastewater Criteria'!$C$10*'Water Demand Criteria'!O$56+'Water Demand Criteria'!O$37*'Wastewater Criteria'!$C$11)*(1+'Wastewater Criteria'!$C$23)+('Project Tankers'!K19*'Wastewater Criteria'!$C$9))*(1+'Wastewater Criteria'!$C$36)</f>
        <v>6.7434944897348039</v>
      </c>
      <c r="L19" s="34">
        <f>(('Project W Pop Connected'!M19*'Water Demand Criteria'!P$17/1000)*('Wastewater Criteria'!$C$8+'Wastewater Criteria'!$C$10*'Water Demand Criteria'!P$56+'Water Demand Criteria'!P$37*'Wastewater Criteria'!$C$11)*(1+'Wastewater Criteria'!$C$23)+('Project Tankers'!L19*'Wastewater Criteria'!$C$9))*(1+'Wastewater Criteria'!$C$36)</f>
        <v>7.0844765757112116</v>
      </c>
      <c r="M19" s="34">
        <f>(('Project W Pop Connected'!N19*'Water Demand Criteria'!Q$17/1000)*('Wastewater Criteria'!$C$8+'Wastewater Criteria'!$C$10*'Water Demand Criteria'!Q$56+'Water Demand Criteria'!Q$37*'Wastewater Criteria'!$C$11)*(1+'Wastewater Criteria'!$C$23)+('Project Tankers'!M19*'Wastewater Criteria'!$C$9))*(1+'Wastewater Criteria'!$C$36)</f>
        <v>7.622012090344195</v>
      </c>
      <c r="N19" s="34">
        <f>(('Project W Pop Connected'!O19*'Water Demand Criteria'!R$17/1000)*('Wastewater Criteria'!$C$8+'Wastewater Criteria'!$C$10*'Water Demand Criteria'!R$56+'Water Demand Criteria'!R$37*'Wastewater Criteria'!$C$11)*(1+'Wastewater Criteria'!$C$23)+('Project Tankers'!N19*'Wastewater Criteria'!$C$9))*(1+'Wastewater Criteria'!$C$36)</f>
        <v>8.0504165908887053</v>
      </c>
      <c r="O19" s="34">
        <f>(('Project W Pop Connected'!P19*'Water Demand Criteria'!S$17/1000)*('Wastewater Criteria'!$C$8+'Wastewater Criteria'!$C$10*'Water Demand Criteria'!S$56+'Water Demand Criteria'!S$37*'Wastewater Criteria'!$C$11)*(1+'Wastewater Criteria'!$C$23)+('Project Tankers'!O19*'Wastewater Criteria'!$C$9))*(1+'Wastewater Criteria'!$C$36)</f>
        <v>8.2583916873584222</v>
      </c>
      <c r="P19" s="34">
        <f>(('Project W Pop Connected'!Q19*'Water Demand Criteria'!T$17/1000)*('Wastewater Criteria'!$C$8+'Wastewater Criteria'!$C$10*'Water Demand Criteria'!T$56+'Water Demand Criteria'!T$37*'Wastewater Criteria'!$C$11)*(1+'Wastewater Criteria'!$C$23)+('Project Tankers'!P19*'Wastewater Criteria'!$C$9))*(1+'Wastewater Criteria'!$C$36)</f>
        <v>8.4745684307873486</v>
      </c>
      <c r="Q19" s="34">
        <f>(('Project W Pop Connected'!R19*'Water Demand Criteria'!U$17/1000)*('Wastewater Criteria'!$C$8+'Wastewater Criteria'!$C$10*'Water Demand Criteria'!U$56+'Water Demand Criteria'!U$37*'Wastewater Criteria'!$C$11)*(1+'Wastewater Criteria'!$C$23)+('Project Tankers'!Q19*'Wastewater Criteria'!$C$9))*(1+'Wastewater Criteria'!$C$36)</f>
        <v>8.6983467006662742</v>
      </c>
      <c r="R19" s="34">
        <f>(('Project W Pop Connected'!S19*'Water Demand Criteria'!V$17/1000)*('Wastewater Criteria'!$C$8+'Wastewater Criteria'!$C$10*'Water Demand Criteria'!V$56+'Water Demand Criteria'!V$37*'Wastewater Criteria'!$C$11)*(1+'Wastewater Criteria'!$C$23)+('Project Tankers'!R19*'Wastewater Criteria'!$C$9))*(1+'Wastewater Criteria'!$C$36)</f>
        <v>8.9317268986925686</v>
      </c>
      <c r="S19" s="34">
        <f>(('Project W Pop Connected'!T19*'Water Demand Criteria'!W$17/1000)*('Wastewater Criteria'!$C$8+'Wastewater Criteria'!$C$10*'Water Demand Criteria'!W$56+'Water Demand Criteria'!W$37*'Wastewater Criteria'!$C$11)*(1+'Wastewater Criteria'!$C$23)+('Project Tankers'!S19*'Wastewater Criteria'!$C$9))*(1+'Wastewater Criteria'!$C$36)</f>
        <v>9.125999243535313</v>
      </c>
      <c r="T19" s="34">
        <f>(('Project W Pop Connected'!U19*'Water Demand Criteria'!X$17/1000)*('Wastewater Criteria'!$C$8+'Wastewater Criteria'!$C$10*'Water Demand Criteria'!X$56+'Water Demand Criteria'!X$37*'Wastewater Criteria'!$C$11)*(1+'Wastewater Criteria'!$C$23)+('Project Tankers'!T19*'Wastewater Criteria'!$C$9))*(1+'Wastewater Criteria'!$C$36)</f>
        <v>9.3000912783168452</v>
      </c>
      <c r="U19" s="34">
        <f>(('Project W Pop Connected'!V19*'Water Demand Criteria'!Y$17/1000)*('Wastewater Criteria'!$C$8+'Wastewater Criteria'!$C$10*'Water Demand Criteria'!Y$56+'Water Demand Criteria'!Y$37*'Wastewater Criteria'!$C$11)*(1+'Wastewater Criteria'!$C$23)+('Project Tankers'!U19*'Wastewater Criteria'!$C$9))*(1+'Wastewater Criteria'!$C$36)</f>
        <v>9.4821313375389593</v>
      </c>
      <c r="V19" s="34">
        <f>(('Project W Pop Connected'!W19*'Water Demand Criteria'!Z$17/1000)*('Wastewater Criteria'!$C$8+'Wastewater Criteria'!$C$10*'Water Demand Criteria'!Z$56+'Water Demand Criteria'!Z$37*'Wastewater Criteria'!$C$11)*(1+'Wastewater Criteria'!$C$23)+('Project Tankers'!V19*'Wastewater Criteria'!$C$9))*(1+'Wastewater Criteria'!$C$36)</f>
        <v>9.6698384781279536</v>
      </c>
      <c r="W19" s="34">
        <f>(('Project W Pop Connected'!X19*'Water Demand Criteria'!AA$17/1000)*('Wastewater Criteria'!$C$8+'Wastewater Criteria'!$C$10*'Water Demand Criteria'!AA$56+'Water Demand Criteria'!AA$37*'Wastewater Criteria'!$C$11)*(1+'Wastewater Criteria'!$C$23)+('Project Tankers'!W19*'Wastewater Criteria'!$C$9))*(1+'Wastewater Criteria'!$C$36)</f>
        <v>9.8636026996416764</v>
      </c>
      <c r="X19" s="34">
        <f>(('Project W Pop Connected'!Y19*'Water Demand Criteria'!AB$17/1000)*('Wastewater Criteria'!$C$8+'Wastewater Criteria'!$C$10*'Water Demand Criteria'!AB$56+'Water Demand Criteria'!AB$37*'Wastewater Criteria'!$C$11)*(1+'Wastewater Criteria'!$C$23)+('Project Tankers'!X19*'Wastewater Criteria'!$C$9))*(1+'Wastewater Criteria'!$C$36)</f>
        <v>10.063814001643575</v>
      </c>
      <c r="Y19" s="34">
        <f>(('Project W Pop Connected'!Z19*'Water Demand Criteria'!AC$17/1000)*('Wastewater Criteria'!$C$8+'Wastewater Criteria'!$C$10*'Water Demand Criteria'!AC$56+'Water Demand Criteria'!AC$37*'Wastewater Criteria'!$C$11)*(1+'Wastewater Criteria'!$C$23)+('Project Tankers'!Y19*'Wastewater Criteria'!$C$9))*(1+'Wastewater Criteria'!$C$36)</f>
        <v>10.270862383999978</v>
      </c>
      <c r="Z19" s="34">
        <f>(('Project W Pop Connected'!AA19*'Water Demand Criteria'!AD$17/1000)*('Wastewater Criteria'!$C$8+'Wastewater Criteria'!$C$10*'Water Demand Criteria'!AD$56+'Water Demand Criteria'!AD$37*'Wastewater Criteria'!$C$11)*(1+'Wastewater Criteria'!$C$23)+('Project Tankers'!Z19*'Wastewater Criteria'!$C$9))*(1+'Wastewater Criteria'!$C$36)</f>
        <v>10.485137846063804</v>
      </c>
      <c r="AA19" s="34">
        <f>(('Project W Pop Connected'!AB19*'Water Demand Criteria'!AE$17/1000)*('Wastewater Criteria'!$C$8+'Wastewater Criteria'!$C$10*'Water Demand Criteria'!AE$56+'Water Demand Criteria'!AE$37*'Wastewater Criteria'!$C$11)*(1+'Wastewater Criteria'!$C$23)+('Project Tankers'!AA19*'Wastewater Criteria'!$C$9))*(1+'Wastewater Criteria'!$C$36)</f>
        <v>10.707030388034362</v>
      </c>
      <c r="AB19" s="34">
        <f>(('Project W Pop Connected'!AC19*'Water Demand Criteria'!AF$17/1000)*('Wastewater Criteria'!$C$8+'Wastewater Criteria'!$C$10*'Water Demand Criteria'!AF$56+'Water Demand Criteria'!AF$37*'Wastewater Criteria'!$C$11)*(1+'Wastewater Criteria'!$C$23)+('Project Tankers'!AB19*'Wastewater Criteria'!$C$9))*(1+'Wastewater Criteria'!$C$36)</f>
        <v>10.936930008971329</v>
      </c>
      <c r="AC19" s="34">
        <f>(('Project W Pop Connected'!AD19*'Water Demand Criteria'!AG$17/1000)*('Wastewater Criteria'!$C$8+'Wastewater Criteria'!$C$10*'Water Demand Criteria'!AG$56+'Water Demand Criteria'!AG$37*'Wastewater Criteria'!$C$11)*(1+'Wastewater Criteria'!$C$23)+('Project Tankers'!AC19*'Wastewater Criteria'!$C$9))*(1+'Wastewater Criteria'!$C$36)</f>
        <v>11.175226709269722</v>
      </c>
      <c r="AD19" s="44">
        <f>(('Project W Pop Connected'!AE19*'Water Demand Criteria'!AH$17/1000)*('Wastewater Criteria'!$C$8+'Wastewater Criteria'!$C$10*'Water Demand Criteria'!AH$56+'Water Demand Criteria'!AH$37*'Wastewater Criteria'!$C$11)*(1+'Wastewater Criteria'!$C$23)+('Project Tankers'!AD19*'Wastewater Criteria'!$C$9))*(1+'Wastewater Criteria'!$C$36)</f>
        <v>11.564843899210793</v>
      </c>
      <c r="AE19" s="44">
        <f>(('Project W Pop Connected'!AF19*'Water Demand Criteria'!AI$17/1000)*('Wastewater Criteria'!$C$8+'Wastewater Criteria'!$C$10*'Water Demand Criteria'!AI$56+'Water Demand Criteria'!AI$37*'Wastewater Criteria'!$C$11)*(1+'Wastewater Criteria'!$C$23)+('Project Tankers'!AE19*'Wastewater Criteria'!$C$9))*(1+'Wastewater Criteria'!$C$36)</f>
        <v>11.969733012227778</v>
      </c>
      <c r="AF19" s="44">
        <f>(('Project W Pop Connected'!AG19*'Water Demand Criteria'!AJ$17/1000)*('Wastewater Criteria'!$C$8+'Wastewater Criteria'!$C$10*'Water Demand Criteria'!AJ$56+'Water Demand Criteria'!AJ$37*'Wastewater Criteria'!$C$11)*(1+'Wastewater Criteria'!$C$23)+('Project Tankers'!AF19*'Wastewater Criteria'!$C$9))*(1+'Wastewater Criteria'!$C$36)</f>
        <v>12.390589667890303</v>
      </c>
      <c r="AG19" s="44">
        <f>(('Project W Pop Connected'!AH19*'Water Demand Criteria'!AK$17/1000)*('Wastewater Criteria'!$C$8+'Wastewater Criteria'!$C$10*'Water Demand Criteria'!AK$56+'Water Demand Criteria'!AK$37*'Wastewater Criteria'!$C$11)*(1+'Wastewater Criteria'!$C$23)+('Project Tankers'!AG19*'Wastewater Criteria'!$C$9))*(1+'Wastewater Criteria'!$C$36)</f>
        <v>12.828143791316572</v>
      </c>
      <c r="AH19" s="44">
        <f>(('Project W Pop Connected'!AI19*'Water Demand Criteria'!AL$17/1000)*('Wastewater Criteria'!$C$8+'Wastewater Criteria'!$C$10*'Water Demand Criteria'!AL$56+'Water Demand Criteria'!AL$37*'Wastewater Criteria'!$C$11)*(1+'Wastewater Criteria'!$C$23)+('Project Tankers'!AH19*'Wastewater Criteria'!$C$9))*(1+'Wastewater Criteria'!$C$36)</f>
        <v>13.283161457074879</v>
      </c>
      <c r="AI19" s="44">
        <f>(('Project W Pop Connected'!AJ19*'Water Demand Criteria'!AM$17/1000)*('Wastewater Criteria'!$C$8+'Wastewater Criteria'!$C$10*'Water Demand Criteria'!AM$56+'Water Demand Criteria'!AM$37*'Wastewater Criteria'!$C$11)*(1+'Wastewater Criteria'!$C$23)+('Project Tankers'!AI19*'Wastewater Criteria'!$C$9))*(1+'Wastewater Criteria'!$C$36)</f>
        <v>13.756446838480764</v>
      </c>
      <c r="AJ19" s="44">
        <f>(('Project W Pop Connected'!AK19*'Water Demand Criteria'!AN$17/1000)*('Wastewater Criteria'!$C$8+'Wastewater Criteria'!$C$10*'Water Demand Criteria'!AN$56+'Water Demand Criteria'!AN$37*'Wastewater Criteria'!$C$11)*(1+'Wastewater Criteria'!$C$23)+('Project Tankers'!AJ19*'Wastewater Criteria'!$C$9))*(1+'Wastewater Criteria'!$C$36)</f>
        <v>14.248844268691439</v>
      </c>
      <c r="AK19" s="44">
        <f>(('Project W Pop Connected'!AL19*'Water Demand Criteria'!AO$17/1000)*('Wastewater Criteria'!$C$8+'Wastewater Criteria'!$C$10*'Water Demand Criteria'!AO$56+'Water Demand Criteria'!AO$37*'Wastewater Criteria'!$C$11)*(1+'Wastewater Criteria'!$C$23)+('Project Tankers'!AK19*'Wastewater Criteria'!$C$9))*(1+'Wastewater Criteria'!$C$36)</f>
        <v>14.758527065980724</v>
      </c>
      <c r="AL19" s="44">
        <f>(('Project W Pop Connected'!AM19*'Water Demand Criteria'!AP$17/1000)*('Wastewater Criteria'!$C$8+'Wastewater Criteria'!$C$10*'Water Demand Criteria'!AP$56+'Water Demand Criteria'!AP$37*'Wastewater Criteria'!$C$11)*(1+'Wastewater Criteria'!$C$23)+('Project Tankers'!AL19*'Wastewater Criteria'!$C$9))*(1+'Wastewater Criteria'!$C$36)</f>
        <v>15.284467303241129</v>
      </c>
      <c r="AM19" s="44">
        <f>(('Project W Pop Connected'!AN19*'Water Demand Criteria'!AQ$17/1000)*('Wastewater Criteria'!$C$8+'Wastewater Criteria'!$C$10*'Water Demand Criteria'!AQ$56+'Water Demand Criteria'!AQ$37*'Wastewater Criteria'!$C$11)*(1+'Wastewater Criteria'!$C$23)+('Project Tankers'!AM19*'Wastewater Criteria'!$C$9))*(1+'Wastewater Criteria'!$C$36)</f>
        <v>15.827151760300026</v>
      </c>
      <c r="AN19" s="44">
        <f>(('Project W Pop Connected'!AO19*'Water Demand Criteria'!AR$17/1000)*('Wastewater Criteria'!$C$8+'Wastewater Criteria'!$C$10*'Water Demand Criteria'!AR$56+'Water Demand Criteria'!AR$37*'Wastewater Criteria'!$C$11)*(1+'Wastewater Criteria'!$C$23)+('Project Tankers'!AN19*'Wastewater Criteria'!$C$9))*(1+'Wastewater Criteria'!$C$36)</f>
        <v>16.387081218131087</v>
      </c>
      <c r="AO19" s="44">
        <f>(('Project W Pop Connected'!AP19*'Water Demand Criteria'!AS$17/1000)*('Wastewater Criteria'!$C$8+'Wastewater Criteria'!$C$10*'Water Demand Criteria'!AS$56+'Water Demand Criteria'!AS$37*'Wastewater Criteria'!$C$11)*(1+'Wastewater Criteria'!$C$23)+('Project Tankers'!AO19*'Wastewater Criteria'!$C$9))*(1+'Wastewater Criteria'!$C$36)</f>
        <v>16.964770850524097</v>
      </c>
      <c r="AP19" s="44">
        <f>(('Project W Pop Connected'!AQ19*'Water Demand Criteria'!AT$17/1000)*('Wastewater Criteria'!$C$8+'Wastewater Criteria'!$C$10*'Water Demand Criteria'!AT$56+'Water Demand Criteria'!AT$37*'Wastewater Criteria'!$C$11)*(1+'Wastewater Criteria'!$C$23)+('Project Tankers'!AP19*'Wastewater Criteria'!$C$9))*(1+'Wastewater Criteria'!$C$36)</f>
        <v>17.560750626490343</v>
      </c>
      <c r="AQ19" s="44">
        <f>(('Project W Pop Connected'!AR19*'Water Demand Criteria'!AU$17/1000)*('Wastewater Criteria'!$C$8+'Wastewater Criteria'!$C$10*'Water Demand Criteria'!AU$56+'Water Demand Criteria'!AU$37*'Wastewater Criteria'!$C$11)*(1+'Wastewater Criteria'!$C$23)+('Project Tankers'!AQ19*'Wastewater Criteria'!$C$9))*(1+'Wastewater Criteria'!$C$36)</f>
        <v>18.175565723693055</v>
      </c>
      <c r="AR19" s="44">
        <f>(('Project W Pop Connected'!AS19*'Water Demand Criteria'!AV$17/1000)*('Wastewater Criteria'!$C$8+'Wastewater Criteria'!$C$10*'Water Demand Criteria'!AV$56+'Water Demand Criteria'!AV$37*'Wastewater Criteria'!$C$11)*(1+'Wastewater Criteria'!$C$23)+('Project Tankers'!AR19*'Wastewater Criteria'!$C$9))*(1+'Wastewater Criteria'!$C$36)</f>
        <v>18.809776953200643</v>
      </c>
      <c r="AS19" s="44">
        <f>(('Project W Pop Connected'!AT19*'Water Demand Criteria'!AW$17/1000)*('Wastewater Criteria'!$C$8+'Wastewater Criteria'!$C$10*'Water Demand Criteria'!AW$56+'Water Demand Criteria'!AW$37*'Wastewater Criteria'!$C$11)*(1+'Wastewater Criteria'!$C$23)+('Project Tankers'!AS19*'Wastewater Criteria'!$C$9))*(1+'Wastewater Criteria'!$C$36)</f>
        <v>19.463961195867746</v>
      </c>
      <c r="AT19" s="44">
        <f>(('Project W Pop Connected'!AU19*'Water Demand Criteria'!AX$17/1000)*('Wastewater Criteria'!$C$8+'Wastewater Criteria'!$C$10*'Water Demand Criteria'!AX$56+'Water Demand Criteria'!AX$37*'Wastewater Criteria'!$C$11)*(1+'Wastewater Criteria'!$C$23)+('Project Tankers'!AT19*'Wastewater Criteria'!$C$9))*(1+'Wastewater Criteria'!$C$36)</f>
        <v>20.138711850657824</v>
      </c>
      <c r="AU19" s="44">
        <f>(('Project W Pop Connected'!AV19*'Water Demand Criteria'!AY$17/1000)*('Wastewater Criteria'!$C$8+'Wastewater Criteria'!$C$10*'Water Demand Criteria'!AY$56+'Water Demand Criteria'!AY$37*'Wastewater Criteria'!$C$11)*(1+'Wastewater Criteria'!$C$23)+('Project Tankers'!AU19*'Wastewater Criteria'!$C$9))*(1+'Wastewater Criteria'!$C$36)</f>
        <v>20.834639295229014</v>
      </c>
      <c r="AV19" s="44">
        <f>(('Project W Pop Connected'!AW19*'Water Demand Criteria'!AZ$17/1000)*('Wastewater Criteria'!$C$8+'Wastewater Criteria'!$C$10*'Water Demand Criteria'!AZ$56+'Water Demand Criteria'!AZ$37*'Wastewater Criteria'!$C$11)*(1+'Wastewater Criteria'!$C$23)+('Project Tankers'!AV19*'Wastewater Criteria'!$C$9))*(1+'Wastewater Criteria'!$C$36)</f>
        <v>21.552371359113639</v>
      </c>
      <c r="AW19" s="44">
        <f>(('Project W Pop Connected'!AX19*'Water Demand Criteria'!BA$17/1000)*('Wastewater Criteria'!$C$8+'Wastewater Criteria'!$C$10*'Water Demand Criteria'!BA$56+'Water Demand Criteria'!BA$37*'Wastewater Criteria'!$C$11)*(1+'Wastewater Criteria'!$C$23)+('Project Tankers'!AW19*'Wastewater Criteria'!$C$9))*(1+'Wastewater Criteria'!$C$36)</f>
        <v>22.292553809830675</v>
      </c>
      <c r="AX19" s="44">
        <f>(('Project W Pop Connected'!AY19*'Water Demand Criteria'!BB$17/1000)*('Wastewater Criteria'!$C$8+'Wastewater Criteria'!$C$10*'Water Demand Criteria'!BB$56+'Water Demand Criteria'!BB$37*'Wastewater Criteria'!$C$11)*(1+'Wastewater Criteria'!$C$23)+('Project Tankers'!AX19*'Wastewater Criteria'!$C$9))*(1+'Wastewater Criteria'!$C$36)</f>
        <v>22.827575101266614</v>
      </c>
      <c r="AY19" s="44">
        <f>(('Project W Pop Connected'!AZ19*'Water Demand Criteria'!BC$17/1000)*('Wastewater Criteria'!$C$8+'Wastewater Criteria'!$C$10*'Water Demand Criteria'!BC$56+'Water Demand Criteria'!BC$37*'Wastewater Criteria'!$C$11)*(1+'Wastewater Criteria'!$C$23)+('Project Tankers'!AY19*'Wastewater Criteria'!$C$9))*(1+'Wastewater Criteria'!$C$36)</f>
        <v>23.375436903697011</v>
      </c>
      <c r="AZ19" s="44">
        <f>(('Project W Pop Connected'!BA19*'Water Demand Criteria'!BD$17/1000)*('Wastewater Criteria'!$C$8+'Wastewater Criteria'!$C$10*'Water Demand Criteria'!BD$56+'Water Demand Criteria'!BD$37*'Wastewater Criteria'!$C$11)*(1+'Wastewater Criteria'!$C$23)+('Project Tankers'!AZ19*'Wastewater Criteria'!$C$9))*(1+'Wastewater Criteria'!$C$36)</f>
        <v>23.936447389385737</v>
      </c>
      <c r="BA19" s="44">
        <f>(('Project W Pop Connected'!BB19*'Water Demand Criteria'!BE$17/1000)*('Wastewater Criteria'!$C$8+'Wastewater Criteria'!$C$10*'Water Demand Criteria'!BE$56+'Water Demand Criteria'!BE$37*'Wastewater Criteria'!$C$11)*(1+'Wastewater Criteria'!$C$23)+('Project Tankers'!BA19*'Wastewater Criteria'!$C$9))*(1+'Wastewater Criteria'!$C$36)</f>
        <v>24.510922126730996</v>
      </c>
      <c r="BB19" s="44">
        <f>(('Project W Pop Connected'!BC19*'Water Demand Criteria'!BF$17/1000)*('Wastewater Criteria'!$C$8+'Wastewater Criteria'!$C$10*'Water Demand Criteria'!BF$56+'Water Demand Criteria'!BF$37*'Wastewater Criteria'!$C$11)*(1+'Wastewater Criteria'!$C$23)+('Project Tankers'!BB19*'Wastewater Criteria'!$C$9))*(1+'Wastewater Criteria'!$C$36)</f>
        <v>25.099184257772546</v>
      </c>
      <c r="BC19" s="44">
        <f>(('Project W Pop Connected'!BD19*'Water Demand Criteria'!BG$17/1000)*('Wastewater Criteria'!$C$8+'Wastewater Criteria'!$C$10*'Water Demand Criteria'!BG$56+'Water Demand Criteria'!BG$37*'Wastewater Criteria'!$C$11)*(1+'Wastewater Criteria'!$C$23)+('Project Tankers'!BC19*'Wastewater Criteria'!$C$9))*(1+'Wastewater Criteria'!$C$36)</f>
        <v>25.70156467995908</v>
      </c>
      <c r="BD19" s="44">
        <f>(('Project W Pop Connected'!BE19*'Water Demand Criteria'!BH$17/1000)*('Wastewater Criteria'!$C$8+'Wastewater Criteria'!$C$10*'Water Demand Criteria'!BH$56+'Water Demand Criteria'!BH$37*'Wastewater Criteria'!$C$11)*(1+'Wastewater Criteria'!$C$23)+('Project Tankers'!BD19*'Wastewater Criteria'!$C$9))*(1+'Wastewater Criteria'!$C$36)</f>
        <v>26.318402232278103</v>
      </c>
      <c r="BE19" s="44">
        <f>(('Project W Pop Connected'!BF19*'Water Demand Criteria'!BI$17/1000)*('Wastewater Criteria'!$C$8+'Wastewater Criteria'!$C$10*'Water Demand Criteria'!BI$56+'Water Demand Criteria'!BI$37*'Wastewater Criteria'!$C$11)*(1+'Wastewater Criteria'!$C$23)+('Project Tankers'!BE19*'Wastewater Criteria'!$C$9))*(1+'Wastewater Criteria'!$C$36)</f>
        <v>26.950043885852779</v>
      </c>
      <c r="BF19" s="44">
        <f>(('Project W Pop Connected'!BG19*'Water Demand Criteria'!BJ$17/1000)*('Wastewater Criteria'!$C$8+'Wastewater Criteria'!$C$10*'Water Demand Criteria'!BJ$56+'Water Demand Criteria'!BJ$37*'Wastewater Criteria'!$C$11)*(1+'Wastewater Criteria'!$C$23)+('Project Tankers'!BF19*'Wastewater Criteria'!$C$9))*(1+'Wastewater Criteria'!$C$36)</f>
        <v>27.596844939113247</v>
      </c>
      <c r="BG19" s="44">
        <f>(('Project W Pop Connected'!BH19*'Water Demand Criteria'!BK$17/1000)*('Wastewater Criteria'!$C$8+'Wastewater Criteria'!$C$10*'Water Demand Criteria'!BK$56+'Water Demand Criteria'!BK$37*'Wastewater Criteria'!$C$11)*(1+'Wastewater Criteria'!$C$23)+('Project Tankers'!BG19*'Wastewater Criteria'!$C$9))*(1+'Wastewater Criteria'!$C$36)</f>
        <v>28.259169217651962</v>
      </c>
      <c r="BH19" s="44">
        <f>(('Project W Pop Connected'!BI19*'Water Demand Criteria'!BL$17/1000)*('Wastewater Criteria'!$C$8+'Wastewater Criteria'!$C$10*'Water Demand Criteria'!BL$56+'Water Demand Criteria'!BL$37*'Wastewater Criteria'!$C$11)*(1+'Wastewater Criteria'!$C$23)+('Project Tankers'!BH19*'Wastewater Criteria'!$C$9))*(1+'Wastewater Criteria'!$C$36)</f>
        <v>28.93738927887561</v>
      </c>
      <c r="BI19" s="44">
        <f>(('Project W Pop Connected'!BJ19*'Water Demand Criteria'!BM$17/1000)*('Wastewater Criteria'!$C$8+'Wastewater Criteria'!$C$10*'Water Demand Criteria'!BM$56+'Water Demand Criteria'!BM$37*'Wastewater Criteria'!$C$11)*(1+'Wastewater Criteria'!$C$23)+('Project Tankers'!BI19*'Wastewater Criteria'!$C$9))*(1+'Wastewater Criteria'!$C$36)</f>
        <v>29.631886621568622</v>
      </c>
      <c r="BJ19" s="44">
        <f>(('Project W Pop Connected'!BK19*'Water Demand Criteria'!BN$17/1000)*('Wastewater Criteria'!$C$8+'Wastewater Criteria'!$C$10*'Water Demand Criteria'!BN$56+'Water Demand Criteria'!BN$37*'Wastewater Criteria'!$C$11)*(1+'Wastewater Criteria'!$C$23)+('Project Tankers'!BJ19*'Wastewater Criteria'!$C$9))*(1+'Wastewater Criteria'!$C$36)</f>
        <v>30.343051900486266</v>
      </c>
      <c r="BK19" s="44">
        <f>(('Project W Pop Connected'!BL19*'Water Demand Criteria'!BO$17/1000)*('Wastewater Criteria'!$C$8+'Wastewater Criteria'!$C$10*'Water Demand Criteria'!BO$56+'Water Demand Criteria'!BO$37*'Wastewater Criteria'!$C$11)*(1+'Wastewater Criteria'!$C$23)+('Project Tankers'!BK19*'Wastewater Criteria'!$C$9))*(1+'Wastewater Criteria'!$C$36)</f>
        <v>31.071285146097942</v>
      </c>
      <c r="BL19" s="44">
        <f>(('Project W Pop Connected'!BM19*'Water Demand Criteria'!BP$17/1000)*('Wastewater Criteria'!$C$8+'Wastewater Criteria'!$C$10*'Water Demand Criteria'!BP$56+'Water Demand Criteria'!BP$37*'Wastewater Criteria'!$C$11)*(1+'Wastewater Criteria'!$C$23)+('Project Tankers'!BL19*'Wastewater Criteria'!$C$9))*(1+'Wastewater Criteria'!$C$36)</f>
        <v>31.816995989604287</v>
      </c>
      <c r="BM19" s="44">
        <f>(('Project W Pop Connected'!BN19*'Water Demand Criteria'!BQ$17/1000)*('Wastewater Criteria'!$C$8+'Wastewater Criteria'!$C$10*'Water Demand Criteria'!BQ$56+'Water Demand Criteria'!BQ$37*'Wastewater Criteria'!$C$11)*(1+'Wastewater Criteria'!$C$23)+('Project Tankers'!BM19*'Wastewater Criteria'!$C$9))*(1+'Wastewater Criteria'!$C$36)</f>
        <v>32.580603893354791</v>
      </c>
      <c r="BN19" s="44">
        <f>(('Project W Pop Connected'!BO19*'Water Demand Criteria'!BR$17/1000)*('Wastewater Criteria'!$C$8+'Wastewater Criteria'!$C$10*'Water Demand Criteria'!BR$56+'Water Demand Criteria'!BR$37*'Wastewater Criteria'!$C$11)*(1+'Wastewater Criteria'!$C$23)+('Project Tankers'!BN19*'Wastewater Criteria'!$C$9))*(1+'Wastewater Criteria'!$C$36)</f>
        <v>33.3625383867953</v>
      </c>
      <c r="BO19" s="44">
        <f>(('Project W Pop Connected'!BP19*'Water Demand Criteria'!BS$17/1000)*('Wastewater Criteria'!$C$8+'Wastewater Criteria'!$C$10*'Water Demand Criteria'!BS$56+'Water Demand Criteria'!BS$37*'Wastewater Criteria'!$C$11)*(1+'Wastewater Criteria'!$C$23)+('Project Tankers'!BO19*'Wastewater Criteria'!$C$9))*(1+'Wastewater Criteria'!$C$36)</f>
        <v>34.163239308078396</v>
      </c>
      <c r="BP19" s="44">
        <f>(('Project W Pop Connected'!BQ19*'Water Demand Criteria'!BT$17/1000)*('Wastewater Criteria'!$C$8+'Wastewater Criteria'!$C$10*'Water Demand Criteria'!BT$56+'Water Demand Criteria'!BT$37*'Wastewater Criteria'!$C$11)*(1+'Wastewater Criteria'!$C$23)+('Project Tankers'!BP19*'Wastewater Criteria'!$C$9))*(1+'Wastewater Criteria'!$C$36)</f>
        <v>34.983157051472283</v>
      </c>
      <c r="BQ19" s="44">
        <f>(('Project W Pop Connected'!BR19*'Water Demand Criteria'!BU$17/1000)*('Wastewater Criteria'!$C$8+'Wastewater Criteria'!$C$10*'Water Demand Criteria'!BU$56+'Water Demand Criteria'!BU$37*'Wastewater Criteria'!$C$11)*(1+'Wastewater Criteria'!$C$23)+('Project Tankers'!BQ19*'Wastewater Criteria'!$C$9))*(1+'Wastewater Criteria'!$C$36)</f>
        <v>35.822752820707613</v>
      </c>
      <c r="BR19" s="44">
        <f>(('Project W Pop Connected'!BS19*'Water Demand Criteria'!BV$17/1000)*('Wastewater Criteria'!$C$8+'Wastewater Criteria'!$C$10*'Water Demand Criteria'!BV$56+'Water Demand Criteria'!BV$37*'Wastewater Criteria'!$C$11)*(1+'Wastewater Criteria'!$C$23)+('Project Tankers'!BR19*'Wastewater Criteria'!$C$9))*(1+'Wastewater Criteria'!$C$36)</f>
        <v>36.682498888404595</v>
      </c>
      <c r="BS19" s="44">
        <f>(('Project W Pop Connected'!BT19*'Water Demand Criteria'!BW$17/1000)*('Wastewater Criteria'!$C$8+'Wastewater Criteria'!$C$10*'Water Demand Criteria'!BW$56+'Water Demand Criteria'!BW$37*'Wastewater Criteria'!$C$11)*(1+'Wastewater Criteria'!$C$23)+('Project Tankers'!BS19*'Wastewater Criteria'!$C$9))*(1+'Wastewater Criteria'!$C$36)</f>
        <v>37.562878861726311</v>
      </c>
      <c r="BT19" s="44">
        <f>(('Project W Pop Connected'!BU19*'Water Demand Criteria'!BX$17/1000)*('Wastewater Criteria'!$C$8+'Wastewater Criteria'!$C$10*'Water Demand Criteria'!BX$56+'Water Demand Criteria'!BX$37*'Wastewater Criteria'!$C$11)*(1+'Wastewater Criteria'!$C$23)+('Project Tankers'!BT19*'Wastewater Criteria'!$C$9))*(1+'Wastewater Criteria'!$C$36)</f>
        <v>38.464387954407734</v>
      </c>
      <c r="BU19" s="44">
        <f>(('Project W Pop Connected'!BV19*'Water Demand Criteria'!BY$17/1000)*('Wastewater Criteria'!$C$8+'Wastewater Criteria'!$C$10*'Water Demand Criteria'!BY$56+'Water Demand Criteria'!BY$37*'Wastewater Criteria'!$C$11)*(1+'Wastewater Criteria'!$C$23)+('Project Tankers'!BU19*'Wastewater Criteria'!$C$9))*(1+'Wastewater Criteria'!$C$36)</f>
        <v>39.387533265313529</v>
      </c>
      <c r="BV19" s="44">
        <f>(('Project W Pop Connected'!BW19*'Water Demand Criteria'!BZ$17/1000)*('Wastewater Criteria'!$C$8+'Wastewater Criteria'!$C$10*'Water Demand Criteria'!BZ$56+'Water Demand Criteria'!BZ$37*'Wastewater Criteria'!$C$11)*(1+'Wastewater Criteria'!$C$23)+('Project Tankers'!BV19*'Wastewater Criteria'!$C$9))*(1+'Wastewater Criteria'!$C$36)</f>
        <v>40.332834063681055</v>
      </c>
      <c r="BW19" s="44">
        <f>(('Project W Pop Connected'!BX19*'Water Demand Criteria'!CA$17/1000)*('Wastewater Criteria'!$C$8+'Wastewater Criteria'!$C$10*'Water Demand Criteria'!CA$56+'Water Demand Criteria'!CA$37*'Wastewater Criteria'!$C$11)*(1+'Wastewater Criteria'!$C$23)+('Project Tankers'!BW19*'Wastewater Criteria'!$C$9))*(1+'Wastewater Criteria'!$C$36)</f>
        <v>41.30082208120939</v>
      </c>
      <c r="BX19" s="44">
        <f>(('Project W Pop Connected'!BY19*'Water Demand Criteria'!CB$17/1000)*('Wastewater Criteria'!$C$8+'Wastewater Criteria'!$C$10*'Water Demand Criteria'!CB$56+'Water Demand Criteria'!CB$37*'Wastewater Criteria'!$C$11)*(1+'Wastewater Criteria'!$C$23)+('Project Tankers'!BX19*'Wastewater Criteria'!$C$9))*(1+'Wastewater Criteria'!$C$36)</f>
        <v>42.29204181115842</v>
      </c>
      <c r="BY19" s="44">
        <f>(('Project W Pop Connected'!BZ19*'Water Demand Criteria'!CC$17/1000)*('Wastewater Criteria'!$C$8+'Wastewater Criteria'!$C$10*'Water Demand Criteria'!CC$56+'Water Demand Criteria'!CC$37*'Wastewater Criteria'!$C$11)*(1+'Wastewater Criteria'!$C$23)+('Project Tankers'!BY19*'Wastewater Criteria'!$C$9))*(1+'Wastewater Criteria'!$C$36)</f>
        <v>43.30705081462623</v>
      </c>
      <c r="BZ19" s="44">
        <f>(('Project W Pop Connected'!CA19*'Water Demand Criteria'!CD$17/1000)*('Wastewater Criteria'!$C$8+'Wastewater Criteria'!$C$10*'Water Demand Criteria'!CD$56+'Water Demand Criteria'!CD$37*'Wastewater Criteria'!$C$11)*(1+'Wastewater Criteria'!$C$23)+('Project Tankers'!BZ19*'Wastewater Criteria'!$C$9))*(1+'Wastewater Criteria'!$C$36)</f>
        <v>44.346420034177257</v>
      </c>
      <c r="CA19" s="44">
        <f>(('Project W Pop Connected'!CB19*'Water Demand Criteria'!CE$17/1000)*('Wastewater Criteria'!$C$8+'Wastewater Criteria'!$C$10*'Water Demand Criteria'!CE$56+'Water Demand Criteria'!CE$37*'Wastewater Criteria'!$C$11)*(1+'Wastewater Criteria'!$C$23)+('Project Tankers'!CA19*'Wastewater Criteria'!$C$9))*(1+'Wastewater Criteria'!$C$36)</f>
        <v>45.41073411499751</v>
      </c>
    </row>
    <row r="20" spans="1:79" x14ac:dyDescent="0.25">
      <c r="A20" s="33">
        <v>19</v>
      </c>
      <c r="B20" s="36" t="s">
        <v>44</v>
      </c>
      <c r="C20" s="34">
        <f>(('Project W Pop Connected'!D20*'Water Demand Criteria'!G$17/1000)*('Wastewater Criteria'!$C$8+'Wastewater Criteria'!$C$10*'Water Demand Criteria'!G$56+'Water Demand Criteria'!G$37*'Wastewater Criteria'!$C$11)*(1+'Wastewater Criteria'!$C$23)+('Project Tankers'!C20*'Wastewater Criteria'!$C$9))*(1+'Wastewater Criteria'!$C$36)</f>
        <v>29.911278336599409</v>
      </c>
      <c r="D20" s="34">
        <f>(('Project W Pop Connected'!E20*'Water Demand Criteria'!H$17/1000)*('Wastewater Criteria'!$C$8+'Wastewater Criteria'!$C$10*'Water Demand Criteria'!H$56+'Water Demand Criteria'!H$37*'Wastewater Criteria'!$C$11)*(1+'Wastewater Criteria'!$C$23)+('Project Tankers'!D20*'Wastewater Criteria'!$C$9))*(1+'Wastewater Criteria'!$C$36)</f>
        <v>32.250332389842136</v>
      </c>
      <c r="E20" s="34">
        <f>(('Project W Pop Connected'!F20*'Water Demand Criteria'!I$17/1000)*('Wastewater Criteria'!$C$8+'Wastewater Criteria'!$C$10*'Water Demand Criteria'!I$56+'Water Demand Criteria'!I$37*'Wastewater Criteria'!$C$11)*(1+'Wastewater Criteria'!$C$23)+('Project Tankers'!E20*'Wastewater Criteria'!$C$9))*(1+'Wastewater Criteria'!$C$36)</f>
        <v>34.801549137952328</v>
      </c>
      <c r="F20" s="34">
        <f>(('Project W Pop Connected'!G20*'Water Demand Criteria'!J$17/1000)*('Wastewater Criteria'!$C$8+'Wastewater Criteria'!$C$10*'Water Demand Criteria'!J$56+'Water Demand Criteria'!J$37*'Wastewater Criteria'!$C$11)*(1+'Wastewater Criteria'!$C$23)+('Project Tankers'!F20*'Wastewater Criteria'!$C$9))*(1+'Wastewater Criteria'!$C$36)</f>
        <v>37.455714660913529</v>
      </c>
      <c r="G20" s="34">
        <f>(('Project W Pop Connected'!H20*'Water Demand Criteria'!K$17/1000)*('Wastewater Criteria'!$C$8+'Wastewater Criteria'!$C$10*'Water Demand Criteria'!K$56+'Water Demand Criteria'!K$37*'Wastewater Criteria'!$C$11)*(1+'Wastewater Criteria'!$C$23)+('Project Tankers'!G20*'Wastewater Criteria'!$C$9))*(1+'Wastewater Criteria'!$C$36)</f>
        <v>40.21731233133336</v>
      </c>
      <c r="H20" s="34">
        <f>(('Project W Pop Connected'!I20*'Water Demand Criteria'!L$17/1000)*('Wastewater Criteria'!$C$8+'Wastewater Criteria'!$C$10*'Water Demand Criteria'!L$56+'Water Demand Criteria'!L$37*'Wastewater Criteria'!$C$11)*(1+'Wastewater Criteria'!$C$23)+('Project Tankers'!H20*'Wastewater Criteria'!$C$9))*(1+'Wastewater Criteria'!$C$36)</f>
        <v>43.089007205534593</v>
      </c>
      <c r="I20" s="34">
        <f>(('Project W Pop Connected'!J20*'Water Demand Criteria'!M$17/1000)*('Wastewater Criteria'!$C$8+'Wastewater Criteria'!$C$10*'Water Demand Criteria'!M$56+'Water Demand Criteria'!M$37*'Wastewater Criteria'!$C$11)*(1+'Wastewater Criteria'!$C$23)+('Project Tankers'!I20*'Wastewater Criteria'!$C$9))*(1+'Wastewater Criteria'!$C$36)</f>
        <v>45.875760649289283</v>
      </c>
      <c r="J20" s="34">
        <f>(('Project W Pop Connected'!K20*'Water Demand Criteria'!N$17/1000)*('Wastewater Criteria'!$C$8+'Wastewater Criteria'!$C$10*'Water Demand Criteria'!N$56+'Water Demand Criteria'!N$37*'Wastewater Criteria'!$C$11)*(1+'Wastewater Criteria'!$C$23)+('Project Tankers'!J20*'Wastewater Criteria'!$C$9))*(1+'Wastewater Criteria'!$C$36)</f>
        <v>48.959260240829579</v>
      </c>
      <c r="K20" s="34">
        <f>(('Project W Pop Connected'!L20*'Water Demand Criteria'!O$17/1000)*('Wastewater Criteria'!$C$8+'Wastewater Criteria'!$C$10*'Water Demand Criteria'!O$56+'Water Demand Criteria'!O$37*'Wastewater Criteria'!$C$11)*(1+'Wastewater Criteria'!$C$23)+('Project Tankers'!K20*'Wastewater Criteria'!$C$9))*(1+'Wastewater Criteria'!$C$36)</f>
        <v>52.162913258830983</v>
      </c>
      <c r="L20" s="34">
        <f>(('Project W Pop Connected'!M20*'Water Demand Criteria'!P$17/1000)*('Wastewater Criteria'!$C$8+'Wastewater Criteria'!$C$10*'Water Demand Criteria'!P$56+'Water Demand Criteria'!P$37*'Wastewater Criteria'!$C$11)*(1+'Wastewater Criteria'!$C$23)+('Project Tankers'!L20*'Wastewater Criteria'!$C$9))*(1+'Wastewater Criteria'!$C$36)</f>
        <v>54.800509982707297</v>
      </c>
      <c r="M20" s="34">
        <f>(('Project W Pop Connected'!N20*'Water Demand Criteria'!Q$17/1000)*('Wastewater Criteria'!$C$8+'Wastewater Criteria'!$C$10*'Water Demand Criteria'!Q$56+'Water Demand Criteria'!Q$37*'Wastewater Criteria'!$C$11)*(1+'Wastewater Criteria'!$C$23)+('Project Tankers'!M20*'Wastewater Criteria'!$C$9))*(1+'Wastewater Criteria'!$C$36)</f>
        <v>58.958505287074217</v>
      </c>
      <c r="N20" s="34">
        <f>(('Project W Pop Connected'!O20*'Water Demand Criteria'!R$17/1000)*('Wastewater Criteria'!$C$8+'Wastewater Criteria'!$C$10*'Water Demand Criteria'!R$56+'Water Demand Criteria'!R$37*'Wastewater Criteria'!$C$11)*(1+'Wastewater Criteria'!$C$23)+('Project Tankers'!N20*'Wastewater Criteria'!$C$9))*(1+'Wastewater Criteria'!$C$36)</f>
        <v>62.272340100109666</v>
      </c>
      <c r="O20" s="34">
        <f>(('Project W Pop Connected'!P20*'Water Demand Criteria'!S$17/1000)*('Wastewater Criteria'!$C$8+'Wastewater Criteria'!$C$10*'Water Demand Criteria'!S$56+'Water Demand Criteria'!S$37*'Wastewater Criteria'!$C$11)*(1+'Wastewater Criteria'!$C$23)+('Project Tankers'!O20*'Wastewater Criteria'!$C$9))*(1+'Wastewater Criteria'!$C$36)</f>
        <v>63.881088640448965</v>
      </c>
      <c r="P20" s="34">
        <f>(('Project W Pop Connected'!Q20*'Water Demand Criteria'!T$17/1000)*('Wastewater Criteria'!$C$8+'Wastewater Criteria'!$C$10*'Water Demand Criteria'!T$56+'Water Demand Criteria'!T$37*'Wastewater Criteria'!$C$11)*(1+'Wastewater Criteria'!$C$23)+('Project Tankers'!P20*'Wastewater Criteria'!$C$9))*(1+'Wastewater Criteria'!$C$36)</f>
        <v>65.55327933226684</v>
      </c>
      <c r="Q20" s="34">
        <f>(('Project W Pop Connected'!R20*'Water Demand Criteria'!U$17/1000)*('Wastewater Criteria'!$C$8+'Wastewater Criteria'!$C$10*'Water Demand Criteria'!U$56+'Water Demand Criteria'!U$37*'Wastewater Criteria'!$C$11)*(1+'Wastewater Criteria'!$C$23)+('Project Tankers'!Q20*'Wastewater Criteria'!$C$9))*(1+'Wastewater Criteria'!$C$36)</f>
        <v>67.284270066918509</v>
      </c>
      <c r="R20" s="34">
        <f>(('Project W Pop Connected'!S20*'Water Demand Criteria'!V$17/1000)*('Wastewater Criteria'!$C$8+'Wastewater Criteria'!$C$10*'Water Demand Criteria'!V$56+'Water Demand Criteria'!V$37*'Wastewater Criteria'!$C$11)*(1+'Wastewater Criteria'!$C$23)+('Project Tankers'!R20*'Wastewater Criteria'!$C$9))*(1+'Wastewater Criteria'!$C$36)</f>
        <v>69.089534539886614</v>
      </c>
      <c r="S20" s="34">
        <f>(('Project W Pop Connected'!T20*'Water Demand Criteria'!W$17/1000)*('Wastewater Criteria'!$C$8+'Wastewater Criteria'!$C$10*'Water Demand Criteria'!W$56+'Water Demand Criteria'!W$37*'Wastewater Criteria'!$C$11)*(1+'Wastewater Criteria'!$C$23)+('Project Tankers'!S20*'Wastewater Criteria'!$C$9))*(1+'Wastewater Criteria'!$C$36)</f>
        <v>70.5922882661702</v>
      </c>
      <c r="T20" s="34">
        <f>(('Project W Pop Connected'!U20*'Water Demand Criteria'!X$17/1000)*('Wastewater Criteria'!$C$8+'Wastewater Criteria'!$C$10*'Water Demand Criteria'!X$56+'Water Demand Criteria'!X$37*'Wastewater Criteria'!$C$11)*(1+'Wastewater Criteria'!$C$23)+('Project Tankers'!T20*'Wastewater Criteria'!$C$9))*(1+'Wastewater Criteria'!$C$36)</f>
        <v>71.938941358744998</v>
      </c>
      <c r="U20" s="34">
        <f>(('Project W Pop Connected'!V20*'Water Demand Criteria'!Y$17/1000)*('Wastewater Criteria'!$C$8+'Wastewater Criteria'!$C$10*'Water Demand Criteria'!Y$56+'Water Demand Criteria'!Y$37*'Wastewater Criteria'!$C$11)*(1+'Wastewater Criteria'!$C$23)+('Project Tankers'!U20*'Wastewater Criteria'!$C$9))*(1+'Wastewater Criteria'!$C$36)</f>
        <v>73.347074758021932</v>
      </c>
      <c r="V20" s="34">
        <f>(('Project W Pop Connected'!W20*'Water Demand Criteria'!Z$17/1000)*('Wastewater Criteria'!$C$8+'Wastewater Criteria'!$C$10*'Water Demand Criteria'!Z$56+'Water Demand Criteria'!Z$37*'Wastewater Criteria'!$C$11)*(1+'Wastewater Criteria'!$C$23)+('Project Tankers'!V20*'Wastewater Criteria'!$C$9))*(1+'Wastewater Criteria'!$C$36)</f>
        <v>74.799044698460335</v>
      </c>
      <c r="W20" s="34">
        <f>(('Project W Pop Connected'!X20*'Water Demand Criteria'!AA$17/1000)*('Wastewater Criteria'!$C$8+'Wastewater Criteria'!$C$10*'Water Demand Criteria'!AA$56+'Water Demand Criteria'!AA$37*'Wastewater Criteria'!$C$11)*(1+'Wastewater Criteria'!$C$23)+('Project Tankers'!W20*'Wastewater Criteria'!$C$9))*(1+'Wastewater Criteria'!$C$36)</f>
        <v>76.297867941345885</v>
      </c>
      <c r="X20" s="34">
        <f>(('Project W Pop Connected'!Y20*'Water Demand Criteria'!AB$17/1000)*('Wastewater Criteria'!$C$8+'Wastewater Criteria'!$C$10*'Water Demand Criteria'!AB$56+'Water Demand Criteria'!AB$37*'Wastewater Criteria'!$C$11)*(1+'Wastewater Criteria'!$C$23)+('Project Tankers'!X20*'Wastewater Criteria'!$C$9))*(1+'Wastewater Criteria'!$C$36)</f>
        <v>77.84656124800766</v>
      </c>
      <c r="Y20" s="34">
        <f>(('Project W Pop Connected'!Z20*'Water Demand Criteria'!AC$17/1000)*('Wastewater Criteria'!$C$8+'Wastewater Criteria'!$C$10*'Water Demand Criteria'!AC$56+'Water Demand Criteria'!AC$37*'Wastewater Criteria'!$C$11)*(1+'Wastewater Criteria'!$C$23)+('Project Tankers'!Y20*'Wastewater Criteria'!$C$9))*(1+'Wastewater Criteria'!$C$36)</f>
        <v>79.44814138211747</v>
      </c>
      <c r="Z20" s="34">
        <f>(('Project W Pop Connected'!AA20*'Water Demand Criteria'!AD$17/1000)*('Wastewater Criteria'!$C$8+'Wastewater Criteria'!$C$10*'Water Demand Criteria'!AD$56+'Water Demand Criteria'!AD$37*'Wastewater Criteria'!$C$11)*(1+'Wastewater Criteria'!$C$23)+('Project Tankers'!Z20*'Wastewater Criteria'!$C$9))*(1+'Wastewater Criteria'!$C$36)</f>
        <v>81.105625103375857</v>
      </c>
      <c r="AA20" s="34">
        <f>(('Project W Pop Connected'!AB20*'Water Demand Criteria'!AE$17/1000)*('Wastewater Criteria'!$C$8+'Wastewater Criteria'!$C$10*'Water Demand Criteria'!AE$56+'Water Demand Criteria'!AE$37*'Wastewater Criteria'!$C$11)*(1+'Wastewater Criteria'!$C$23)+('Project Tankers'!AA20*'Wastewater Criteria'!$C$9))*(1+'Wastewater Criteria'!$C$36)</f>
        <v>82.822029178030505</v>
      </c>
      <c r="AB20" s="34">
        <f>(('Project W Pop Connected'!AC20*'Water Demand Criteria'!AF$17/1000)*('Wastewater Criteria'!$C$8+'Wastewater Criteria'!$C$10*'Water Demand Criteria'!AF$56+'Water Demand Criteria'!AF$37*'Wastewater Criteria'!$C$11)*(1+'Wastewater Criteria'!$C$23)+('Project Tankers'!AB20*'Wastewater Criteria'!$C$9))*(1+'Wastewater Criteria'!$C$36)</f>
        <v>84.600370363513534</v>
      </c>
      <c r="AC20" s="34">
        <f>(('Project W Pop Connected'!AD20*'Water Demand Criteria'!AG$17/1000)*('Wastewater Criteria'!$C$8+'Wastewater Criteria'!$C$10*'Water Demand Criteria'!AG$56+'Water Demand Criteria'!AG$37*'Wastewater Criteria'!$C$11)*(1+'Wastewater Criteria'!$C$23)+('Project Tankers'!AC20*'Wastewater Criteria'!$C$9))*(1+'Wastewater Criteria'!$C$36)</f>
        <v>86.44366542758641</v>
      </c>
      <c r="AD20" s="44">
        <f>(('Project W Pop Connected'!AE20*'Water Demand Criteria'!AH$17/1000)*('Wastewater Criteria'!$C$8+'Wastewater Criteria'!$C$10*'Water Demand Criteria'!AH$56+'Water Demand Criteria'!AH$37*'Wastewater Criteria'!$C$11)*(1+'Wastewater Criteria'!$C$23)+('Project Tankers'!AD20*'Wastewater Criteria'!$C$9))*(1+'Wastewater Criteria'!$C$36)</f>
        <v>89.457468985071699</v>
      </c>
      <c r="AE20" s="44">
        <f>(('Project W Pop Connected'!AF20*'Water Demand Criteria'!AI$17/1000)*('Wastewater Criteria'!$C$8+'Wastewater Criteria'!$C$10*'Water Demand Criteria'!AI$56+'Water Demand Criteria'!AI$37*'Wastewater Criteria'!$C$11)*(1+'Wastewater Criteria'!$C$23)+('Project Tankers'!AE20*'Wastewater Criteria'!$C$9))*(1+'Wastewater Criteria'!$C$36)</f>
        <v>92.589405359291391</v>
      </c>
      <c r="AF20" s="44">
        <f>(('Project W Pop Connected'!AG20*'Water Demand Criteria'!AJ$17/1000)*('Wastewater Criteria'!$C$8+'Wastewater Criteria'!$C$10*'Water Demand Criteria'!AJ$56+'Water Demand Criteria'!AJ$37*'Wastewater Criteria'!$C$11)*(1+'Wastewater Criteria'!$C$23)+('Project Tankers'!AF20*'Wastewater Criteria'!$C$9))*(1+'Wastewater Criteria'!$C$36)</f>
        <v>95.844855372210276</v>
      </c>
      <c r="AG20" s="44">
        <f>(('Project W Pop Connected'!AH20*'Water Demand Criteria'!AK$17/1000)*('Wastewater Criteria'!$C$8+'Wastewater Criteria'!$C$10*'Water Demand Criteria'!AK$56+'Water Demand Criteria'!AK$37*'Wastewater Criteria'!$C$11)*(1+'Wastewater Criteria'!$C$23)+('Project Tankers'!AG20*'Wastewater Criteria'!$C$9))*(1+'Wastewater Criteria'!$C$36)</f>
        <v>99.22946520930175</v>
      </c>
      <c r="AH20" s="44">
        <f>(('Project W Pop Connected'!AI20*'Water Demand Criteria'!AL$17/1000)*('Wastewater Criteria'!$C$8+'Wastewater Criteria'!$C$10*'Water Demand Criteria'!AL$56+'Water Demand Criteria'!AL$37*'Wastewater Criteria'!$C$11)*(1+'Wastewater Criteria'!$C$23)+('Project Tankers'!AH20*'Wastewater Criteria'!$C$9))*(1+'Wastewater Criteria'!$C$36)</f>
        <v>102.74916068266744</v>
      </c>
      <c r="AI20" s="44">
        <f>(('Project W Pop Connected'!AJ20*'Water Demand Criteria'!AM$17/1000)*('Wastewater Criteria'!$C$8+'Wastewater Criteria'!$C$10*'Water Demand Criteria'!AM$56+'Water Demand Criteria'!AM$37*'Wastewater Criteria'!$C$11)*(1+'Wastewater Criteria'!$C$23)+('Project Tankers'!AI20*'Wastewater Criteria'!$C$9))*(1+'Wastewater Criteria'!$C$36)</f>
        <v>106.41016230942476</v>
      </c>
      <c r="AJ20" s="44">
        <f>(('Project W Pop Connected'!AK20*'Water Demand Criteria'!AN$17/1000)*('Wastewater Criteria'!$C$8+'Wastewater Criteria'!$C$10*'Water Demand Criteria'!AN$56+'Water Demand Criteria'!AN$37*'Wastewater Criteria'!$C$11)*(1+'Wastewater Criteria'!$C$23)+('Project Tankers'!AJ20*'Wastewater Criteria'!$C$9))*(1+'Wastewater Criteria'!$C$36)</f>
        <v>110.21900125487791</v>
      </c>
      <c r="AK20" s="44">
        <f>(('Project W Pop Connected'!AL20*'Water Demand Criteria'!AO$17/1000)*('Wastewater Criteria'!$C$8+'Wastewater Criteria'!$C$10*'Water Demand Criteria'!AO$56+'Water Demand Criteria'!AO$37*'Wastewater Criteria'!$C$11)*(1+'Wastewater Criteria'!$C$23)+('Project Tankers'!AK20*'Wastewater Criteria'!$C$9))*(1+'Wastewater Criteria'!$C$36)</f>
        <v>114.16154759861563</v>
      </c>
      <c r="AL20" s="44">
        <f>(('Project W Pop Connected'!AM20*'Water Demand Criteria'!AP$17/1000)*('Wastewater Criteria'!$C$8+'Wastewater Criteria'!$C$10*'Water Demand Criteria'!AP$56+'Water Demand Criteria'!AP$37*'Wastewater Criteria'!$C$11)*(1+'Wastewater Criteria'!$C$23)+('Project Tankers'!AL20*'Wastewater Criteria'!$C$9))*(1+'Wastewater Criteria'!$C$36)</f>
        <v>118.22985002212992</v>
      </c>
      <c r="AM20" s="44">
        <f>(('Project W Pop Connected'!AN20*'Water Demand Criteria'!AQ$17/1000)*('Wastewater Criteria'!$C$8+'Wastewater Criteria'!$C$10*'Water Demand Criteria'!AQ$56+'Water Demand Criteria'!AQ$37*'Wastewater Criteria'!$C$11)*(1+'Wastewater Criteria'!$C$23)+('Project Tankers'!AM20*'Wastewater Criteria'!$C$9))*(1+'Wastewater Criteria'!$C$36)</f>
        <v>122.42767391055608</v>
      </c>
      <c r="AN20" s="44">
        <f>(('Project W Pop Connected'!AO20*'Water Demand Criteria'!AR$17/1000)*('Wastewater Criteria'!$C$8+'Wastewater Criteria'!$C$10*'Water Demand Criteria'!AR$56+'Water Demand Criteria'!AR$37*'Wastewater Criteria'!$C$11)*(1+'Wastewater Criteria'!$C$23)+('Project Tankers'!AN20*'Wastewater Criteria'!$C$9))*(1+'Wastewater Criteria'!$C$36)</f>
        <v>126.75889295201399</v>
      </c>
      <c r="AO20" s="44">
        <f>(('Project W Pop Connected'!AP20*'Water Demand Criteria'!AS$17/1000)*('Wastewater Criteria'!$C$8+'Wastewater Criteria'!$C$10*'Water Demand Criteria'!AS$56+'Water Demand Criteria'!AS$37*'Wastewater Criteria'!$C$11)*(1+'Wastewater Criteria'!$C$23)+('Project Tankers'!AO20*'Wastewater Criteria'!$C$9))*(1+'Wastewater Criteria'!$C$36)</f>
        <v>131.2274921672894</v>
      </c>
      <c r="AP20" s="44">
        <f>(('Project W Pop Connected'!AQ20*'Water Demand Criteria'!AT$17/1000)*('Wastewater Criteria'!$C$8+'Wastewater Criteria'!$C$10*'Water Demand Criteria'!AT$56+'Water Demand Criteria'!AT$37*'Wastewater Criteria'!$C$11)*(1+'Wastewater Criteria'!$C$23)+('Project Tankers'!AP20*'Wastewater Criteria'!$C$9))*(1+'Wastewater Criteria'!$C$36)</f>
        <v>135.83757102255771</v>
      </c>
      <c r="AQ20" s="44">
        <f>(('Project W Pop Connected'!AR20*'Water Demand Criteria'!AU$17/1000)*('Wastewater Criteria'!$C$8+'Wastewater Criteria'!$C$10*'Water Demand Criteria'!AU$56+'Water Demand Criteria'!AU$37*'Wastewater Criteria'!$C$11)*(1+'Wastewater Criteria'!$C$23)+('Project Tankers'!AQ20*'Wastewater Criteria'!$C$9))*(1+'Wastewater Criteria'!$C$36)</f>
        <v>140.59334662739045</v>
      </c>
      <c r="AR20" s="44">
        <f>(('Project W Pop Connected'!AS20*'Water Demand Criteria'!AV$17/1000)*('Wastewater Criteria'!$C$8+'Wastewater Criteria'!$C$10*'Water Demand Criteria'!AV$56+'Water Demand Criteria'!AV$37*'Wastewater Criteria'!$C$11)*(1+'Wastewater Criteria'!$C$23)+('Project Tankers'!AR20*'Wastewater Criteria'!$C$9))*(1+'Wastewater Criteria'!$C$36)</f>
        <v>145.49915702034619</v>
      </c>
      <c r="AS20" s="44">
        <f>(('Project W Pop Connected'!AT20*'Water Demand Criteria'!AW$17/1000)*('Wastewater Criteria'!$C$8+'Wastewater Criteria'!$C$10*'Water Demand Criteria'!AW$56+'Water Demand Criteria'!AW$37*'Wastewater Criteria'!$C$11)*(1+'Wastewater Criteria'!$C$23)+('Project Tankers'!AS20*'Wastewater Criteria'!$C$9))*(1+'Wastewater Criteria'!$C$36)</f>
        <v>150.55946454450645</v>
      </c>
      <c r="AT20" s="44">
        <f>(('Project W Pop Connected'!AU20*'Water Demand Criteria'!AX$17/1000)*('Wastewater Criteria'!$C$8+'Wastewater Criteria'!$C$10*'Water Demand Criteria'!AX$56+'Water Demand Criteria'!AX$37*'Wastewater Criteria'!$C$11)*(1+'Wastewater Criteria'!$C$23)+('Project Tankers'!AT20*'Wastewater Criteria'!$C$9))*(1+'Wastewater Criteria'!$C$36)</f>
        <v>155.77885931538268</v>
      </c>
      <c r="AU20" s="44">
        <f>(('Project W Pop Connected'!AV20*'Water Demand Criteria'!AY$17/1000)*('Wastewater Criteria'!$C$8+'Wastewater Criteria'!$C$10*'Water Demand Criteria'!AY$56+'Water Demand Criteria'!AY$37*'Wastewater Criteria'!$C$11)*(1+'Wastewater Criteria'!$C$23)+('Project Tankers'!AU20*'Wastewater Criteria'!$C$9))*(1+'Wastewater Criteria'!$C$36)</f>
        <v>161.16206278368335</v>
      </c>
      <c r="AV20" s="44">
        <f>(('Project W Pop Connected'!AW20*'Water Demand Criteria'!AZ$17/1000)*('Wastewater Criteria'!$C$8+'Wastewater Criteria'!$C$10*'Water Demand Criteria'!AZ$56+'Water Demand Criteria'!AZ$37*'Wastewater Criteria'!$C$11)*(1+'Wastewater Criteria'!$C$23)+('Project Tankers'!AV20*'Wastewater Criteria'!$C$9))*(1+'Wastewater Criteria'!$C$36)</f>
        <v>166.71393139549679</v>
      </c>
      <c r="AW20" s="44">
        <f>(('Project W Pop Connected'!AX20*'Water Demand Criteria'!BA$17/1000)*('Wastewater Criteria'!$C$8+'Wastewater Criteria'!$C$10*'Water Demand Criteria'!BA$56+'Water Demand Criteria'!BA$37*'Wastewater Criteria'!$C$11)*(1+'Wastewater Criteria'!$C$23)+('Project Tankers'!AW20*'Wastewater Criteria'!$C$9))*(1+'Wastewater Criteria'!$C$36)</f>
        <v>172.43946035251386</v>
      </c>
      <c r="AX20" s="44">
        <f>(('Project W Pop Connected'!AY20*'Water Demand Criteria'!BB$17/1000)*('Wastewater Criteria'!$C$8+'Wastewater Criteria'!$C$10*'Water Demand Criteria'!BB$56+'Water Demand Criteria'!BB$37*'Wastewater Criteria'!$C$11)*(1+'Wastewater Criteria'!$C$23)+('Project Tankers'!AX20*'Wastewater Criteria'!$C$9))*(1+'Wastewater Criteria'!$C$36)</f>
        <v>176.5780074009742</v>
      </c>
      <c r="AY20" s="44">
        <f>(('Project W Pop Connected'!AZ20*'Water Demand Criteria'!BC$17/1000)*('Wastewater Criteria'!$C$8+'Wastewater Criteria'!$C$10*'Water Demand Criteria'!BC$56+'Water Demand Criteria'!BC$37*'Wastewater Criteria'!$C$11)*(1+'Wastewater Criteria'!$C$23)+('Project Tankers'!AY20*'Wastewater Criteria'!$C$9))*(1+'Wastewater Criteria'!$C$36)</f>
        <v>180.81587957859756</v>
      </c>
      <c r="AZ20" s="44">
        <f>(('Project W Pop Connected'!BA20*'Water Demand Criteria'!BD$17/1000)*('Wastewater Criteria'!$C$8+'Wastewater Criteria'!$C$10*'Water Demand Criteria'!BD$56+'Water Demand Criteria'!BD$37*'Wastewater Criteria'!$C$11)*(1+'Wastewater Criteria'!$C$23)+('Project Tankers'!AZ20*'Wastewater Criteria'!$C$9))*(1+'Wastewater Criteria'!$C$36)</f>
        <v>185.15546068848394</v>
      </c>
      <c r="BA20" s="44">
        <f>(('Project W Pop Connected'!BB20*'Water Demand Criteria'!BE$17/1000)*('Wastewater Criteria'!$C$8+'Wastewater Criteria'!$C$10*'Water Demand Criteria'!BE$56+'Water Demand Criteria'!BE$37*'Wastewater Criteria'!$C$11)*(1+'Wastewater Criteria'!$C$23)+('Project Tankers'!BA20*'Wastewater Criteria'!$C$9))*(1+'Wastewater Criteria'!$C$36)</f>
        <v>189.59919174500757</v>
      </c>
      <c r="BB20" s="44">
        <f>(('Project W Pop Connected'!BC20*'Water Demand Criteria'!BF$17/1000)*('Wastewater Criteria'!$C$8+'Wastewater Criteria'!$C$10*'Water Demand Criteria'!BF$56+'Water Demand Criteria'!BF$37*'Wastewater Criteria'!$C$11)*(1+'Wastewater Criteria'!$C$23)+('Project Tankers'!BB20*'Wastewater Criteria'!$C$9))*(1+'Wastewater Criteria'!$C$36)</f>
        <v>194.14957234688774</v>
      </c>
      <c r="BC20" s="44">
        <f>(('Project W Pop Connected'!BD20*'Water Demand Criteria'!BG$17/1000)*('Wastewater Criteria'!$C$8+'Wastewater Criteria'!$C$10*'Water Demand Criteria'!BG$56+'Water Demand Criteria'!BG$37*'Wastewater Criteria'!$C$11)*(1+'Wastewater Criteria'!$C$23)+('Project Tankers'!BC20*'Wastewater Criteria'!$C$9))*(1+'Wastewater Criteria'!$C$36)</f>
        <v>198.80916208321301</v>
      </c>
      <c r="BD20" s="44">
        <f>(('Project W Pop Connected'!BE20*'Water Demand Criteria'!BH$17/1000)*('Wastewater Criteria'!$C$8+'Wastewater Criteria'!$C$10*'Water Demand Criteria'!BH$56+'Water Demand Criteria'!BH$37*'Wastewater Criteria'!$C$11)*(1+'Wastewater Criteria'!$C$23)+('Project Tankers'!BD20*'Wastewater Criteria'!$C$9))*(1+'Wastewater Criteria'!$C$36)</f>
        <v>203.58058197321017</v>
      </c>
      <c r="BE20" s="44">
        <f>(('Project W Pop Connected'!BF20*'Water Demand Criteria'!BI$17/1000)*('Wastewater Criteria'!$C$8+'Wastewater Criteria'!$C$10*'Water Demand Criteria'!BI$56+'Water Demand Criteria'!BI$37*'Wastewater Criteria'!$C$11)*(1+'Wastewater Criteria'!$C$23)+('Project Tankers'!BE20*'Wastewater Criteria'!$C$9))*(1+'Wastewater Criteria'!$C$36)</f>
        <v>208.46651594056715</v>
      </c>
      <c r="BF20" s="44">
        <f>(('Project W Pop Connected'!BG20*'Water Demand Criteria'!BJ$17/1000)*('Wastewater Criteria'!$C$8+'Wastewater Criteria'!$C$10*'Water Demand Criteria'!BJ$56+'Water Demand Criteria'!BJ$37*'Wastewater Criteria'!$C$11)*(1+'Wastewater Criteria'!$C$23)+('Project Tankers'!BF20*'Wastewater Criteria'!$C$9))*(1+'Wastewater Criteria'!$C$36)</f>
        <v>213.46971232314084</v>
      </c>
      <c r="BG20" s="44">
        <f>(('Project W Pop Connected'!BH20*'Water Demand Criteria'!BK$17/1000)*('Wastewater Criteria'!$C$8+'Wastewater Criteria'!$C$10*'Water Demand Criteria'!BK$56+'Water Demand Criteria'!BK$37*'Wastewater Criteria'!$C$11)*(1+'Wastewater Criteria'!$C$23)+('Project Tankers'!BG20*'Wastewater Criteria'!$C$9))*(1+'Wastewater Criteria'!$C$36)</f>
        <v>218.59298541889621</v>
      </c>
      <c r="BH20" s="44">
        <f>(('Project W Pop Connected'!BI20*'Water Demand Criteria'!BL$17/1000)*('Wastewater Criteria'!$C$8+'Wastewater Criteria'!$C$10*'Water Demand Criteria'!BL$56+'Water Demand Criteria'!BL$37*'Wastewater Criteria'!$C$11)*(1+'Wastewater Criteria'!$C$23)+('Project Tankers'!BH20*'Wastewater Criteria'!$C$9))*(1+'Wastewater Criteria'!$C$36)</f>
        <v>223.83921706894975</v>
      </c>
      <c r="BI20" s="44">
        <f>(('Project W Pop Connected'!BJ20*'Water Demand Criteria'!BM$17/1000)*('Wastewater Criteria'!$C$8+'Wastewater Criteria'!$C$10*'Water Demand Criteria'!BM$56+'Water Demand Criteria'!BM$37*'Wastewater Criteria'!$C$11)*(1+'Wastewater Criteria'!$C$23)+('Project Tankers'!BI20*'Wastewater Criteria'!$C$9))*(1+'Wastewater Criteria'!$C$36)</f>
        <v>229.21135827860456</v>
      </c>
      <c r="BJ20" s="44">
        <f>(('Project W Pop Connected'!BK20*'Water Demand Criteria'!BN$17/1000)*('Wastewater Criteria'!$C$8+'Wastewater Criteria'!$C$10*'Water Demand Criteria'!BN$56+'Water Demand Criteria'!BN$37*'Wastewater Criteria'!$C$11)*(1+'Wastewater Criteria'!$C$23)+('Project Tankers'!BJ20*'Wastewater Criteria'!$C$9))*(1+'Wastewater Criteria'!$C$36)</f>
        <v>234.71243087729101</v>
      </c>
      <c r="BK20" s="44">
        <f>(('Project W Pop Connected'!BL20*'Water Demand Criteria'!BO$17/1000)*('Wastewater Criteria'!$C$8+'Wastewater Criteria'!$C$10*'Water Demand Criteria'!BO$56+'Water Demand Criteria'!BO$37*'Wastewater Criteria'!$C$11)*(1+'Wastewater Criteria'!$C$23)+('Project Tankers'!BK20*'Wastewater Criteria'!$C$9))*(1+'Wastewater Criteria'!$C$36)</f>
        <v>240.34552921834603</v>
      </c>
      <c r="BL20" s="44">
        <f>(('Project W Pop Connected'!BM20*'Water Demand Criteria'!BP$17/1000)*('Wastewater Criteria'!$C$8+'Wastewater Criteria'!$C$10*'Water Demand Criteria'!BP$56+'Water Demand Criteria'!BP$37*'Wastewater Criteria'!$C$11)*(1+'Wastewater Criteria'!$C$23)+('Project Tankers'!BL20*'Wastewater Criteria'!$C$9))*(1+'Wastewater Criteria'!$C$36)</f>
        <v>246.11382191958629</v>
      </c>
      <c r="BM20" s="44">
        <f>(('Project W Pop Connected'!BN20*'Water Demand Criteria'!BQ$17/1000)*('Wastewater Criteria'!$C$8+'Wastewater Criteria'!$C$10*'Water Demand Criteria'!BQ$56+'Water Demand Criteria'!BQ$37*'Wastewater Criteria'!$C$11)*(1+'Wastewater Criteria'!$C$23)+('Project Tankers'!BM20*'Wastewater Criteria'!$C$9))*(1+'Wastewater Criteria'!$C$36)</f>
        <v>252.02055364565635</v>
      </c>
      <c r="BN20" s="44">
        <f>(('Project W Pop Connected'!BO20*'Water Demand Criteria'!BR$17/1000)*('Wastewater Criteria'!$C$8+'Wastewater Criteria'!$C$10*'Water Demand Criteria'!BR$56+'Water Demand Criteria'!BR$37*'Wastewater Criteria'!$C$11)*(1+'Wastewater Criteria'!$C$23)+('Project Tankers'!BN20*'Wastewater Criteria'!$C$9))*(1+'Wastewater Criteria'!$C$36)</f>
        <v>258.06904693315209</v>
      </c>
      <c r="BO20" s="44">
        <f>(('Project W Pop Connected'!BP20*'Water Demand Criteria'!BS$17/1000)*('Wastewater Criteria'!$C$8+'Wastewater Criteria'!$C$10*'Water Demand Criteria'!BS$56+'Water Demand Criteria'!BS$37*'Wastewater Criteria'!$C$11)*(1+'Wastewater Criteria'!$C$23)+('Project Tankers'!BO20*'Wastewater Criteria'!$C$9))*(1+'Wastewater Criteria'!$C$36)</f>
        <v>264.26270405954773</v>
      </c>
      <c r="BP20" s="44">
        <f>(('Project W Pop Connected'!BQ20*'Water Demand Criteria'!BT$17/1000)*('Wastewater Criteria'!$C$8+'Wastewater Criteria'!$C$10*'Water Demand Criteria'!BT$56+'Water Demand Criteria'!BT$37*'Wastewater Criteria'!$C$11)*(1+'Wastewater Criteria'!$C$23)+('Project Tankers'!BP20*'Wastewater Criteria'!$C$9))*(1+'Wastewater Criteria'!$C$36)</f>
        <v>270.60500895697692</v>
      </c>
      <c r="BQ20" s="44">
        <f>(('Project W Pop Connected'!BR20*'Water Demand Criteria'!BU$17/1000)*('Wastewater Criteria'!$C$8+'Wastewater Criteria'!$C$10*'Water Demand Criteria'!BU$56+'Water Demand Criteria'!BU$37*'Wastewater Criteria'!$C$11)*(1+'Wastewater Criteria'!$C$23)+('Project Tankers'!BQ20*'Wastewater Criteria'!$C$9))*(1+'Wastewater Criteria'!$C$36)</f>
        <v>277.09952917194431</v>
      </c>
      <c r="BR20" s="44">
        <f>(('Project W Pop Connected'!BS20*'Water Demand Criteria'!BV$17/1000)*('Wastewater Criteria'!$C$8+'Wastewater Criteria'!$C$10*'Water Demand Criteria'!BV$56+'Water Demand Criteria'!BV$37*'Wastewater Criteria'!$C$11)*(1+'Wastewater Criteria'!$C$23)+('Project Tankers'!BR20*'Wastewater Criteria'!$C$9))*(1+'Wastewater Criteria'!$C$36)</f>
        <v>283.74991787207097</v>
      </c>
      <c r="BS20" s="44">
        <f>(('Project W Pop Connected'!BT20*'Water Demand Criteria'!BW$17/1000)*('Wastewater Criteria'!$C$8+'Wastewater Criteria'!$C$10*'Water Demand Criteria'!BW$56+'Water Demand Criteria'!BW$37*'Wastewater Criteria'!$C$11)*(1+'Wastewater Criteria'!$C$23)+('Project Tankers'!BS20*'Wastewater Criteria'!$C$9))*(1+'Wastewater Criteria'!$C$36)</f>
        <v>290.55991590100069</v>
      </c>
      <c r="BT20" s="44">
        <f>(('Project W Pop Connected'!BU20*'Water Demand Criteria'!BX$17/1000)*('Wastewater Criteria'!$C$8+'Wastewater Criteria'!$C$10*'Water Demand Criteria'!BX$56+'Water Demand Criteria'!BX$37*'Wastewater Criteria'!$C$11)*(1+'Wastewater Criteria'!$C$23)+('Project Tankers'!BT20*'Wastewater Criteria'!$C$9))*(1+'Wastewater Criteria'!$C$36)</f>
        <v>297.53335388262474</v>
      </c>
      <c r="BU20" s="44">
        <f>(('Project W Pop Connected'!BV20*'Water Demand Criteria'!BY$17/1000)*('Wastewater Criteria'!$C$8+'Wastewater Criteria'!$C$10*'Water Demand Criteria'!BY$56+'Water Demand Criteria'!BY$37*'Wastewater Criteria'!$C$11)*(1+'Wastewater Criteria'!$C$23)+('Project Tankers'!BU20*'Wastewater Criteria'!$C$9))*(1+'Wastewater Criteria'!$C$36)</f>
        <v>304.67415437580769</v>
      </c>
      <c r="BV20" s="44">
        <f>(('Project W Pop Connected'!BW20*'Water Demand Criteria'!BZ$17/1000)*('Wastewater Criteria'!$C$8+'Wastewater Criteria'!$C$10*'Water Demand Criteria'!BZ$56+'Water Demand Criteria'!BZ$37*'Wastewater Criteria'!$C$11)*(1+'Wastewater Criteria'!$C$23)+('Project Tankers'!BV20*'Wastewater Criteria'!$C$9))*(1+'Wastewater Criteria'!$C$36)</f>
        <v>311.98633408082708</v>
      </c>
      <c r="BW20" s="44">
        <f>(('Project W Pop Connected'!BX20*'Water Demand Criteria'!CA$17/1000)*('Wastewater Criteria'!$C$8+'Wastewater Criteria'!$C$10*'Water Demand Criteria'!CA$56+'Water Demand Criteria'!CA$37*'Wastewater Criteria'!$C$11)*(1+'Wastewater Criteria'!$C$23)+('Project Tankers'!BW20*'Wastewater Criteria'!$C$9))*(1+'Wastewater Criteria'!$C$36)</f>
        <v>319.47400609876695</v>
      </c>
      <c r="BX20" s="44">
        <f>(('Project W Pop Connected'!BY20*'Water Demand Criteria'!CB$17/1000)*('Wastewater Criteria'!$C$8+'Wastewater Criteria'!$C$10*'Water Demand Criteria'!CB$56+'Water Demand Criteria'!CB$37*'Wastewater Criteria'!$C$11)*(1+'Wastewater Criteria'!$C$23)+('Project Tankers'!BX20*'Wastewater Criteria'!$C$9))*(1+'Wastewater Criteria'!$C$36)</f>
        <v>327.14138224513732</v>
      </c>
      <c r="BY20" s="44">
        <f>(('Project W Pop Connected'!BZ20*'Water Demand Criteria'!CC$17/1000)*('Wastewater Criteria'!$C$8+'Wastewater Criteria'!$C$10*'Water Demand Criteria'!CC$56+'Water Demand Criteria'!CC$37*'Wastewater Criteria'!$C$11)*(1+'Wastewater Criteria'!$C$23)+('Project Tankers'!BY20*'Wastewater Criteria'!$C$9))*(1+'Wastewater Criteria'!$C$36)</f>
        <v>334.99277541902057</v>
      </c>
      <c r="BZ20" s="44">
        <f>(('Project W Pop Connected'!CA20*'Water Demand Criteria'!CD$17/1000)*('Wastewater Criteria'!$C$8+'Wastewater Criteria'!$C$10*'Water Demand Criteria'!CD$56+'Water Demand Criteria'!CD$37*'Wastewater Criteria'!$C$11)*(1+'Wastewater Criteria'!$C$23)+('Project Tankers'!BZ20*'Wastewater Criteria'!$C$9))*(1+'Wastewater Criteria'!$C$36)</f>
        <v>343.03260202907711</v>
      </c>
      <c r="CA20" s="44">
        <f>(('Project W Pop Connected'!CB20*'Water Demand Criteria'!CE$17/1000)*('Wastewater Criteria'!$C$8+'Wastewater Criteria'!$C$10*'Water Demand Criteria'!CE$56+'Water Demand Criteria'!CE$37*'Wastewater Criteria'!$C$11)*(1+'Wastewater Criteria'!$C$23)+('Project Tankers'!CA20*'Wastewater Criteria'!$C$9))*(1+'Wastewater Criteria'!$C$36)</f>
        <v>351.26538447777506</v>
      </c>
    </row>
    <row r="21" spans="1:79" x14ac:dyDescent="0.25">
      <c r="A21" s="33">
        <v>20</v>
      </c>
      <c r="B21" s="36" t="s">
        <v>53</v>
      </c>
      <c r="C21" s="34">
        <f>(('Project W Pop Connected'!D21*'Water Demand Criteria'!G$17/1000)*('Wastewater Criteria'!$C$8+'Wastewater Criteria'!$C$10*'Water Demand Criteria'!G$56+'Water Demand Criteria'!G$37*'Wastewater Criteria'!$C$11)*(1+'Wastewater Criteria'!$C$23)+('Project Tankers'!C21*'Wastewater Criteria'!$C$9))*(1+'Wastewater Criteria'!$C$36)</f>
        <v>52.998690892986026</v>
      </c>
      <c r="D21" s="34">
        <f>(('Project W Pop Connected'!E21*'Water Demand Criteria'!H$17/1000)*('Wastewater Criteria'!$C$8+'Wastewater Criteria'!$C$10*'Water Demand Criteria'!H$56+'Water Demand Criteria'!H$37*'Wastewater Criteria'!$C$11)*(1+'Wastewater Criteria'!$C$23)+('Project Tankers'!D21*'Wastewater Criteria'!$C$9))*(1+'Wastewater Criteria'!$C$36)</f>
        <v>57.143174500632838</v>
      </c>
      <c r="E21" s="34">
        <f>(('Project W Pop Connected'!F21*'Water Demand Criteria'!I$17/1000)*('Wastewater Criteria'!$C$8+'Wastewater Criteria'!$C$10*'Water Demand Criteria'!I$56+'Water Demand Criteria'!I$37*'Wastewater Criteria'!$C$11)*(1+'Wastewater Criteria'!$C$23)+('Project Tankers'!E21*'Wastewater Criteria'!$C$9))*(1+'Wastewater Criteria'!$C$36)</f>
        <v>61.663581362303368</v>
      </c>
      <c r="F21" s="34">
        <f>(('Project W Pop Connected'!G21*'Water Demand Criteria'!J$17/1000)*('Wastewater Criteria'!$C$8+'Wastewater Criteria'!$C$10*'Water Demand Criteria'!J$56+'Water Demand Criteria'!J$37*'Wastewater Criteria'!$C$11)*(1+'Wastewater Criteria'!$C$23)+('Project Tankers'!F21*'Wastewater Criteria'!$C$9))*(1+'Wastewater Criteria'!$C$36)</f>
        <v>66.366399361162379</v>
      </c>
      <c r="G21" s="34">
        <f>(('Project W Pop Connected'!H21*'Water Demand Criteria'!K$17/1000)*('Wastewater Criteria'!$C$8+'Wastewater Criteria'!$C$10*'Water Demand Criteria'!K$56+'Water Demand Criteria'!K$37*'Wastewater Criteria'!$C$11)*(1+'Wastewater Criteria'!$C$23)+('Project Tankers'!G21*'Wastewater Criteria'!$C$9))*(1+'Wastewater Criteria'!$C$36)</f>
        <v>71.259572419776973</v>
      </c>
      <c r="H21" s="34">
        <f>(('Project W Pop Connected'!I21*'Water Demand Criteria'!L$17/1000)*('Wastewater Criteria'!$C$8+'Wastewater Criteria'!$C$10*'Water Demand Criteria'!L$56+'Water Demand Criteria'!L$37*'Wastewater Criteria'!$C$11)*(1+'Wastewater Criteria'!$C$23)+('Project Tankers'!H21*'Wastewater Criteria'!$C$9))*(1+'Wastewater Criteria'!$C$36)</f>
        <v>76.347822653152548</v>
      </c>
      <c r="I21" s="34">
        <f>(('Project W Pop Connected'!J21*'Water Demand Criteria'!M$17/1000)*('Wastewater Criteria'!$C$8+'Wastewater Criteria'!$C$10*'Water Demand Criteria'!M$56+'Water Demand Criteria'!M$37*'Wastewater Criteria'!$C$11)*(1+'Wastewater Criteria'!$C$23)+('Project Tankers'!I21*'Wastewater Criteria'!$C$9))*(1+'Wastewater Criteria'!$C$36)</f>
        <v>81.285568298740699</v>
      </c>
      <c r="J21" s="34">
        <f>(('Project W Pop Connected'!K21*'Water Demand Criteria'!N$17/1000)*('Wastewater Criteria'!$C$8+'Wastewater Criteria'!$C$10*'Water Demand Criteria'!N$56+'Water Demand Criteria'!N$37*'Wastewater Criteria'!$C$11)*(1+'Wastewater Criteria'!$C$23)+('Project Tankers'!J21*'Wastewater Criteria'!$C$9))*(1+'Wastewater Criteria'!$C$36)</f>
        <v>86.749107498960385</v>
      </c>
      <c r="K21" s="34">
        <f>(('Project W Pop Connected'!L21*'Water Demand Criteria'!O$17/1000)*('Wastewater Criteria'!$C$8+'Wastewater Criteria'!$C$10*'Water Demand Criteria'!O$56+'Water Demand Criteria'!O$37*'Wastewater Criteria'!$C$11)*(1+'Wastewater Criteria'!$C$23)+('Project Tankers'!K21*'Wastewater Criteria'!$C$9))*(1+'Wastewater Criteria'!$C$36)</f>
        <v>92.425542124012281</v>
      </c>
      <c r="L21" s="34">
        <f>(('Project W Pop Connected'!M21*'Water Demand Criteria'!P$17/1000)*('Wastewater Criteria'!$C$8+'Wastewater Criteria'!$C$10*'Water Demand Criteria'!P$56+'Water Demand Criteria'!P$37*'Wastewater Criteria'!$C$11)*(1+'Wastewater Criteria'!$C$23)+('Project Tankers'!L21*'Wastewater Criteria'!$C$9))*(1+'Wastewater Criteria'!$C$36)</f>
        <v>97.099002478865401</v>
      </c>
      <c r="M21" s="34">
        <f>(('Project W Pop Connected'!N21*'Water Demand Criteria'!Q$17/1000)*('Wastewater Criteria'!$C$8+'Wastewater Criteria'!$C$10*'Water Demand Criteria'!Q$56+'Water Demand Criteria'!Q$37*'Wastewater Criteria'!$C$11)*(1+'Wastewater Criteria'!$C$23)+('Project Tankers'!M21*'Wastewater Criteria'!$C$9))*(1+'Wastewater Criteria'!$C$36)</f>
        <v>104.46640100295282</v>
      </c>
      <c r="N21" s="34">
        <f>(('Project W Pop Connected'!O21*'Water Demand Criteria'!R$17/1000)*('Wastewater Criteria'!$C$8+'Wastewater Criteria'!$C$10*'Water Demand Criteria'!R$56+'Water Demand Criteria'!R$37*'Wastewater Criteria'!$C$11)*(1+'Wastewater Criteria'!$C$23)+('Project Tankers'!N21*'Wastewater Criteria'!$C$9))*(1+'Wastewater Criteria'!$C$36)</f>
        <v>110.33806268688636</v>
      </c>
      <c r="O21" s="34">
        <f>(('Project W Pop Connected'!P21*'Water Demand Criteria'!S$17/1000)*('Wastewater Criteria'!$C$8+'Wastewater Criteria'!$C$10*'Water Demand Criteria'!S$56+'Water Demand Criteria'!S$37*'Wastewater Criteria'!$C$11)*(1+'Wastewater Criteria'!$C$23)+('Project Tankers'!O21*'Wastewater Criteria'!$C$9))*(1+'Wastewater Criteria'!$C$36)</f>
        <v>113.18854489144189</v>
      </c>
      <c r="P21" s="34">
        <f>(('Project W Pop Connected'!Q21*'Water Demand Criteria'!T$17/1000)*('Wastewater Criteria'!$C$8+'Wastewater Criteria'!$C$10*'Water Demand Criteria'!T$56+'Water Demand Criteria'!T$37*'Wastewater Criteria'!$C$11)*(1+'Wastewater Criteria'!$C$23)+('Project Tankers'!P21*'Wastewater Criteria'!$C$9))*(1+'Wastewater Criteria'!$C$36)</f>
        <v>116.15143790432069</v>
      </c>
      <c r="Q21" s="34">
        <f>(('Project W Pop Connected'!R21*'Water Demand Criteria'!U$17/1000)*('Wastewater Criteria'!$C$8+'Wastewater Criteria'!$C$10*'Water Demand Criteria'!U$56+'Water Demand Criteria'!U$37*'Wastewater Criteria'!$C$11)*(1+'Wastewater Criteria'!$C$23)+('Project Tankers'!Q21*'Wastewater Criteria'!$C$9))*(1+'Wastewater Criteria'!$C$36)</f>
        <v>119.21851654442598</v>
      </c>
      <c r="R21" s="34">
        <f>(('Project W Pop Connected'!S21*'Water Demand Criteria'!V$17/1000)*('Wastewater Criteria'!$C$8+'Wastewater Criteria'!$C$10*'Water Demand Criteria'!V$56+'Water Demand Criteria'!V$37*'Wastewater Criteria'!$C$11)*(1+'Wastewater Criteria'!$C$23)+('Project Tankers'!R21*'Wastewater Criteria'!$C$9))*(1+'Wastewater Criteria'!$C$36)</f>
        <v>122.41719808208049</v>
      </c>
      <c r="S21" s="34">
        <f>(('Project W Pop Connected'!T21*'Water Demand Criteria'!W$17/1000)*('Wastewater Criteria'!$C$8+'Wastewater Criteria'!$C$10*'Water Demand Criteria'!W$56+'Water Demand Criteria'!W$37*'Wastewater Criteria'!$C$11)*(1+'Wastewater Criteria'!$C$23)+('Project Tankers'!S21*'Wastewater Criteria'!$C$9))*(1+'Wastewater Criteria'!$C$36)</f>
        <v>125.07987198492518</v>
      </c>
      <c r="T21" s="34">
        <f>(('Project W Pop Connected'!U21*'Water Demand Criteria'!X$17/1000)*('Wastewater Criteria'!$C$8+'Wastewater Criteria'!$C$10*'Water Demand Criteria'!X$56+'Water Demand Criteria'!X$37*'Wastewater Criteria'!$C$11)*(1+'Wastewater Criteria'!$C$23)+('Project Tankers'!T21*'Wastewater Criteria'!$C$9))*(1+'Wastewater Criteria'!$C$36)</f>
        <v>127.465956932225</v>
      </c>
      <c r="U21" s="34">
        <f>(('Project W Pop Connected'!V21*'Water Demand Criteria'!Y$17/1000)*('Wastewater Criteria'!$C$8+'Wastewater Criteria'!$C$10*'Water Demand Criteria'!Y$56+'Water Demand Criteria'!Y$37*'Wastewater Criteria'!$C$11)*(1+'Wastewater Criteria'!$C$23)+('Project Tankers'!U21*'Wastewater Criteria'!$C$9))*(1+'Wastewater Criteria'!$C$36)</f>
        <v>129.96097656744573</v>
      </c>
      <c r="V21" s="34">
        <f>(('Project W Pop Connected'!W21*'Water Demand Criteria'!Z$17/1000)*('Wastewater Criteria'!$C$8+'Wastewater Criteria'!$C$10*'Water Demand Criteria'!Z$56+'Water Demand Criteria'!Z$37*'Wastewater Criteria'!$C$11)*(1+'Wastewater Criteria'!$C$23)+('Project Tankers'!V21*'Wastewater Criteria'!$C$9))*(1+'Wastewater Criteria'!$C$36)</f>
        <v>132.53366855316548</v>
      </c>
      <c r="W21" s="34">
        <f>(('Project W Pop Connected'!X21*'Water Demand Criteria'!AA$17/1000)*('Wastewater Criteria'!$C$8+'Wastewater Criteria'!$C$10*'Water Demand Criteria'!AA$56+'Water Demand Criteria'!AA$37*'Wastewater Criteria'!$C$11)*(1+'Wastewater Criteria'!$C$23)+('Project Tankers'!W21*'Wastewater Criteria'!$C$9))*(1+'Wastewater Criteria'!$C$36)</f>
        <v>135.18937817744177</v>
      </c>
      <c r="X21" s="34">
        <f>(('Project W Pop Connected'!Y21*'Water Demand Criteria'!AB$17/1000)*('Wastewater Criteria'!$C$8+'Wastewater Criteria'!$C$10*'Water Demand Criteria'!AB$56+'Water Demand Criteria'!AB$37*'Wastewater Criteria'!$C$11)*(1+'Wastewater Criteria'!$C$23)+('Project Tankers'!X21*'Wastewater Criteria'!$C$9))*(1+'Wastewater Criteria'!$C$36)</f>
        <v>137.93345072840896</v>
      </c>
      <c r="Y21" s="34">
        <f>(('Project W Pop Connected'!Z21*'Water Demand Criteria'!AC$17/1000)*('Wastewater Criteria'!$C$8+'Wastewater Criteria'!$C$10*'Water Demand Criteria'!AC$56+'Water Demand Criteria'!AC$37*'Wastewater Criteria'!$C$11)*(1+'Wastewater Criteria'!$C$23)+('Project Tankers'!Y21*'Wastewater Criteria'!$C$9))*(1+'Wastewater Criteria'!$C$36)</f>
        <v>140.77123149835265</v>
      </c>
      <c r="Z21" s="34">
        <f>(('Project W Pop Connected'!AA21*'Water Demand Criteria'!AD$17/1000)*('Wastewater Criteria'!$C$8+'Wastewater Criteria'!$C$10*'Water Demand Criteria'!AD$56+'Water Demand Criteria'!AD$37*'Wastewater Criteria'!$C$11)*(1+'Wastewater Criteria'!$C$23)+('Project Tankers'!Z21*'Wastewater Criteria'!$C$9))*(1+'Wastewater Criteria'!$C$36)</f>
        <v>143.70806577252151</v>
      </c>
      <c r="AA21" s="34">
        <f>(('Project W Pop Connected'!AB21*'Water Demand Criteria'!AE$17/1000)*('Wastewater Criteria'!$C$8+'Wastewater Criteria'!$C$10*'Water Demand Criteria'!AE$56+'Water Demand Criteria'!AE$37*'Wastewater Criteria'!$C$11)*(1+'Wastewater Criteria'!$C$23)+('Project Tankers'!AA21*'Wastewater Criteria'!$C$9))*(1+'Wastewater Criteria'!$C$36)</f>
        <v>146.74929884776512</v>
      </c>
      <c r="AB21" s="34">
        <f>(('Project W Pop Connected'!AC21*'Water Demand Criteria'!AF$17/1000)*('Wastewater Criteria'!$C$8+'Wastewater Criteria'!$C$10*'Water Demand Criteria'!AF$56+'Water Demand Criteria'!AF$37*'Wastewater Criteria'!$C$11)*(1+'Wastewater Criteria'!$C$23)+('Project Tankers'!AB21*'Wastewater Criteria'!$C$9))*(1+'Wastewater Criteria'!$C$36)</f>
        <v>149.90027600531295</v>
      </c>
      <c r="AC21" s="34">
        <f>(('Project W Pop Connected'!AD21*'Water Demand Criteria'!AG$17/1000)*('Wastewater Criteria'!$C$8+'Wastewater Criteria'!$C$10*'Water Demand Criteria'!AG$56+'Water Demand Criteria'!AG$37*'Wastewater Criteria'!$C$11)*(1+'Wastewater Criteria'!$C$23)+('Project Tankers'!AC21*'Wastewater Criteria'!$C$9))*(1+'Wastewater Criteria'!$C$36)</f>
        <v>153.16634254469682</v>
      </c>
      <c r="AD21" s="44">
        <f>(('Project W Pop Connected'!AE21*'Water Demand Criteria'!AH$17/1000)*('Wastewater Criteria'!$C$8+'Wastewater Criteria'!$C$10*'Water Demand Criteria'!AH$56+'Water Demand Criteria'!AH$37*'Wastewater Criteria'!$C$11)*(1+'Wastewater Criteria'!$C$23)+('Project Tankers'!AD21*'Wastewater Criteria'!$C$9))*(1+'Wastewater Criteria'!$C$36)</f>
        <v>158.50638991271271</v>
      </c>
      <c r="AE21" s="44">
        <f>(('Project W Pop Connected'!AF21*'Water Demand Criteria'!AI$17/1000)*('Wastewater Criteria'!$C$8+'Wastewater Criteria'!$C$10*'Water Demand Criteria'!AI$56+'Water Demand Criteria'!AI$37*'Wastewater Criteria'!$C$11)*(1+'Wastewater Criteria'!$C$23)+('Project Tankers'!AE21*'Wastewater Criteria'!$C$9))*(1+'Wastewater Criteria'!$C$36)</f>
        <v>164.0557524617102</v>
      </c>
      <c r="AF21" s="44">
        <f>(('Project W Pop Connected'!AG21*'Water Demand Criteria'!AJ$17/1000)*('Wastewater Criteria'!$C$8+'Wastewater Criteria'!$C$10*'Water Demand Criteria'!AJ$56+'Water Demand Criteria'!AJ$37*'Wastewater Criteria'!$C$11)*(1+'Wastewater Criteria'!$C$23)+('Project Tankers'!AF21*'Wastewater Criteria'!$C$9))*(1+'Wastewater Criteria'!$C$36)</f>
        <v>169.82396427167308</v>
      </c>
      <c r="AG21" s="44">
        <f>(('Project W Pop Connected'!AH21*'Water Demand Criteria'!AK$17/1000)*('Wastewater Criteria'!$C$8+'Wastewater Criteria'!$C$10*'Water Demand Criteria'!AK$56+'Water Demand Criteria'!AK$37*'Wastewater Criteria'!$C$11)*(1+'Wastewater Criteria'!$C$23)+('Project Tankers'!AG21*'Wastewater Criteria'!$C$9))*(1+'Wastewater Criteria'!$C$36)</f>
        <v>175.82102961039786</v>
      </c>
      <c r="AH21" s="44">
        <f>(('Project W Pop Connected'!AI21*'Water Demand Criteria'!AL$17/1000)*('Wastewater Criteria'!$C$8+'Wastewater Criteria'!$C$10*'Water Demand Criteria'!AL$56+'Water Demand Criteria'!AL$37*'Wastewater Criteria'!$C$11)*(1+'Wastewater Criteria'!$C$23)+('Project Tankers'!AH21*'Wastewater Criteria'!$C$9))*(1+'Wastewater Criteria'!$C$36)</f>
        <v>182.05744820579108</v>
      </c>
      <c r="AI21" s="44">
        <f>(('Project W Pop Connected'!AJ21*'Water Demand Criteria'!AM$17/1000)*('Wastewater Criteria'!$C$8+'Wastewater Criteria'!$C$10*'Water Demand Criteria'!AM$56+'Water Demand Criteria'!AM$37*'Wastewater Criteria'!$C$11)*(1+'Wastewater Criteria'!$C$23)+('Project Tankers'!AI21*'Wastewater Criteria'!$C$9))*(1+'Wastewater Criteria'!$C$36)</f>
        <v>188.54424196270705</v>
      </c>
      <c r="AJ21" s="44">
        <f>(('Project W Pop Connected'!AK21*'Water Demand Criteria'!AN$17/1000)*('Wastewater Criteria'!$C$8+'Wastewater Criteria'!$C$10*'Water Demand Criteria'!AN$56+'Water Demand Criteria'!AN$37*'Wastewater Criteria'!$C$11)*(1+'Wastewater Criteria'!$C$23)+('Project Tankers'!AJ21*'Wastewater Criteria'!$C$9))*(1+'Wastewater Criteria'!$C$36)</f>
        <v>195.29298321206505</v>
      </c>
      <c r="AK21" s="44">
        <f>(('Project W Pop Connected'!AL21*'Water Demand Criteria'!AO$17/1000)*('Wastewater Criteria'!$C$8+'Wastewater Criteria'!$C$10*'Water Demand Criteria'!AO$56+'Water Demand Criteria'!AO$37*'Wastewater Criteria'!$C$11)*(1+'Wastewater Criteria'!$C$23)+('Project Tankers'!AK21*'Wastewater Criteria'!$C$9))*(1+'Wastewater Criteria'!$C$36)</f>
        <v>202.27863566903002</v>
      </c>
      <c r="AL21" s="44">
        <f>(('Project W Pop Connected'!AM21*'Water Demand Criteria'!AP$17/1000)*('Wastewater Criteria'!$C$8+'Wastewater Criteria'!$C$10*'Water Demand Criteria'!AP$56+'Water Demand Criteria'!AP$37*'Wastewater Criteria'!$C$11)*(1+'Wastewater Criteria'!$C$23)+('Project Tankers'!AL21*'Wastewater Criteria'!$C$9))*(1+'Wastewater Criteria'!$C$36)</f>
        <v>209.48711068559913</v>
      </c>
      <c r="AM21" s="44">
        <f>(('Project W Pop Connected'!AN21*'Water Demand Criteria'!AQ$17/1000)*('Wastewater Criteria'!$C$8+'Wastewater Criteria'!$C$10*'Water Demand Criteria'!AQ$56+'Water Demand Criteria'!AQ$37*'Wastewater Criteria'!$C$11)*(1+'Wastewater Criteria'!$C$23)+('Project Tankers'!AM21*'Wastewater Criteria'!$C$9))*(1+'Wastewater Criteria'!$C$36)</f>
        <v>216.92508000881813</v>
      </c>
      <c r="AN21" s="44">
        <f>(('Project W Pop Connected'!AO21*'Water Demand Criteria'!AR$17/1000)*('Wastewater Criteria'!$C$8+'Wastewater Criteria'!$C$10*'Water Demand Criteria'!AR$56+'Water Demand Criteria'!AR$37*'Wastewater Criteria'!$C$11)*(1+'Wastewater Criteria'!$C$23)+('Project Tankers'!AN21*'Wastewater Criteria'!$C$9))*(1+'Wastewater Criteria'!$C$36)</f>
        <v>224.59940728379675</v>
      </c>
      <c r="AO21" s="44">
        <f>(('Project W Pop Connected'!AP21*'Water Demand Criteria'!AS$17/1000)*('Wastewater Criteria'!$C$8+'Wastewater Criteria'!$C$10*'Water Demand Criteria'!AS$56+'Water Demand Criteria'!AS$37*'Wastewater Criteria'!$C$11)*(1+'Wastewater Criteria'!$C$23)+('Project Tankers'!AO21*'Wastewater Criteria'!$C$9))*(1+'Wastewater Criteria'!$C$36)</f>
        <v>232.51715342188925</v>
      </c>
      <c r="AP21" s="44">
        <f>(('Project W Pop Connected'!AQ21*'Water Demand Criteria'!AT$17/1000)*('Wastewater Criteria'!$C$8+'Wastewater Criteria'!$C$10*'Water Demand Criteria'!AT$56+'Water Demand Criteria'!AT$37*'Wastewater Criteria'!$C$11)*(1+'Wastewater Criteria'!$C$23)+('Project Tankers'!AP21*'Wastewater Criteria'!$C$9))*(1+'Wastewater Criteria'!$C$36)</f>
        <v>240.68558211601479</v>
      </c>
      <c r="AQ21" s="44">
        <f>(('Project W Pop Connected'!AR21*'Water Demand Criteria'!AU$17/1000)*('Wastewater Criteria'!$C$8+'Wastewater Criteria'!$C$10*'Water Demand Criteria'!AU$56+'Water Demand Criteria'!AU$37*'Wastewater Criteria'!$C$11)*(1+'Wastewater Criteria'!$C$23)+('Project Tankers'!AQ21*'Wastewater Criteria'!$C$9))*(1+'Wastewater Criteria'!$C$36)</f>
        <v>249.1121655070873</v>
      </c>
      <c r="AR21" s="44">
        <f>(('Project W Pop Connected'!AS21*'Water Demand Criteria'!AV$17/1000)*('Wastewater Criteria'!$C$8+'Wastewater Criteria'!$C$10*'Water Demand Criteria'!AV$56+'Water Demand Criteria'!AV$37*'Wastewater Criteria'!$C$11)*(1+'Wastewater Criteria'!$C$23)+('Project Tankers'!AR21*'Wastewater Criteria'!$C$9))*(1+'Wastewater Criteria'!$C$36)</f>
        <v>257.80459000563246</v>
      </c>
      <c r="AS21" s="44">
        <f>(('Project W Pop Connected'!AT21*'Water Demand Criteria'!AW$17/1000)*('Wastewater Criteria'!$C$8+'Wastewater Criteria'!$C$10*'Water Demand Criteria'!AW$56+'Water Demand Criteria'!AW$37*'Wastewater Criteria'!$C$11)*(1+'Wastewater Criteria'!$C$23)+('Project Tankers'!AS21*'Wastewater Criteria'!$C$9))*(1+'Wastewater Criteria'!$C$36)</f>
        <v>266.77076227277576</v>
      </c>
      <c r="AT21" s="44">
        <f>(('Project W Pop Connected'!AU21*'Water Demand Criteria'!AX$17/1000)*('Wastewater Criteria'!$C$8+'Wastewater Criteria'!$C$10*'Water Demand Criteria'!AX$56+'Water Demand Criteria'!AX$37*'Wastewater Criteria'!$C$11)*(1+'Wastewater Criteria'!$C$23)+('Project Tankers'!AT21*'Wastewater Criteria'!$C$9))*(1+'Wastewater Criteria'!$C$36)</f>
        <v>276.01881536489861</v>
      </c>
      <c r="AU21" s="44">
        <f>(('Project W Pop Connected'!AV21*'Water Demand Criteria'!AY$17/1000)*('Wastewater Criteria'!$C$8+'Wastewater Criteria'!$C$10*'Water Demand Criteria'!AY$56+'Water Demand Criteria'!AY$37*'Wastewater Criteria'!$C$11)*(1+'Wastewater Criteria'!$C$23)+('Project Tankers'!AU21*'Wastewater Criteria'!$C$9))*(1+'Wastewater Criteria'!$C$36)</f>
        <v>285.55711504637435</v>
      </c>
      <c r="AV21" s="44">
        <f>(('Project W Pop Connected'!AW21*'Water Demand Criteria'!AZ$17/1000)*('Wastewater Criteria'!$C$8+'Wastewater Criteria'!$C$10*'Water Demand Criteria'!AZ$56+'Water Demand Criteria'!AZ$37*'Wastewater Criteria'!$C$11)*(1+'Wastewater Criteria'!$C$23)+('Project Tankers'!AV21*'Wastewater Criteria'!$C$9))*(1+'Wastewater Criteria'!$C$36)</f>
        <v>295.39426627491071</v>
      </c>
      <c r="AW21" s="44">
        <f>(('Project W Pop Connected'!AX21*'Water Demand Criteria'!BA$17/1000)*('Wastewater Criteria'!$C$8+'Wastewater Criteria'!$C$10*'Water Demand Criteria'!BA$56+'Water Demand Criteria'!BA$37*'Wastewater Criteria'!$C$11)*(1+'Wastewater Criteria'!$C$23)+('Project Tankers'!AW21*'Wastewater Criteria'!$C$9))*(1+'Wastewater Criteria'!$C$36)</f>
        <v>305.53911986415005</v>
      </c>
      <c r="AX21" s="44">
        <f>(('Project W Pop Connected'!AY21*'Water Demand Criteria'!BB$17/1000)*('Wastewater Criteria'!$C$8+'Wastewater Criteria'!$C$10*'Water Demand Criteria'!BB$56+'Water Demand Criteria'!BB$37*'Wastewater Criteria'!$C$11)*(1+'Wastewater Criteria'!$C$23)+('Project Tankers'!AX21*'Wastewater Criteria'!$C$9))*(1+'Wastewater Criteria'!$C$36)</f>
        <v>312.87205874088966</v>
      </c>
      <c r="AY21" s="44">
        <f>(('Project W Pop Connected'!AZ21*'Water Demand Criteria'!BC$17/1000)*('Wastewater Criteria'!$C$8+'Wastewater Criteria'!$C$10*'Water Demand Criteria'!BC$56+'Water Demand Criteria'!BC$37*'Wastewater Criteria'!$C$11)*(1+'Wastewater Criteria'!$C$23)+('Project Tankers'!AY21*'Wastewater Criteria'!$C$9))*(1+'Wastewater Criteria'!$C$36)</f>
        <v>320.38098815067093</v>
      </c>
      <c r="AZ21" s="44">
        <f>(('Project W Pop Connected'!BA21*'Water Demand Criteria'!BD$17/1000)*('Wastewater Criteria'!$C$8+'Wastewater Criteria'!$C$10*'Water Demand Criteria'!BD$56+'Water Demand Criteria'!BD$37*'Wastewater Criteria'!$C$11)*(1+'Wastewater Criteria'!$C$23)+('Project Tankers'!AZ21*'Wastewater Criteria'!$C$9))*(1+'Wastewater Criteria'!$C$36)</f>
        <v>328.07013186628706</v>
      </c>
      <c r="BA21" s="44">
        <f>(('Project W Pop Connected'!BB21*'Water Demand Criteria'!BE$17/1000)*('Wastewater Criteria'!$C$8+'Wastewater Criteria'!$C$10*'Water Demand Criteria'!BE$56+'Water Demand Criteria'!BE$37*'Wastewater Criteria'!$C$11)*(1+'Wastewater Criteria'!$C$23)+('Project Tankers'!BA21*'Wastewater Criteria'!$C$9))*(1+'Wastewater Criteria'!$C$36)</f>
        <v>335.94381503107792</v>
      </c>
      <c r="BB21" s="44">
        <f>(('Project W Pop Connected'!BC21*'Water Demand Criteria'!BF$17/1000)*('Wastewater Criteria'!$C$8+'Wastewater Criteria'!$C$10*'Water Demand Criteria'!BF$56+'Water Demand Criteria'!BF$37*'Wastewater Criteria'!$C$11)*(1+'Wastewater Criteria'!$C$23)+('Project Tankers'!BB21*'Wastewater Criteria'!$C$9))*(1+'Wastewater Criteria'!$C$36)</f>
        <v>344.00646659182377</v>
      </c>
      <c r="BC21" s="44">
        <f>(('Project W Pop Connected'!BD21*'Water Demand Criteria'!BG$17/1000)*('Wastewater Criteria'!$C$8+'Wastewater Criteria'!$C$10*'Water Demand Criteria'!BG$56+'Water Demand Criteria'!BG$37*'Wastewater Criteria'!$C$11)*(1+'Wastewater Criteria'!$C$23)+('Project Tankers'!BC21*'Wastewater Criteria'!$C$9))*(1+'Wastewater Criteria'!$C$36)</f>
        <v>352.26262179002765</v>
      </c>
      <c r="BD21" s="44">
        <f>(('Project W Pop Connected'!BE21*'Water Demand Criteria'!BH$17/1000)*('Wastewater Criteria'!$C$8+'Wastewater Criteria'!$C$10*'Water Demand Criteria'!BH$56+'Water Demand Criteria'!BH$37*'Wastewater Criteria'!$C$11)*(1+'Wastewater Criteria'!$C$23)+('Project Tankers'!BD21*'Wastewater Criteria'!$C$9))*(1+'Wastewater Criteria'!$C$36)</f>
        <v>360.71692471298832</v>
      </c>
      <c r="BE21" s="44">
        <f>(('Project W Pop Connected'!BF21*'Water Demand Criteria'!BI$17/1000)*('Wastewater Criteria'!$C$8+'Wastewater Criteria'!$C$10*'Water Demand Criteria'!BI$56+'Water Demand Criteria'!BI$37*'Wastewater Criteria'!$C$11)*(1+'Wastewater Criteria'!$C$23)+('Project Tankers'!BE21*'Wastewater Criteria'!$C$9))*(1+'Wastewater Criteria'!$C$36)</f>
        <v>369.37413090610005</v>
      </c>
      <c r="BF21" s="44">
        <f>(('Project W Pop Connected'!BG21*'Water Demand Criteria'!BJ$17/1000)*('Wastewater Criteria'!$C$8+'Wastewater Criteria'!$C$10*'Water Demand Criteria'!BJ$56+'Water Demand Criteria'!BJ$37*'Wastewater Criteria'!$C$11)*(1+'Wastewater Criteria'!$C$23)+('Project Tankers'!BF21*'Wastewater Criteria'!$C$9))*(1+'Wastewater Criteria'!$C$36)</f>
        <v>378.23911004784634</v>
      </c>
      <c r="BG21" s="44">
        <f>(('Project W Pop Connected'!BH21*'Water Demand Criteria'!BK$17/1000)*('Wastewater Criteria'!$C$8+'Wastewater Criteria'!$C$10*'Water Demand Criteria'!BK$56+'Water Demand Criteria'!BK$37*'Wastewater Criteria'!$C$11)*(1+'Wastewater Criteria'!$C$23)+('Project Tankers'!BG21*'Wastewater Criteria'!$C$9))*(1+'Wastewater Criteria'!$C$36)</f>
        <v>387.3168486889947</v>
      </c>
      <c r="BH21" s="44">
        <f>(('Project W Pop Connected'!BI21*'Water Demand Criteria'!BL$17/1000)*('Wastewater Criteria'!$C$8+'Wastewater Criteria'!$C$10*'Water Demand Criteria'!BL$56+'Water Demand Criteria'!BL$37*'Wastewater Criteria'!$C$11)*(1+'Wastewater Criteria'!$C$23)+('Project Tankers'!BH21*'Wastewater Criteria'!$C$9))*(1+'Wastewater Criteria'!$C$36)</f>
        <v>396.61245305753056</v>
      </c>
      <c r="BI21" s="44">
        <f>(('Project W Pop Connected'!BJ21*'Water Demand Criteria'!BM$17/1000)*('Wastewater Criteria'!$C$8+'Wastewater Criteria'!$C$10*'Water Demand Criteria'!BM$56+'Water Demand Criteria'!BM$37*'Wastewater Criteria'!$C$11)*(1+'Wastewater Criteria'!$C$23)+('Project Tankers'!BI21*'Wastewater Criteria'!$C$9))*(1+'Wastewater Criteria'!$C$36)</f>
        <v>406.1311519309113</v>
      </c>
      <c r="BJ21" s="44">
        <f>(('Project W Pop Connected'!BK21*'Water Demand Criteria'!BN$17/1000)*('Wastewater Criteria'!$C$8+'Wastewater Criteria'!$C$10*'Water Demand Criteria'!BN$56+'Water Demand Criteria'!BN$37*'Wastewater Criteria'!$C$11)*(1+'Wastewater Criteria'!$C$23)+('Project Tankers'!BJ21*'Wastewater Criteria'!$C$9))*(1+'Wastewater Criteria'!$C$36)</f>
        <v>415.87829957725313</v>
      </c>
      <c r="BK21" s="44">
        <f>(('Project W Pop Connected'!BL21*'Water Demand Criteria'!BO$17/1000)*('Wastewater Criteria'!$C$8+'Wastewater Criteria'!$C$10*'Water Demand Criteria'!BO$56+'Water Demand Criteria'!BO$37*'Wastewater Criteria'!$C$11)*(1+'Wastewater Criteria'!$C$23)+('Project Tankers'!BK21*'Wastewater Criteria'!$C$9))*(1+'Wastewater Criteria'!$C$36)</f>
        <v>425.85937876710727</v>
      </c>
      <c r="BL21" s="44">
        <f>(('Project W Pop Connected'!BM21*'Water Demand Criteria'!BP$17/1000)*('Wastewater Criteria'!$C$8+'Wastewater Criteria'!$C$10*'Water Demand Criteria'!BP$56+'Water Demand Criteria'!BP$37*'Wastewater Criteria'!$C$11)*(1+'Wastewater Criteria'!$C$23)+('Project Tankers'!BL21*'Wastewater Criteria'!$C$9))*(1+'Wastewater Criteria'!$C$36)</f>
        <v>436.08000385751785</v>
      </c>
      <c r="BM21" s="44">
        <f>(('Project W Pop Connected'!BN21*'Water Demand Criteria'!BQ$17/1000)*('Wastewater Criteria'!$C$8+'Wastewater Criteria'!$C$10*'Water Demand Criteria'!BQ$56+'Water Demand Criteria'!BQ$37*'Wastewater Criteria'!$C$11)*(1+'Wastewater Criteria'!$C$23)+('Project Tankers'!BM21*'Wastewater Criteria'!$C$9))*(1+'Wastewater Criteria'!$C$36)</f>
        <v>446.54592395009826</v>
      </c>
      <c r="BN21" s="44">
        <f>(('Project W Pop Connected'!BO21*'Water Demand Criteria'!BR$17/1000)*('Wastewater Criteria'!$C$8+'Wastewater Criteria'!$C$10*'Water Demand Criteria'!BR$56+'Water Demand Criteria'!BR$37*'Wastewater Criteria'!$C$11)*(1+'Wastewater Criteria'!$C$23)+('Project Tankers'!BN21*'Wastewater Criteria'!$C$9))*(1+'Wastewater Criteria'!$C$36)</f>
        <v>457.26302612490065</v>
      </c>
      <c r="BO21" s="44">
        <f>(('Project W Pop Connected'!BP21*'Water Demand Criteria'!BS$17/1000)*('Wastewater Criteria'!$C$8+'Wastewater Criteria'!$C$10*'Water Demand Criteria'!BS$56+'Water Demand Criteria'!BS$37*'Wastewater Criteria'!$C$11)*(1+'Wastewater Criteria'!$C$23)+('Project Tankers'!BO21*'Wastewater Criteria'!$C$9))*(1+'Wastewater Criteria'!$C$36)</f>
        <v>468.23733875189828</v>
      </c>
      <c r="BP21" s="44">
        <f>(('Project W Pop Connected'!BQ21*'Water Demand Criteria'!BT$17/1000)*('Wastewater Criteria'!$C$8+'Wastewater Criteria'!$C$10*'Water Demand Criteria'!BT$56+'Water Demand Criteria'!BT$37*'Wastewater Criteria'!$C$11)*(1+'Wastewater Criteria'!$C$23)+('Project Tankers'!BP21*'Wastewater Criteria'!$C$9))*(1+'Wastewater Criteria'!$C$36)</f>
        <v>479.47503488194377</v>
      </c>
      <c r="BQ21" s="44">
        <f>(('Project W Pop Connected'!BR21*'Water Demand Criteria'!BU$17/1000)*('Wastewater Criteria'!$C$8+'Wastewater Criteria'!$C$10*'Water Demand Criteria'!BU$56+'Water Demand Criteria'!BU$37*'Wastewater Criteria'!$C$11)*(1+'Wastewater Criteria'!$C$23)+('Project Tankers'!BQ21*'Wastewater Criteria'!$C$9))*(1+'Wastewater Criteria'!$C$36)</f>
        <v>490.98243571911047</v>
      </c>
      <c r="BR21" s="44">
        <f>(('Project W Pop Connected'!BS21*'Water Demand Criteria'!BV$17/1000)*('Wastewater Criteria'!$C$8+'Wastewater Criteria'!$C$10*'Water Demand Criteria'!BV$56+'Water Demand Criteria'!BV$37*'Wastewater Criteria'!$C$11)*(1+'Wastewater Criteria'!$C$23)+('Project Tankers'!BR21*'Wastewater Criteria'!$C$9))*(1+'Wastewater Criteria'!$C$36)</f>
        <v>502.76601417636903</v>
      </c>
      <c r="BS21" s="44">
        <f>(('Project W Pop Connected'!BT21*'Water Demand Criteria'!BW$17/1000)*('Wastewater Criteria'!$C$8+'Wastewater Criteria'!$C$10*'Water Demand Criteria'!BW$56+'Water Demand Criteria'!BW$37*'Wastewater Criteria'!$C$11)*(1+'Wastewater Criteria'!$C$23)+('Project Tankers'!BS21*'Wastewater Criteria'!$C$9))*(1+'Wastewater Criteria'!$C$36)</f>
        <v>514.83239851660198</v>
      </c>
      <c r="BT21" s="44">
        <f>(('Project W Pop Connected'!BU21*'Water Demand Criteria'!BX$17/1000)*('Wastewater Criteria'!$C$8+'Wastewater Criteria'!$C$10*'Water Demand Criteria'!BX$56+'Water Demand Criteria'!BX$37*'Wastewater Criteria'!$C$11)*(1+'Wastewater Criteria'!$C$23)+('Project Tankers'!BT21*'Wastewater Criteria'!$C$9))*(1+'Wastewater Criteria'!$C$36)</f>
        <v>527.18837608100023</v>
      </c>
      <c r="BU21" s="44">
        <f>(('Project W Pop Connected'!BV21*'Water Demand Criteria'!BY$17/1000)*('Wastewater Criteria'!$C$8+'Wastewater Criteria'!$C$10*'Water Demand Criteria'!BY$56+'Water Demand Criteria'!BY$37*'Wastewater Criteria'!$C$11)*(1+'Wastewater Criteria'!$C$23)+('Project Tankers'!BU21*'Wastewater Criteria'!$C$9))*(1+'Wastewater Criteria'!$C$36)</f>
        <v>539.84089710694434</v>
      </c>
      <c r="BV21" s="44">
        <f>(('Project W Pop Connected'!BW21*'Water Demand Criteria'!BZ$17/1000)*('Wastewater Criteria'!$C$8+'Wastewater Criteria'!$C$10*'Water Demand Criteria'!BZ$56+'Water Demand Criteria'!BZ$37*'Wastewater Criteria'!$C$11)*(1+'Wastewater Criteria'!$C$23)+('Project Tankers'!BV21*'Wastewater Criteria'!$C$9))*(1+'Wastewater Criteria'!$C$36)</f>
        <v>552.79707863751116</v>
      </c>
      <c r="BW21" s="44">
        <f>(('Project W Pop Connected'!BX21*'Water Demand Criteria'!CA$17/1000)*('Wastewater Criteria'!$C$8+'Wastewater Criteria'!$C$10*'Water Demand Criteria'!CA$56+'Water Demand Criteria'!CA$37*'Wastewater Criteria'!$C$11)*(1+'Wastewater Criteria'!$C$23)+('Project Tankers'!BW21*'Wastewater Criteria'!$C$9))*(1+'Wastewater Criteria'!$C$36)</f>
        <v>566.06420852481142</v>
      </c>
      <c r="BX21" s="44">
        <f>(('Project W Pop Connected'!BY21*'Water Demand Criteria'!CB$17/1000)*('Wastewater Criteria'!$C$8+'Wastewater Criteria'!$C$10*'Water Demand Criteria'!CB$56+'Water Demand Criteria'!CB$37*'Wastewater Criteria'!$C$11)*(1+'Wastewater Criteria'!$C$23)+('Project Tankers'!BX21*'Wastewater Criteria'!$C$9))*(1+'Wastewater Criteria'!$C$36)</f>
        <v>579.64974952940679</v>
      </c>
      <c r="BY21" s="44">
        <f>(('Project W Pop Connected'!BZ21*'Water Demand Criteria'!CC$17/1000)*('Wastewater Criteria'!$C$8+'Wastewater Criteria'!$C$10*'Water Demand Criteria'!CC$56+'Water Demand Criteria'!CC$37*'Wastewater Criteria'!$C$11)*(1+'Wastewater Criteria'!$C$23)+('Project Tankers'!BY21*'Wastewater Criteria'!$C$9))*(1+'Wastewater Criteria'!$C$36)</f>
        <v>593.56134351811261</v>
      </c>
      <c r="BZ21" s="44">
        <f>(('Project W Pop Connected'!CA21*'Water Demand Criteria'!CD$17/1000)*('Wastewater Criteria'!$C$8+'Wastewater Criteria'!$C$10*'Water Demand Criteria'!CD$56+'Water Demand Criteria'!CD$37*'Wastewater Criteria'!$C$11)*(1+'Wastewater Criteria'!$C$23)+('Project Tankers'!BZ21*'Wastewater Criteria'!$C$9))*(1+'Wastewater Criteria'!$C$36)</f>
        <v>607.80681576254733</v>
      </c>
      <c r="CA21" s="44">
        <f>(('Project W Pop Connected'!CB21*'Water Demand Criteria'!CE$17/1000)*('Wastewater Criteria'!$C$8+'Wastewater Criteria'!$C$10*'Water Demand Criteria'!CE$56+'Water Demand Criteria'!CE$37*'Wastewater Criteria'!$C$11)*(1+'Wastewater Criteria'!$C$23)+('Project Tankers'!CA21*'Wastewater Criteria'!$C$9))*(1+'Wastewater Criteria'!$C$36)</f>
        <v>622.3941793408485</v>
      </c>
    </row>
    <row r="22" spans="1:79" x14ac:dyDescent="0.25">
      <c r="A22" s="33">
        <v>21</v>
      </c>
      <c r="B22" s="36" t="s">
        <v>48</v>
      </c>
      <c r="C22" s="34">
        <f>(('Project W Pop Connected'!D22*'Water Demand Criteria'!G$17/1000)*('Wastewater Criteria'!$C$8+'Wastewater Criteria'!$C$10*'Water Demand Criteria'!G$56+'Water Demand Criteria'!G$37*'Wastewater Criteria'!$C$11)*(1+'Wastewater Criteria'!$C$23)+('Project Tankers'!C22*'Wastewater Criteria'!$C$9))*(1+'Wastewater Criteria'!$C$36)</f>
        <v>14.785042523794388</v>
      </c>
      <c r="D22" s="34">
        <f>(('Project W Pop Connected'!E22*'Water Demand Criteria'!H$17/1000)*('Wastewater Criteria'!$C$8+'Wastewater Criteria'!$C$10*'Water Demand Criteria'!H$56+'Water Demand Criteria'!H$37*'Wastewater Criteria'!$C$11)*(1+'Wastewater Criteria'!$C$23)+('Project Tankers'!D22*'Wastewater Criteria'!$C$9))*(1+'Wastewater Criteria'!$C$36)</f>
        <v>15.941228937944786</v>
      </c>
      <c r="E22" s="34">
        <f>(('Project W Pop Connected'!F22*'Water Demand Criteria'!I$17/1000)*('Wastewater Criteria'!$C$8+'Wastewater Criteria'!$C$10*'Water Demand Criteria'!I$56+'Water Demand Criteria'!I$37*'Wastewater Criteria'!$C$11)*(1+'Wastewater Criteria'!$C$23)+('Project Tankers'!E22*'Wastewater Criteria'!$C$9))*(1+'Wastewater Criteria'!$C$36)</f>
        <v>17.20228664613613</v>
      </c>
      <c r="F22" s="34">
        <f>(('Project W Pop Connected'!G22*'Water Demand Criteria'!J$17/1000)*('Wastewater Criteria'!$C$8+'Wastewater Criteria'!$C$10*'Water Demand Criteria'!J$56+'Water Demand Criteria'!J$37*'Wastewater Criteria'!$C$11)*(1+'Wastewater Criteria'!$C$23)+('Project Tankers'!F22*'Wastewater Criteria'!$C$9))*(1+'Wastewater Criteria'!$C$36)</f>
        <v>18.51423158144015</v>
      </c>
      <c r="G22" s="34">
        <f>(('Project W Pop Connected'!H22*'Water Demand Criteria'!K$17/1000)*('Wastewater Criteria'!$C$8+'Wastewater Criteria'!$C$10*'Water Demand Criteria'!K$56+'Water Demand Criteria'!K$37*'Wastewater Criteria'!$C$11)*(1+'Wastewater Criteria'!$C$23)+('Project Tankers'!G22*'Wastewater Criteria'!$C$9))*(1+'Wastewater Criteria'!$C$36)</f>
        <v>19.879279859594433</v>
      </c>
      <c r="H22" s="34">
        <f>(('Project W Pop Connected'!I22*'Water Demand Criteria'!L$17/1000)*('Wastewater Criteria'!$C$8+'Wastewater Criteria'!$C$10*'Water Demand Criteria'!L$56+'Water Demand Criteria'!L$37*'Wastewater Criteria'!$C$11)*(1+'Wastewater Criteria'!$C$23)+('Project Tankers'!H22*'Wastewater Criteria'!$C$9))*(1+'Wastewater Criteria'!$C$36)</f>
        <v>21.298748808819376</v>
      </c>
      <c r="I22" s="34">
        <f>(('Project W Pop Connected'!J22*'Water Demand Criteria'!M$17/1000)*('Wastewater Criteria'!$C$8+'Wastewater Criteria'!$C$10*'Water Demand Criteria'!M$56+'Water Demand Criteria'!M$37*'Wastewater Criteria'!$C$11)*(1+'Wastewater Criteria'!$C$23)+('Project Tankers'!I22*'Wastewater Criteria'!$C$9))*(1+'Wastewater Criteria'!$C$36)</f>
        <v>22.67623149964869</v>
      </c>
      <c r="J22" s="34">
        <f>(('Project W Pop Connected'!K22*'Water Demand Criteria'!N$17/1000)*('Wastewater Criteria'!$C$8+'Wastewater Criteria'!$C$10*'Water Demand Criteria'!N$56+'Water Demand Criteria'!N$37*'Wastewater Criteria'!$C$11)*(1+'Wastewater Criteria'!$C$23)+('Project Tankers'!J22*'Wastewater Criteria'!$C$9))*(1+'Wastewater Criteria'!$C$36)</f>
        <v>24.20039479584732</v>
      </c>
      <c r="K22" s="34">
        <f>(('Project W Pop Connected'!L22*'Water Demand Criteria'!O$17/1000)*('Wastewater Criteria'!$C$8+'Wastewater Criteria'!$C$10*'Water Demand Criteria'!O$56+'Water Demand Criteria'!O$37*'Wastewater Criteria'!$C$11)*(1+'Wastewater Criteria'!$C$23)+('Project Tankers'!K22*'Wastewater Criteria'!$C$9))*(1+'Wastewater Criteria'!$C$36)</f>
        <v>25.783949519574254</v>
      </c>
      <c r="L22" s="34">
        <f>(('Project W Pop Connected'!M22*'Water Demand Criteria'!P$17/1000)*('Wastewater Criteria'!$C$8+'Wastewater Criteria'!$C$10*'Water Demand Criteria'!P$56+'Water Demand Criteria'!P$37*'Wastewater Criteria'!$C$11)*(1+'Wastewater Criteria'!$C$23)+('Project Tankers'!L22*'Wastewater Criteria'!$C$9))*(1+'Wastewater Criteria'!$C$36)</f>
        <v>27.087704554189923</v>
      </c>
      <c r="M22" s="34">
        <f>(('Project W Pop Connected'!N22*'Water Demand Criteria'!Q$17/1000)*('Wastewater Criteria'!$C$8+'Wastewater Criteria'!$C$10*'Water Demand Criteria'!Q$56+'Water Demand Criteria'!Q$37*'Wastewater Criteria'!$C$11)*(1+'Wastewater Criteria'!$C$23)+('Project Tankers'!M22*'Wastewater Criteria'!$C$9))*(1+'Wastewater Criteria'!$C$36)</f>
        <v>29.142987404257223</v>
      </c>
      <c r="N22" s="34">
        <f>(('Project W Pop Connected'!O22*'Water Demand Criteria'!R$17/1000)*('Wastewater Criteria'!$C$8+'Wastewater Criteria'!$C$10*'Water Demand Criteria'!R$56+'Water Demand Criteria'!R$37*'Wastewater Criteria'!$C$11)*(1+'Wastewater Criteria'!$C$23)+('Project Tankers'!N22*'Wastewater Criteria'!$C$9))*(1+'Wastewater Criteria'!$C$36)</f>
        <v>30.781004612221516</v>
      </c>
      <c r="O22" s="34">
        <f>(('Project W Pop Connected'!P22*'Water Demand Criteria'!S$17/1000)*('Wastewater Criteria'!$C$8+'Wastewater Criteria'!$C$10*'Water Demand Criteria'!S$56+'Water Demand Criteria'!S$37*'Wastewater Criteria'!$C$11)*(1+'Wastewater Criteria'!$C$23)+('Project Tankers'!O22*'Wastewater Criteria'!$C$9))*(1+'Wastewater Criteria'!$C$36)</f>
        <v>31.576203510488078</v>
      </c>
      <c r="P22" s="34">
        <f>(('Project W Pop Connected'!Q22*'Water Demand Criteria'!T$17/1000)*('Wastewater Criteria'!$C$8+'Wastewater Criteria'!$C$10*'Water Demand Criteria'!T$56+'Water Demand Criteria'!T$37*'Wastewater Criteria'!$C$11)*(1+'Wastewater Criteria'!$C$23)+('Project Tankers'!P22*'Wastewater Criteria'!$C$9))*(1+'Wastewater Criteria'!$C$36)</f>
        <v>32.402761647128088</v>
      </c>
      <c r="Q22" s="34">
        <f>(('Project W Pop Connected'!R22*'Water Demand Criteria'!U$17/1000)*('Wastewater Criteria'!$C$8+'Wastewater Criteria'!$C$10*'Water Demand Criteria'!U$56+'Water Demand Criteria'!U$37*'Wastewater Criteria'!$C$11)*(1+'Wastewater Criteria'!$C$23)+('Project Tankers'!Q22*'Wastewater Criteria'!$C$9))*(1+'Wastewater Criteria'!$C$36)</f>
        <v>33.25838444372399</v>
      </c>
      <c r="R22" s="34">
        <f>(('Project W Pop Connected'!S22*'Water Demand Criteria'!V$17/1000)*('Wastewater Criteria'!$C$8+'Wastewater Criteria'!$C$10*'Water Demand Criteria'!V$56+'Water Demand Criteria'!V$37*'Wastewater Criteria'!$C$11)*(1+'Wastewater Criteria'!$C$23)+('Project Tankers'!R22*'Wastewater Criteria'!$C$9))*(1+'Wastewater Criteria'!$C$36)</f>
        <v>34.150720495000982</v>
      </c>
      <c r="S22" s="34">
        <f>(('Project W Pop Connected'!T22*'Water Demand Criteria'!W$17/1000)*('Wastewater Criteria'!$C$8+'Wastewater Criteria'!$C$10*'Water Demand Criteria'!W$56+'Water Demand Criteria'!W$37*'Wastewater Criteria'!$C$11)*(1+'Wastewater Criteria'!$C$23)+('Project Tankers'!S22*'Wastewater Criteria'!$C$9))*(1+'Wastewater Criteria'!$C$36)</f>
        <v>34.893526519399728</v>
      </c>
      <c r="T22" s="34">
        <f>(('Project W Pop Connected'!U22*'Water Demand Criteria'!X$17/1000)*('Wastewater Criteria'!$C$8+'Wastewater Criteria'!$C$10*'Water Demand Criteria'!X$56+'Water Demand Criteria'!X$37*'Wastewater Criteria'!$C$11)*(1+'Wastewater Criteria'!$C$23)+('Project Tankers'!T22*'Wastewater Criteria'!$C$9))*(1+'Wastewater Criteria'!$C$36)</f>
        <v>35.559172534740881</v>
      </c>
      <c r="U22" s="34">
        <f>(('Project W Pop Connected'!V22*'Water Demand Criteria'!Y$17/1000)*('Wastewater Criteria'!$C$8+'Wastewater Criteria'!$C$10*'Water Demand Criteria'!Y$56+'Water Demand Criteria'!Y$37*'Wastewater Criteria'!$C$11)*(1+'Wastewater Criteria'!$C$23)+('Project Tankers'!U22*'Wastewater Criteria'!$C$9))*(1+'Wastewater Criteria'!$C$36)</f>
        <v>36.255208055296023</v>
      </c>
      <c r="V22" s="34">
        <f>(('Project W Pop Connected'!W22*'Water Demand Criteria'!Z$17/1000)*('Wastewater Criteria'!$C$8+'Wastewater Criteria'!$C$10*'Water Demand Criteria'!Z$56+'Water Demand Criteria'!Z$37*'Wastewater Criteria'!$C$11)*(1+'Wastewater Criteria'!$C$23)+('Project Tankers'!V22*'Wastewater Criteria'!$C$9))*(1+'Wastewater Criteria'!$C$36)</f>
        <v>36.97291182813629</v>
      </c>
      <c r="W22" s="34">
        <f>(('Project W Pop Connected'!X22*'Water Demand Criteria'!AA$17/1000)*('Wastewater Criteria'!$C$8+'Wastewater Criteria'!$C$10*'Water Demand Criteria'!AA$56+'Water Demand Criteria'!AA$37*'Wastewater Criteria'!$C$11)*(1+'Wastewater Criteria'!$C$23)+('Project Tankers'!W22*'Wastewater Criteria'!$C$9))*(1+'Wastewater Criteria'!$C$36)</f>
        <v>37.713775028041695</v>
      </c>
      <c r="X22" s="34">
        <f>(('Project W Pop Connected'!Y22*'Water Demand Criteria'!AB$17/1000)*('Wastewater Criteria'!$C$8+'Wastewater Criteria'!$C$10*'Water Demand Criteria'!AB$56+'Water Demand Criteria'!AB$37*'Wastewater Criteria'!$C$11)*(1+'Wastewater Criteria'!$C$23)+('Project Tankers'!X22*'Wastewater Criteria'!$C$9))*(1+'Wastewater Criteria'!$C$36)</f>
        <v>38.479288829813669</v>
      </c>
      <c r="Y22" s="34">
        <f>(('Project W Pop Connected'!Z22*'Water Demand Criteria'!AC$17/1000)*('Wastewater Criteria'!$C$8+'Wastewater Criteria'!$C$10*'Water Demand Criteria'!AC$56+'Water Demand Criteria'!AC$37*'Wastewater Criteria'!$C$11)*(1+'Wastewater Criteria'!$C$23)+('Project Tankers'!Y22*'Wastewater Criteria'!$C$9))*(1+'Wastewater Criteria'!$C$36)</f>
        <v>39.270944409411676</v>
      </c>
      <c r="Z22" s="34">
        <f>(('Project W Pop Connected'!AA22*'Water Demand Criteria'!AD$17/1000)*('Wastewater Criteria'!$C$8+'Wastewater Criteria'!$C$10*'Water Demand Criteria'!AD$56+'Water Demand Criteria'!AD$37*'Wastewater Criteria'!$C$11)*(1+'Wastewater Criteria'!$C$23)+('Project Tankers'!Z22*'Wastewater Criteria'!$C$9))*(1+'Wastewater Criteria'!$C$36)</f>
        <v>40.090232940832188</v>
      </c>
      <c r="AA22" s="34">
        <f>(('Project W Pop Connected'!AB22*'Water Demand Criteria'!AE$17/1000)*('Wastewater Criteria'!$C$8+'Wastewater Criteria'!$C$10*'Water Demand Criteria'!AE$56+'Water Demand Criteria'!AE$37*'Wastewater Criteria'!$C$11)*(1+'Wastewater Criteria'!$C$23)+('Project Tankers'!AA22*'Wastewater Criteria'!$C$9))*(1+'Wastewater Criteria'!$C$36)</f>
        <v>40.938645601307861</v>
      </c>
      <c r="AB22" s="34">
        <f>(('Project W Pop Connected'!AC22*'Water Demand Criteria'!AF$17/1000)*('Wastewater Criteria'!$C$8+'Wastewater Criteria'!$C$10*'Water Demand Criteria'!AF$56+'Water Demand Criteria'!AF$37*'Wastewater Criteria'!$C$11)*(1+'Wastewater Criteria'!$C$23)+('Project Tankers'!AB22*'Wastewater Criteria'!$C$9))*(1+'Wastewater Criteria'!$C$36)</f>
        <v>41.817673563713925</v>
      </c>
      <c r="AC22" s="34">
        <f>(('Project W Pop Connected'!AD22*'Water Demand Criteria'!AG$17/1000)*('Wastewater Criteria'!$C$8+'Wastewater Criteria'!$C$10*'Water Demand Criteria'!AG$56+'Water Demand Criteria'!AG$37*'Wastewater Criteria'!$C$11)*(1+'Wastewater Criteria'!$C$23)+('Project Tankers'!AC22*'Wastewater Criteria'!$C$9))*(1+'Wastewater Criteria'!$C$36)</f>
        <v>42.728808006031294</v>
      </c>
      <c r="AD22" s="44">
        <f>(('Project W Pop Connected'!AE22*'Water Demand Criteria'!AH$17/1000)*('Wastewater Criteria'!$C$8+'Wastewater Criteria'!$C$10*'Water Demand Criteria'!AH$56+'Water Demand Criteria'!AH$37*'Wastewater Criteria'!$C$11)*(1+'Wastewater Criteria'!$C$23)+('Project Tankers'!AD22*'Wastewater Criteria'!$C$9))*(1+'Wastewater Criteria'!$C$36)</f>
        <v>44.218520791100104</v>
      </c>
      <c r="AE22" s="44">
        <f>(('Project W Pop Connected'!AF22*'Water Demand Criteria'!AI$17/1000)*('Wastewater Criteria'!$C$8+'Wastewater Criteria'!$C$10*'Water Demand Criteria'!AI$56+'Water Demand Criteria'!AI$37*'Wastewater Criteria'!$C$11)*(1+'Wastewater Criteria'!$C$23)+('Project Tankers'!AE22*'Wastewater Criteria'!$C$9))*(1+'Wastewater Criteria'!$C$36)</f>
        <v>45.766626223223874</v>
      </c>
      <c r="AF22" s="44">
        <f>(('Project W Pop Connected'!AG22*'Water Demand Criteria'!AJ$17/1000)*('Wastewater Criteria'!$C$8+'Wastewater Criteria'!$C$10*'Water Demand Criteria'!AJ$56+'Water Demand Criteria'!AJ$37*'Wastewater Criteria'!$C$11)*(1+'Wastewater Criteria'!$C$23)+('Project Tankers'!AF22*'Wastewater Criteria'!$C$9))*(1+'Wastewater Criteria'!$C$36)</f>
        <v>47.37578402428646</v>
      </c>
      <c r="AG22" s="44">
        <f>(('Project W Pop Connected'!AH22*'Water Demand Criteria'!AK$17/1000)*('Wastewater Criteria'!$C$8+'Wastewater Criteria'!$C$10*'Water Demand Criteria'!AK$56+'Water Demand Criteria'!AK$37*'Wastewater Criteria'!$C$11)*(1+'Wastewater Criteria'!$C$23)+('Project Tankers'!AG22*'Wastewater Criteria'!$C$9))*(1+'Wastewater Criteria'!$C$36)</f>
        <v>49.048785084445726</v>
      </c>
      <c r="AH22" s="44">
        <f>(('Project W Pop Connected'!AI22*'Water Demand Criteria'!AL$17/1000)*('Wastewater Criteria'!$C$8+'Wastewater Criteria'!$C$10*'Water Demand Criteria'!AL$56+'Water Demand Criteria'!AL$37*'Wastewater Criteria'!$C$11)*(1+'Wastewater Criteria'!$C$23)+('Project Tankers'!AH22*'Wastewater Criteria'!$C$9))*(1+'Wastewater Criteria'!$C$36)</f>
        <v>50.788558512345141</v>
      </c>
      <c r="AI22" s="44">
        <f>(('Project W Pop Connected'!AJ22*'Water Demand Criteria'!AM$17/1000)*('Wastewater Criteria'!$C$8+'Wastewater Criteria'!$C$10*'Water Demand Criteria'!AM$56+'Water Demand Criteria'!AM$37*'Wastewater Criteria'!$C$11)*(1+'Wastewater Criteria'!$C$23)+('Project Tankers'!AI22*'Wastewater Criteria'!$C$9))*(1+'Wastewater Criteria'!$C$36)</f>
        <v>52.598179088308804</v>
      </c>
      <c r="AJ22" s="44">
        <f>(('Project W Pop Connected'!AK22*'Water Demand Criteria'!AN$17/1000)*('Wastewater Criteria'!$C$8+'Wastewater Criteria'!$C$10*'Water Demand Criteria'!AN$56+'Water Demand Criteria'!AN$37*'Wastewater Criteria'!$C$11)*(1+'Wastewater Criteria'!$C$23)+('Project Tankers'!AJ22*'Wastewater Criteria'!$C$9))*(1+'Wastewater Criteria'!$C$36)</f>
        <v>54.480875144996681</v>
      </c>
      <c r="AK22" s="44">
        <f>(('Project W Pop Connected'!AL22*'Water Demand Criteria'!AO$17/1000)*('Wastewater Criteria'!$C$8+'Wastewater Criteria'!$C$10*'Water Demand Criteria'!AO$56+'Water Demand Criteria'!AO$37*'Wastewater Criteria'!$C$11)*(1+'Wastewater Criteria'!$C$23)+('Project Tankers'!AK22*'Wastewater Criteria'!$C$9))*(1+'Wastewater Criteria'!$C$36)</f>
        <v>56.429662311102788</v>
      </c>
      <c r="AL22" s="44">
        <f>(('Project W Pop Connected'!AM22*'Water Demand Criteria'!AP$17/1000)*('Wastewater Criteria'!$C$8+'Wastewater Criteria'!$C$10*'Water Demand Criteria'!AP$56+'Water Demand Criteria'!AP$37*'Wastewater Criteria'!$C$11)*(1+'Wastewater Criteria'!$C$23)+('Project Tankers'!AL22*'Wastewater Criteria'!$C$9))*(1+'Wastewater Criteria'!$C$36)</f>
        <v>58.440610277098443</v>
      </c>
      <c r="AM22" s="44">
        <f>(('Project W Pop Connected'!AN22*'Water Demand Criteria'!AQ$17/1000)*('Wastewater Criteria'!$C$8+'Wastewater Criteria'!$C$10*'Water Demand Criteria'!AQ$56+'Water Demand Criteria'!AQ$37*'Wastewater Criteria'!$C$11)*(1+'Wastewater Criteria'!$C$23)+('Project Tankers'!AM22*'Wastewater Criteria'!$C$9))*(1+'Wastewater Criteria'!$C$36)</f>
        <v>60.515580259970697</v>
      </c>
      <c r="AN22" s="44">
        <f>(('Project W Pop Connected'!AO22*'Water Demand Criteria'!AR$17/1000)*('Wastewater Criteria'!$C$8+'Wastewater Criteria'!$C$10*'Water Demand Criteria'!AR$56+'Water Demand Criteria'!AR$37*'Wastewater Criteria'!$C$11)*(1+'Wastewater Criteria'!$C$23)+('Project Tankers'!AN22*'Wastewater Criteria'!$C$9))*(1+'Wastewater Criteria'!$C$36)</f>
        <v>62.656487010501223</v>
      </c>
      <c r="AO22" s="44">
        <f>(('Project W Pop Connected'!AP22*'Water Demand Criteria'!AS$17/1000)*('Wastewater Criteria'!$C$8+'Wastewater Criteria'!$C$10*'Water Demand Criteria'!AS$56+'Water Demand Criteria'!AS$37*'Wastewater Criteria'!$C$11)*(1+'Wastewater Criteria'!$C$23)+('Project Tankers'!AO22*'Wastewater Criteria'!$C$9))*(1+'Wastewater Criteria'!$C$36)</f>
        <v>64.865300310827465</v>
      </c>
      <c r="AP22" s="44">
        <f>(('Project W Pop Connected'!AQ22*'Water Demand Criteria'!AT$17/1000)*('Wastewater Criteria'!$C$8+'Wastewater Criteria'!$C$10*'Water Demand Criteria'!AT$56+'Water Demand Criteria'!AT$37*'Wastewater Criteria'!$C$11)*(1+'Wastewater Criteria'!$C$23)+('Project Tankers'!AP22*'Wastewater Criteria'!$C$9))*(1+'Wastewater Criteria'!$C$36)</f>
        <v>67.144046513051322</v>
      </c>
      <c r="AQ22" s="44">
        <f>(('Project W Pop Connected'!AR22*'Water Demand Criteria'!AU$17/1000)*('Wastewater Criteria'!$C$8+'Wastewater Criteria'!$C$10*'Water Demand Criteria'!AU$56+'Water Demand Criteria'!AU$37*'Wastewater Criteria'!$C$11)*(1+'Wastewater Criteria'!$C$23)+('Project Tankers'!AQ22*'Wastewater Criteria'!$C$9))*(1+'Wastewater Criteria'!$C$36)</f>
        <v>69.494810120002882</v>
      </c>
      <c r="AR22" s="44">
        <f>(('Project W Pop Connected'!AS22*'Water Demand Criteria'!AV$17/1000)*('Wastewater Criteria'!$C$8+'Wastewater Criteria'!$C$10*'Water Demand Criteria'!AV$56+'Water Demand Criteria'!AV$37*'Wastewater Criteria'!$C$11)*(1+'Wastewater Criteria'!$C$23)+('Project Tankers'!AR22*'Wastewater Criteria'!$C$9))*(1+'Wastewater Criteria'!$C$36)</f>
        <v>71.919735409296607</v>
      </c>
      <c r="AS22" s="44">
        <f>(('Project W Pop Connected'!AT22*'Water Demand Criteria'!AW$17/1000)*('Wastewater Criteria'!$C$8+'Wastewater Criteria'!$C$10*'Water Demand Criteria'!AW$56+'Water Demand Criteria'!AW$37*'Wastewater Criteria'!$C$11)*(1+'Wastewater Criteria'!$C$23)+('Project Tankers'!AS22*'Wastewater Criteria'!$C$9))*(1+'Wastewater Criteria'!$C$36)</f>
        <v>74.421028101847298</v>
      </c>
      <c r="AT22" s="44">
        <f>(('Project W Pop Connected'!AU22*'Water Demand Criteria'!AX$17/1000)*('Wastewater Criteria'!$C$8+'Wastewater Criteria'!$C$10*'Water Demand Criteria'!AX$56+'Water Demand Criteria'!AX$37*'Wastewater Criteria'!$C$11)*(1+'Wastewater Criteria'!$C$23)+('Project Tankers'!AT22*'Wastewater Criteria'!$C$9))*(1+'Wastewater Criteria'!$C$36)</f>
        <v>77.000957076044685</v>
      </c>
      <c r="AU22" s="44">
        <f>(('Project W Pop Connected'!AV22*'Water Demand Criteria'!AY$17/1000)*('Wastewater Criteria'!$C$8+'Wastewater Criteria'!$C$10*'Water Demand Criteria'!AY$56+'Water Demand Criteria'!AY$37*'Wastewater Criteria'!$C$11)*(1+'Wastewater Criteria'!$C$23)+('Project Tankers'!AU22*'Wastewater Criteria'!$C$9))*(1+'Wastewater Criteria'!$C$36)</f>
        <v>79.661856128816837</v>
      </c>
      <c r="AV22" s="44">
        <f>(('Project W Pop Connected'!AW22*'Water Demand Criteria'!AZ$17/1000)*('Wastewater Criteria'!$C$8+'Wastewater Criteria'!$C$10*'Water Demand Criteria'!AZ$56+'Water Demand Criteria'!AZ$37*'Wastewater Criteria'!$C$11)*(1+'Wastewater Criteria'!$C$23)+('Project Tankers'!AV22*'Wastewater Criteria'!$C$9))*(1+'Wastewater Criteria'!$C$36)</f>
        <v>82.406125784846296</v>
      </c>
      <c r="AW22" s="44">
        <f>(('Project W Pop Connected'!AX22*'Water Demand Criteria'!BA$17/1000)*('Wastewater Criteria'!$C$8+'Wastewater Criteria'!$C$10*'Water Demand Criteria'!BA$56+'Water Demand Criteria'!BA$37*'Wastewater Criteria'!$C$11)*(1+'Wastewater Criteria'!$C$23)+('Project Tankers'!AW22*'Wastewater Criteria'!$C$9))*(1+'Wastewater Criteria'!$C$36)</f>
        <v>85.236235155234951</v>
      </c>
      <c r="AX22" s="44">
        <f>(('Project W Pop Connected'!AY22*'Water Demand Criteria'!BB$17/1000)*('Wastewater Criteria'!$C$8+'Wastewater Criteria'!$C$10*'Water Demand Criteria'!BB$56+'Water Demand Criteria'!BB$37*'Wastewater Criteria'!$C$11)*(1+'Wastewater Criteria'!$C$23)+('Project Tankers'!AX22*'Wastewater Criteria'!$C$9))*(1+'Wastewater Criteria'!$C$36)</f>
        <v>87.281904798960596</v>
      </c>
      <c r="AY22" s="44">
        <f>(('Project W Pop Connected'!AZ22*'Water Demand Criteria'!BC$17/1000)*('Wastewater Criteria'!$C$8+'Wastewater Criteria'!$C$10*'Water Demand Criteria'!BC$56+'Water Demand Criteria'!BC$37*'Wastewater Criteria'!$C$11)*(1+'Wastewater Criteria'!$C$23)+('Project Tankers'!AY22*'Wastewater Criteria'!$C$9))*(1+'Wastewater Criteria'!$C$36)</f>
        <v>89.376670514135654</v>
      </c>
      <c r="AZ22" s="44">
        <f>(('Project W Pop Connected'!BA22*'Water Demand Criteria'!BD$17/1000)*('Wastewater Criteria'!$C$8+'Wastewater Criteria'!$C$10*'Water Demand Criteria'!BD$56+'Water Demand Criteria'!BD$37*'Wastewater Criteria'!$C$11)*(1+'Wastewater Criteria'!$C$23)+('Project Tankers'!AZ22*'Wastewater Criteria'!$C$9))*(1+'Wastewater Criteria'!$C$36)</f>
        <v>91.521710606474912</v>
      </c>
      <c r="BA22" s="44">
        <f>(('Project W Pop Connected'!BB22*'Water Demand Criteria'!BE$17/1000)*('Wastewater Criteria'!$C$8+'Wastewater Criteria'!$C$10*'Water Demand Criteria'!BE$56+'Water Demand Criteria'!BE$37*'Wastewater Criteria'!$C$11)*(1+'Wastewater Criteria'!$C$23)+('Project Tankers'!BA22*'Wastewater Criteria'!$C$9))*(1+'Wastewater Criteria'!$C$36)</f>
        <v>93.718231661030316</v>
      </c>
      <c r="BB22" s="44">
        <f>(('Project W Pop Connected'!BC22*'Water Demand Criteria'!BF$17/1000)*('Wastewater Criteria'!$C$8+'Wastewater Criteria'!$C$10*'Water Demand Criteria'!BF$56+'Water Demand Criteria'!BF$37*'Wastewater Criteria'!$C$11)*(1+'Wastewater Criteria'!$C$23)+('Project Tankers'!BB22*'Wastewater Criteria'!$C$9))*(1+'Wastewater Criteria'!$C$36)</f>
        <v>95.96746922089504</v>
      </c>
      <c r="BC22" s="44">
        <f>(('Project W Pop Connected'!BD22*'Water Demand Criteria'!BG$17/1000)*('Wastewater Criteria'!$C$8+'Wastewater Criteria'!$C$10*'Water Demand Criteria'!BG$56+'Water Demand Criteria'!BG$37*'Wastewater Criteria'!$C$11)*(1+'Wastewater Criteria'!$C$23)+('Project Tankers'!BC22*'Wastewater Criteria'!$C$9))*(1+'Wastewater Criteria'!$C$36)</f>
        <v>98.270688482196519</v>
      </c>
      <c r="BD22" s="44">
        <f>(('Project W Pop Connected'!BE22*'Water Demand Criteria'!BH$17/1000)*('Wastewater Criteria'!$C$8+'Wastewater Criteria'!$C$10*'Water Demand Criteria'!BH$56+'Water Demand Criteria'!BH$37*'Wastewater Criteria'!$C$11)*(1+'Wastewater Criteria'!$C$23)+('Project Tankers'!BD22*'Wastewater Criteria'!$C$9))*(1+'Wastewater Criteria'!$C$36)</f>
        <v>100.62918500576926</v>
      </c>
      <c r="BE22" s="44">
        <f>(('Project W Pop Connected'!BF22*'Water Demand Criteria'!BI$17/1000)*('Wastewater Criteria'!$C$8+'Wastewater Criteria'!$C$10*'Water Demand Criteria'!BI$56+'Water Demand Criteria'!BI$37*'Wastewater Criteria'!$C$11)*(1+'Wastewater Criteria'!$C$23)+('Project Tankers'!BE22*'Wastewater Criteria'!$C$9))*(1+'Wastewater Criteria'!$C$36)</f>
        <v>103.0442854459077</v>
      </c>
      <c r="BF22" s="44">
        <f>(('Project W Pop Connected'!BG22*'Water Demand Criteria'!BJ$17/1000)*('Wastewater Criteria'!$C$8+'Wastewater Criteria'!$C$10*'Water Demand Criteria'!BJ$56+'Water Demand Criteria'!BJ$37*'Wastewater Criteria'!$C$11)*(1+'Wastewater Criteria'!$C$23)+('Project Tankers'!BF22*'Wastewater Criteria'!$C$9))*(1+'Wastewater Criteria'!$C$36)</f>
        <v>105.5173482966095</v>
      </c>
      <c r="BG22" s="44">
        <f>(('Project W Pop Connected'!BH22*'Water Demand Criteria'!BK$17/1000)*('Wastewater Criteria'!$C$8+'Wastewater Criteria'!$C$10*'Water Demand Criteria'!BK$56+'Water Demand Criteria'!BK$37*'Wastewater Criteria'!$C$11)*(1+'Wastewater Criteria'!$C$23)+('Project Tankers'!BG22*'Wastewater Criteria'!$C$9))*(1+'Wastewater Criteria'!$C$36)</f>
        <v>108.04976465572811</v>
      </c>
      <c r="BH22" s="44">
        <f>(('Project W Pop Connected'!BI22*'Water Demand Criteria'!BL$17/1000)*('Wastewater Criteria'!$C$8+'Wastewater Criteria'!$C$10*'Water Demand Criteria'!BL$56+'Water Demand Criteria'!BL$37*'Wastewater Criteria'!$C$11)*(1+'Wastewater Criteria'!$C$23)+('Project Tankers'!BH22*'Wastewater Criteria'!$C$9))*(1+'Wastewater Criteria'!$C$36)</f>
        <v>110.64295900746559</v>
      </c>
      <c r="BI22" s="44">
        <f>(('Project W Pop Connected'!BJ22*'Water Demand Criteria'!BM$17/1000)*('Wastewater Criteria'!$C$8+'Wastewater Criteria'!$C$10*'Water Demand Criteria'!BM$56+'Water Demand Criteria'!BM$37*'Wastewater Criteria'!$C$11)*(1+'Wastewater Criteria'!$C$23)+('Project Tankers'!BI22*'Wastewater Criteria'!$C$9))*(1+'Wastewater Criteria'!$C$36)</f>
        <v>113.29839002364479</v>
      </c>
      <c r="BJ22" s="44">
        <f>(('Project W Pop Connected'!BK22*'Water Demand Criteria'!BN$17/1000)*('Wastewater Criteria'!$C$8+'Wastewater Criteria'!$C$10*'Water Demand Criteria'!BN$56+'Water Demand Criteria'!BN$37*'Wastewater Criteria'!$C$11)*(1+'Wastewater Criteria'!$C$23)+('Project Tankers'!BJ22*'Wastewater Criteria'!$C$9))*(1+'Wastewater Criteria'!$C$36)</f>
        <v>116.01755138421223</v>
      </c>
      <c r="BK22" s="44">
        <f>(('Project W Pop Connected'!BL22*'Water Demand Criteria'!BO$17/1000)*('Wastewater Criteria'!$C$8+'Wastewater Criteria'!$C$10*'Water Demand Criteria'!BO$56+'Water Demand Criteria'!BO$37*'Wastewater Criteria'!$C$11)*(1+'Wastewater Criteria'!$C$23)+('Project Tankers'!BK22*'Wastewater Criteria'!$C$9))*(1+'Wastewater Criteria'!$C$36)</f>
        <v>118.80197261743334</v>
      </c>
      <c r="BL22" s="44">
        <f>(('Project W Pop Connected'!BM22*'Water Demand Criteria'!BP$17/1000)*('Wastewater Criteria'!$C$8+'Wastewater Criteria'!$C$10*'Water Demand Criteria'!BP$56+'Water Demand Criteria'!BP$37*'Wastewater Criteria'!$C$11)*(1+'Wastewater Criteria'!$C$23)+('Project Tankers'!BL22*'Wastewater Criteria'!$C$9))*(1+'Wastewater Criteria'!$C$36)</f>
        <v>121.65321996025175</v>
      </c>
      <c r="BM22" s="44">
        <f>(('Project W Pop Connected'!BN22*'Water Demand Criteria'!BQ$17/1000)*('Wastewater Criteria'!$C$8+'Wastewater Criteria'!$C$10*'Water Demand Criteria'!BQ$56+'Water Demand Criteria'!BQ$37*'Wastewater Criteria'!$C$11)*(1+'Wastewater Criteria'!$C$23)+('Project Tankers'!BM22*'Wastewater Criteria'!$C$9))*(1+'Wastewater Criteria'!$C$36)</f>
        <v>124.57289723929779</v>
      </c>
      <c r="BN22" s="44">
        <f>(('Project W Pop Connected'!BO22*'Water Demand Criteria'!BR$17/1000)*('Wastewater Criteria'!$C$8+'Wastewater Criteria'!$C$10*'Water Demand Criteria'!BR$56+'Water Demand Criteria'!BR$37*'Wastewater Criteria'!$C$11)*(1+'Wastewater Criteria'!$C$23)+('Project Tankers'!BN22*'Wastewater Criteria'!$C$9))*(1+'Wastewater Criteria'!$C$36)</f>
        <v>127.56264677304094</v>
      </c>
      <c r="BO22" s="44">
        <f>(('Project W Pop Connected'!BP22*'Water Demand Criteria'!BS$17/1000)*('Wastewater Criteria'!$C$8+'Wastewater Criteria'!$C$10*'Water Demand Criteria'!BS$56+'Water Demand Criteria'!BS$37*'Wastewater Criteria'!$C$11)*(1+'Wastewater Criteria'!$C$23)+('Project Tankers'!BO22*'Wastewater Criteria'!$C$9))*(1+'Wastewater Criteria'!$C$36)</f>
        <v>130.62415029559392</v>
      </c>
      <c r="BP22" s="44">
        <f>(('Project W Pop Connected'!BQ22*'Water Demand Criteria'!BT$17/1000)*('Wastewater Criteria'!$C$8+'Wastewater Criteria'!$C$10*'Water Demand Criteria'!BT$56+'Water Demand Criteria'!BT$37*'Wastewater Criteria'!$C$11)*(1+'Wastewater Criteria'!$C$23)+('Project Tankers'!BP22*'Wastewater Criteria'!$C$9))*(1+'Wastewater Criteria'!$C$36)</f>
        <v>133.75912990268816</v>
      </c>
      <c r="BQ22" s="44">
        <f>(('Project W Pop Connected'!BR22*'Water Demand Criteria'!BU$17/1000)*('Wastewater Criteria'!$C$8+'Wastewater Criteria'!$C$10*'Water Demand Criteria'!BU$56+'Water Demand Criteria'!BU$37*'Wastewater Criteria'!$C$11)*(1+'Wastewater Criteria'!$C$23)+('Project Tankers'!BQ22*'Wastewater Criteria'!$C$9))*(1+'Wastewater Criteria'!$C$36)</f>
        <v>136.96934902035269</v>
      </c>
      <c r="BR22" s="44">
        <f>(('Project W Pop Connected'!BS22*'Water Demand Criteria'!BV$17/1000)*('Wastewater Criteria'!$C$8+'Wastewater Criteria'!$C$10*'Water Demand Criteria'!BV$56+'Water Demand Criteria'!BV$37*'Wastewater Criteria'!$C$11)*(1+'Wastewater Criteria'!$C$23)+('Project Tankers'!BR22*'Wastewater Criteria'!$C$9))*(1+'Wastewater Criteria'!$C$36)</f>
        <v>140.25661339684115</v>
      </c>
      <c r="BS22" s="44">
        <f>(('Project W Pop Connected'!BT22*'Water Demand Criteria'!BW$17/1000)*('Wastewater Criteria'!$C$8+'Wastewater Criteria'!$C$10*'Water Demand Criteria'!BW$56+'Water Demand Criteria'!BW$37*'Wastewater Criteria'!$C$11)*(1+'Wastewater Criteria'!$C$23)+('Project Tankers'!BS22*'Wastewater Criteria'!$C$9))*(1+'Wastewater Criteria'!$C$36)</f>
        <v>143.62277211836536</v>
      </c>
      <c r="BT22" s="44">
        <f>(('Project W Pop Connected'!BU22*'Water Demand Criteria'!BX$17/1000)*('Wastewater Criteria'!$C$8+'Wastewater Criteria'!$C$10*'Water Demand Criteria'!BX$56+'Water Demand Criteria'!BX$37*'Wastewater Criteria'!$C$11)*(1+'Wastewater Criteria'!$C$23)+('Project Tankers'!BT22*'Wastewater Criteria'!$C$9))*(1+'Wastewater Criteria'!$C$36)</f>
        <v>147.0697186492061</v>
      </c>
      <c r="BU22" s="44">
        <f>(('Project W Pop Connected'!BV22*'Water Demand Criteria'!BY$17/1000)*('Wastewater Criteria'!$C$8+'Wastewater Criteria'!$C$10*'Water Demand Criteria'!BY$56+'Water Demand Criteria'!BY$37*'Wastewater Criteria'!$C$11)*(1+'Wastewater Criteria'!$C$23)+('Project Tankers'!BU22*'Wastewater Criteria'!$C$9))*(1+'Wastewater Criteria'!$C$36)</f>
        <v>150.5993918967871</v>
      </c>
      <c r="BV22" s="44">
        <f>(('Project W Pop Connected'!BW22*'Water Demand Criteria'!BZ$17/1000)*('Wastewater Criteria'!$C$8+'Wastewater Criteria'!$C$10*'Water Demand Criteria'!BZ$56+'Water Demand Criteria'!BZ$37*'Wastewater Criteria'!$C$11)*(1+'Wastewater Criteria'!$C$23)+('Project Tankers'!BV22*'Wastewater Criteria'!$C$9))*(1+'Wastewater Criteria'!$C$36)</f>
        <v>154.21377730230998</v>
      </c>
      <c r="BW22" s="44">
        <f>(('Project W Pop Connected'!BX22*'Water Demand Criteria'!CA$17/1000)*('Wastewater Criteria'!$C$8+'Wastewater Criteria'!$C$10*'Water Demand Criteria'!CA$56+'Water Demand Criteria'!CA$37*'Wastewater Criteria'!$C$11)*(1+'Wastewater Criteria'!$C$23)+('Project Tankers'!BW22*'Wastewater Criteria'!$C$9))*(1+'Wastewater Criteria'!$C$36)</f>
        <v>157.91490795756542</v>
      </c>
      <c r="BX22" s="44">
        <f>(('Project W Pop Connected'!BY22*'Water Demand Criteria'!CB$17/1000)*('Wastewater Criteria'!$C$8+'Wastewater Criteria'!$C$10*'Water Demand Criteria'!CB$56+'Water Demand Criteria'!CB$37*'Wastewater Criteria'!$C$11)*(1+'Wastewater Criteria'!$C$23)+('Project Tankers'!BX22*'Wastewater Criteria'!$C$9))*(1+'Wastewater Criteria'!$C$36)</f>
        <v>161.70486574854695</v>
      </c>
      <c r="BY22" s="44">
        <f>(('Project W Pop Connected'!BZ22*'Water Demand Criteria'!CC$17/1000)*('Wastewater Criteria'!$C$8+'Wastewater Criteria'!$C$10*'Water Demand Criteria'!CC$56+'Water Demand Criteria'!CC$37*'Wastewater Criteria'!$C$11)*(1+'Wastewater Criteria'!$C$23)+('Project Tankers'!BY22*'Wastewater Criteria'!$C$9))*(1+'Wastewater Criteria'!$C$36)</f>
        <v>165.58578252651211</v>
      </c>
      <c r="BZ22" s="44">
        <f>(('Project W Pop Connected'!CA22*'Water Demand Criteria'!CD$17/1000)*('Wastewater Criteria'!$C$8+'Wastewater Criteria'!$C$10*'Water Demand Criteria'!CD$56+'Water Demand Criteria'!CD$37*'Wastewater Criteria'!$C$11)*(1+'Wastewater Criteria'!$C$23)+('Project Tankers'!BZ22*'Wastewater Criteria'!$C$9))*(1+'Wastewater Criteria'!$C$36)</f>
        <v>169.55984130714845</v>
      </c>
      <c r="CA22" s="44">
        <f>(('Project W Pop Connected'!CB22*'Water Demand Criteria'!CE$17/1000)*('Wastewater Criteria'!$C$8+'Wastewater Criteria'!$C$10*'Water Demand Criteria'!CE$56+'Water Demand Criteria'!CE$37*'Wastewater Criteria'!$C$11)*(1+'Wastewater Criteria'!$C$23)+('Project Tankers'!CA22*'Wastewater Criteria'!$C$9))*(1+'Wastewater Criteria'!$C$36)</f>
        <v>173.62927749852</v>
      </c>
    </row>
    <row r="23" spans="1:79" x14ac:dyDescent="0.25">
      <c r="A23" s="33">
        <v>22</v>
      </c>
      <c r="B23" s="36" t="s">
        <v>52</v>
      </c>
      <c r="C23" s="34">
        <f>(('Project W Pop Connected'!D23*'Water Demand Criteria'!G$17/1000)*('Wastewater Criteria'!$C$8+'Wastewater Criteria'!$C$10*'Water Demand Criteria'!G$56+'Water Demand Criteria'!G$37*'Wastewater Criteria'!$C$11)*(1+'Wastewater Criteria'!$C$23)+('Project Tankers'!C23*'Wastewater Criteria'!$C$9))*(1+'Wastewater Criteria'!$C$36)</f>
        <v>177.42051028553263</v>
      </c>
      <c r="D23" s="34">
        <f>(('Project W Pop Connected'!E23*'Water Demand Criteria'!H$17/1000)*('Wastewater Criteria'!$C$8+'Wastewater Criteria'!$C$10*'Water Demand Criteria'!H$56+'Water Demand Criteria'!H$37*'Wastewater Criteria'!$C$11)*(1+'Wastewater Criteria'!$C$23)+('Project Tankers'!D23*'Wastewater Criteria'!$C$9))*(1+'Wastewater Criteria'!$C$36)</f>
        <v>191.29474725533743</v>
      </c>
      <c r="E23" s="34">
        <f>(('Project W Pop Connected'!F23*'Water Demand Criteria'!I$17/1000)*('Wastewater Criteria'!$C$8+'Wastewater Criteria'!$C$10*'Water Demand Criteria'!I$56+'Water Demand Criteria'!I$37*'Wastewater Criteria'!$C$11)*(1+'Wastewater Criteria'!$C$23)+('Project Tankers'!E23*'Wastewater Criteria'!$C$9))*(1+'Wastewater Criteria'!$C$36)</f>
        <v>206.42743975363359</v>
      </c>
      <c r="F23" s="34">
        <f>(('Project W Pop Connected'!G23*'Water Demand Criteria'!J$17/1000)*('Wastewater Criteria'!$C$8+'Wastewater Criteria'!$C$10*'Water Demand Criteria'!J$56+'Water Demand Criteria'!J$37*'Wastewater Criteria'!$C$11)*(1+'Wastewater Criteria'!$C$23)+('Project Tankers'!F23*'Wastewater Criteria'!$C$9))*(1+'Wastewater Criteria'!$C$36)</f>
        <v>222.1707789772818</v>
      </c>
      <c r="G23" s="34">
        <f>(('Project W Pop Connected'!H23*'Water Demand Criteria'!K$17/1000)*('Wastewater Criteria'!$C$8+'Wastewater Criteria'!$C$10*'Water Demand Criteria'!K$56+'Water Demand Criteria'!K$37*'Wastewater Criteria'!$C$11)*(1+'Wastewater Criteria'!$C$23)+('Project Tankers'!G23*'Wastewater Criteria'!$C$9))*(1+'Wastewater Criteria'!$C$36)</f>
        <v>238.55135831513323</v>
      </c>
      <c r="H23" s="34">
        <f>(('Project W Pop Connected'!I23*'Water Demand Criteria'!L$17/1000)*('Wastewater Criteria'!$C$8+'Wastewater Criteria'!$C$10*'Water Demand Criteria'!L$56+'Water Demand Criteria'!L$37*'Wastewater Criteria'!$C$11)*(1+'Wastewater Criteria'!$C$23)+('Project Tankers'!H23*'Wastewater Criteria'!$C$9))*(1+'Wastewater Criteria'!$C$36)</f>
        <v>255.58498570583254</v>
      </c>
      <c r="I23" s="34">
        <f>(('Project W Pop Connected'!J23*'Water Demand Criteria'!M$17/1000)*('Wastewater Criteria'!$C$8+'Wastewater Criteria'!$C$10*'Water Demand Criteria'!M$56+'Water Demand Criteria'!M$37*'Wastewater Criteria'!$C$11)*(1+'Wastewater Criteria'!$C$23)+('Project Tankers'!I23*'Wastewater Criteria'!$C$9))*(1+'Wastewater Criteria'!$C$36)</f>
        <v>272.11477799578432</v>
      </c>
      <c r="J23" s="34">
        <f>(('Project W Pop Connected'!K23*'Water Demand Criteria'!N$17/1000)*('Wastewater Criteria'!$C$8+'Wastewater Criteria'!$C$10*'Water Demand Criteria'!N$56+'Water Demand Criteria'!N$37*'Wastewater Criteria'!$C$11)*(1+'Wastewater Criteria'!$C$23)+('Project Tankers'!J23*'Wastewater Criteria'!$C$9))*(1+'Wastewater Criteria'!$C$36)</f>
        <v>290.40473755016791</v>
      </c>
      <c r="K23" s="34">
        <f>(('Project W Pop Connected'!L23*'Water Demand Criteria'!O$17/1000)*('Wastewater Criteria'!$C$8+'Wastewater Criteria'!$C$10*'Water Demand Criteria'!O$56+'Water Demand Criteria'!O$37*'Wastewater Criteria'!$C$11)*(1+'Wastewater Criteria'!$C$23)+('Project Tankers'!K23*'Wastewater Criteria'!$C$9))*(1+'Wastewater Criteria'!$C$36)</f>
        <v>309.40739423489094</v>
      </c>
      <c r="L23" s="34">
        <f>(('Project W Pop Connected'!M23*'Water Demand Criteria'!P$17/1000)*('Wastewater Criteria'!$C$8+'Wastewater Criteria'!$C$10*'Water Demand Criteria'!P$56+'Water Demand Criteria'!P$37*'Wastewater Criteria'!$C$11)*(1+'Wastewater Criteria'!$C$23)+('Project Tankers'!L23*'Wastewater Criteria'!$C$9))*(1+'Wastewater Criteria'!$C$36)</f>
        <v>325.052454650279</v>
      </c>
      <c r="M23" s="34">
        <f>(('Project W Pop Connected'!N23*'Water Demand Criteria'!Q$17/1000)*('Wastewater Criteria'!$C$8+'Wastewater Criteria'!$C$10*'Water Demand Criteria'!Q$56+'Water Demand Criteria'!Q$37*'Wastewater Criteria'!$C$11)*(1+'Wastewater Criteria'!$C$23)+('Project Tankers'!M23*'Wastewater Criteria'!$C$9))*(1+'Wastewater Criteria'!$C$36)</f>
        <v>349.71584885108672</v>
      </c>
      <c r="N23" s="34">
        <f>(('Project W Pop Connected'!O23*'Water Demand Criteria'!R$17/1000)*('Wastewater Criteria'!$C$8+'Wastewater Criteria'!$C$10*'Water Demand Criteria'!R$56+'Water Demand Criteria'!R$37*'Wastewater Criteria'!$C$11)*(1+'Wastewater Criteria'!$C$23)+('Project Tankers'!N23*'Wastewater Criteria'!$C$9))*(1+'Wastewater Criteria'!$C$36)</f>
        <v>369.37205534665821</v>
      </c>
      <c r="O23" s="34">
        <f>(('Project W Pop Connected'!P23*'Water Demand Criteria'!S$17/1000)*('Wastewater Criteria'!$C$8+'Wastewater Criteria'!$C$10*'Water Demand Criteria'!S$56+'Water Demand Criteria'!S$37*'Wastewater Criteria'!$C$11)*(1+'Wastewater Criteria'!$C$23)+('Project Tankers'!O23*'Wastewater Criteria'!$C$9))*(1+'Wastewater Criteria'!$C$36)</f>
        <v>378.91444212585702</v>
      </c>
      <c r="P23" s="34">
        <f>(('Project W Pop Connected'!Q23*'Water Demand Criteria'!T$17/1000)*('Wastewater Criteria'!$C$8+'Wastewater Criteria'!$C$10*'Water Demand Criteria'!T$56+'Water Demand Criteria'!T$37*'Wastewater Criteria'!$C$11)*(1+'Wastewater Criteria'!$C$23)+('Project Tankers'!P23*'Wastewater Criteria'!$C$9))*(1+'Wastewater Criteria'!$C$36)</f>
        <v>388.83313976553717</v>
      </c>
      <c r="Q23" s="34">
        <f>(('Project W Pop Connected'!R23*'Water Demand Criteria'!U$17/1000)*('Wastewater Criteria'!$C$8+'Wastewater Criteria'!$C$10*'Water Demand Criteria'!U$56+'Water Demand Criteria'!U$37*'Wastewater Criteria'!$C$11)*(1+'Wastewater Criteria'!$C$23)+('Project Tankers'!Q23*'Wastewater Criteria'!$C$9))*(1+'Wastewater Criteria'!$C$36)</f>
        <v>399.1006133246878</v>
      </c>
      <c r="R23" s="34">
        <f>(('Project W Pop Connected'!S23*'Water Demand Criteria'!V$17/1000)*('Wastewater Criteria'!$C$8+'Wastewater Criteria'!$C$10*'Water Demand Criteria'!V$56+'Water Demand Criteria'!V$37*'Wastewater Criteria'!$C$11)*(1+'Wastewater Criteria'!$C$23)+('Project Tankers'!R23*'Wastewater Criteria'!$C$9))*(1+'Wastewater Criteria'!$C$36)</f>
        <v>409.80864594001196</v>
      </c>
      <c r="S23" s="34">
        <f>(('Project W Pop Connected'!T23*'Water Demand Criteria'!W$17/1000)*('Wastewater Criteria'!$C$8+'Wastewater Criteria'!$C$10*'Water Demand Criteria'!W$56+'Water Demand Criteria'!W$37*'Wastewater Criteria'!$C$11)*(1+'Wastewater Criteria'!$C$23)+('Project Tankers'!S23*'Wastewater Criteria'!$C$9))*(1+'Wastewater Criteria'!$C$36)</f>
        <v>418.72231823279657</v>
      </c>
      <c r="T23" s="34">
        <f>(('Project W Pop Connected'!U23*'Water Demand Criteria'!X$17/1000)*('Wastewater Criteria'!$C$8+'Wastewater Criteria'!$C$10*'Water Demand Criteria'!X$56+'Water Demand Criteria'!X$37*'Wastewater Criteria'!$C$11)*(1+'Wastewater Criteria'!$C$23)+('Project Tankers'!T23*'Wastewater Criteria'!$C$9))*(1+'Wastewater Criteria'!$C$36)</f>
        <v>426.71007041689057</v>
      </c>
      <c r="U23" s="34">
        <f>(('Project W Pop Connected'!V23*'Water Demand Criteria'!Y$17/1000)*('Wastewater Criteria'!$C$8+'Wastewater Criteria'!$C$10*'Water Demand Criteria'!Y$56+'Water Demand Criteria'!Y$37*'Wastewater Criteria'!$C$11)*(1+'Wastewater Criteria'!$C$23)+('Project Tankers'!U23*'Wastewater Criteria'!$C$9))*(1+'Wastewater Criteria'!$C$36)</f>
        <v>435.06249666355222</v>
      </c>
      <c r="V23" s="34">
        <f>(('Project W Pop Connected'!W23*'Water Demand Criteria'!Z$17/1000)*('Wastewater Criteria'!$C$8+'Wastewater Criteria'!$C$10*'Water Demand Criteria'!Z$56+'Water Demand Criteria'!Z$37*'Wastewater Criteria'!$C$11)*(1+'Wastewater Criteria'!$C$23)+('Project Tankers'!V23*'Wastewater Criteria'!$C$9))*(1+'Wastewater Criteria'!$C$36)</f>
        <v>443.67494193763559</v>
      </c>
      <c r="W23" s="34">
        <f>(('Project W Pop Connected'!X23*'Water Demand Criteria'!AA$17/1000)*('Wastewater Criteria'!$C$8+'Wastewater Criteria'!$C$10*'Water Demand Criteria'!AA$56+'Water Demand Criteria'!AA$37*'Wastewater Criteria'!$C$11)*(1+'Wastewater Criteria'!$C$23)+('Project Tankers'!W23*'Wastewater Criteria'!$C$9))*(1+'Wastewater Criteria'!$C$36)</f>
        <v>452.56530033650046</v>
      </c>
      <c r="X23" s="34">
        <f>(('Project W Pop Connected'!Y23*'Water Demand Criteria'!AB$17/1000)*('Wastewater Criteria'!$C$8+'Wastewater Criteria'!$C$10*'Water Demand Criteria'!AB$56+'Water Demand Criteria'!AB$37*'Wastewater Criteria'!$C$11)*(1+'Wastewater Criteria'!$C$23)+('Project Tankers'!X23*'Wastewater Criteria'!$C$9))*(1+'Wastewater Criteria'!$C$36)</f>
        <v>461.75146595776403</v>
      </c>
      <c r="Y23" s="34">
        <f>(('Project W Pop Connected'!Z23*'Water Demand Criteria'!AC$17/1000)*('Wastewater Criteria'!$C$8+'Wastewater Criteria'!$C$10*'Water Demand Criteria'!AC$56+'Water Demand Criteria'!AC$37*'Wastewater Criteria'!$C$11)*(1+'Wastewater Criteria'!$C$23)+('Project Tankers'!Y23*'Wastewater Criteria'!$C$9))*(1+'Wastewater Criteria'!$C$36)</f>
        <v>471.25133291294014</v>
      </c>
      <c r="Z23" s="34">
        <f>(('Project W Pop Connected'!AA23*'Water Demand Criteria'!AD$17/1000)*('Wastewater Criteria'!$C$8+'Wastewater Criteria'!$C$10*'Water Demand Criteria'!AD$56+'Water Demand Criteria'!AD$37*'Wastewater Criteria'!$C$11)*(1+'Wastewater Criteria'!$C$23)+('Project Tankers'!Z23*'Wastewater Criteria'!$C$9))*(1+'Wastewater Criteria'!$C$36)</f>
        <v>481.08279528998617</v>
      </c>
      <c r="AA23" s="34">
        <f>(('Project W Pop Connected'!AB23*'Water Demand Criteria'!AE$17/1000)*('Wastewater Criteria'!$C$8+'Wastewater Criteria'!$C$10*'Water Demand Criteria'!AE$56+'Water Demand Criteria'!AE$37*'Wastewater Criteria'!$C$11)*(1+'Wastewater Criteria'!$C$23)+('Project Tankers'!AA23*'Wastewater Criteria'!$C$9))*(1+'Wastewater Criteria'!$C$36)</f>
        <v>491.26374721569442</v>
      </c>
      <c r="AB23" s="34">
        <f>(('Project W Pop Connected'!AC23*'Water Demand Criteria'!AF$17/1000)*('Wastewater Criteria'!$C$8+'Wastewater Criteria'!$C$10*'Water Demand Criteria'!AF$56+'Water Demand Criteria'!AF$37*'Wastewater Criteria'!$C$11)*(1+'Wastewater Criteria'!$C$23)+('Project Tankers'!AB23*'Wastewater Criteria'!$C$9))*(1+'Wastewater Criteria'!$C$36)</f>
        <v>501.81208276456687</v>
      </c>
      <c r="AC23" s="34">
        <f>(('Project W Pop Connected'!AD23*'Water Demand Criteria'!AG$17/1000)*('Wastewater Criteria'!$C$8+'Wastewater Criteria'!$C$10*'Water Demand Criteria'!AG$56+'Water Demand Criteria'!AG$37*'Wastewater Criteria'!$C$11)*(1+'Wastewater Criteria'!$C$23)+('Project Tankers'!AC23*'Wastewater Criteria'!$C$9))*(1+'Wastewater Criteria'!$C$36)</f>
        <v>512.74569607237561</v>
      </c>
      <c r="AD23" s="44">
        <f>(('Project W Pop Connected'!AE23*'Water Demand Criteria'!AH$17/1000)*('Wastewater Criteria'!$C$8+'Wastewater Criteria'!$C$10*'Water Demand Criteria'!AH$56+'Water Demand Criteria'!AH$37*'Wastewater Criteria'!$C$11)*(1+'Wastewater Criteria'!$C$23)+('Project Tankers'!AD23*'Wastewater Criteria'!$C$9))*(1+'Wastewater Criteria'!$C$36)</f>
        <v>530.62224949320114</v>
      </c>
      <c r="AE23" s="44">
        <f>(('Project W Pop Connected'!AF23*'Water Demand Criteria'!AI$17/1000)*('Wastewater Criteria'!$C$8+'Wastewater Criteria'!$C$10*'Water Demand Criteria'!AI$56+'Water Demand Criteria'!AI$37*'Wastewater Criteria'!$C$11)*(1+'Wastewater Criteria'!$C$23)+('Project Tankers'!AE23*'Wastewater Criteria'!$C$9))*(1+'Wastewater Criteria'!$C$36)</f>
        <v>549.19951467868657</v>
      </c>
      <c r="AF23" s="44">
        <f>(('Project W Pop Connected'!AG23*'Water Demand Criteria'!AJ$17/1000)*('Wastewater Criteria'!$C$8+'Wastewater Criteria'!$C$10*'Water Demand Criteria'!AJ$56+'Water Demand Criteria'!AJ$37*'Wastewater Criteria'!$C$11)*(1+'Wastewater Criteria'!$C$23)+('Project Tankers'!AF23*'Wastewater Criteria'!$C$9))*(1+'Wastewater Criteria'!$C$36)</f>
        <v>568.50940829143769</v>
      </c>
      <c r="AG23" s="44">
        <f>(('Project W Pop Connected'!AH23*'Water Demand Criteria'!AK$17/1000)*('Wastewater Criteria'!$C$8+'Wastewater Criteria'!$C$10*'Water Demand Criteria'!AK$56+'Water Demand Criteria'!AK$37*'Wastewater Criteria'!$C$11)*(1+'Wastewater Criteria'!$C$23)+('Project Tankers'!AG23*'Wastewater Criteria'!$C$9))*(1+'Wastewater Criteria'!$C$36)</f>
        <v>588.58542101334888</v>
      </c>
      <c r="AH23" s="44">
        <f>(('Project W Pop Connected'!AI23*'Water Demand Criteria'!AL$17/1000)*('Wastewater Criteria'!$C$8+'Wastewater Criteria'!$C$10*'Water Demand Criteria'!AL$56+'Water Demand Criteria'!AL$37*'Wastewater Criteria'!$C$11)*(1+'Wastewater Criteria'!$C$23)+('Project Tankers'!AH23*'Wastewater Criteria'!$C$9))*(1+'Wastewater Criteria'!$C$36)</f>
        <v>609.46270214814183</v>
      </c>
      <c r="AI23" s="44">
        <f>(('Project W Pop Connected'!AJ23*'Water Demand Criteria'!AM$17/1000)*('Wastewater Criteria'!$C$8+'Wastewater Criteria'!$C$10*'Water Demand Criteria'!AM$56+'Water Demand Criteria'!AM$37*'Wastewater Criteria'!$C$11)*(1+'Wastewater Criteria'!$C$23)+('Project Tankers'!AI23*'Wastewater Criteria'!$C$9))*(1+'Wastewater Criteria'!$C$36)</f>
        <v>631.1781490597059</v>
      </c>
      <c r="AJ23" s="44">
        <f>(('Project W Pop Connected'!AK23*'Water Demand Criteria'!AN$17/1000)*('Wastewater Criteria'!$C$8+'Wastewater Criteria'!$C$10*'Water Demand Criteria'!AN$56+'Water Demand Criteria'!AN$37*'Wastewater Criteria'!$C$11)*(1+'Wastewater Criteria'!$C$23)+('Project Tankers'!AJ23*'Wastewater Criteria'!$C$9))*(1+'Wastewater Criteria'!$C$36)</f>
        <v>653.77050173996031</v>
      </c>
      <c r="AK23" s="44">
        <f>(('Project W Pop Connected'!AL23*'Water Demand Criteria'!AO$17/1000)*('Wastewater Criteria'!$C$8+'Wastewater Criteria'!$C$10*'Water Demand Criteria'!AO$56+'Water Demand Criteria'!AO$37*'Wastewater Criteria'!$C$11)*(1+'Wastewater Criteria'!$C$23)+('Project Tankers'!AK23*'Wastewater Criteria'!$C$9))*(1+'Wastewater Criteria'!$C$36)</f>
        <v>677.15594773323357</v>
      </c>
      <c r="AL23" s="44">
        <f>(('Project W Pop Connected'!AM23*'Water Demand Criteria'!AP$17/1000)*('Wastewater Criteria'!$C$8+'Wastewater Criteria'!$C$10*'Water Demand Criteria'!AP$56+'Water Demand Criteria'!AP$37*'Wastewater Criteria'!$C$11)*(1+'Wastewater Criteria'!$C$23)+('Project Tankers'!AL23*'Wastewater Criteria'!$C$9))*(1+'Wastewater Criteria'!$C$36)</f>
        <v>701.28732332518155</v>
      </c>
      <c r="AM23" s="44">
        <f>(('Project W Pop Connected'!AN23*'Water Demand Criteria'!AQ$17/1000)*('Wastewater Criteria'!$C$8+'Wastewater Criteria'!$C$10*'Water Demand Criteria'!AQ$56+'Water Demand Criteria'!AQ$37*'Wastewater Criteria'!$C$11)*(1+'Wastewater Criteria'!$C$23)+('Project Tankers'!AM23*'Wastewater Criteria'!$C$9))*(1+'Wastewater Criteria'!$C$36)</f>
        <v>726.18696311964868</v>
      </c>
      <c r="AN23" s="44">
        <f>(('Project W Pop Connected'!AO23*'Water Demand Criteria'!AR$17/1000)*('Wastewater Criteria'!$C$8+'Wastewater Criteria'!$C$10*'Water Demand Criteria'!AR$56+'Water Demand Criteria'!AR$37*'Wastewater Criteria'!$C$11)*(1+'Wastewater Criteria'!$C$23)+('Project Tankers'!AN23*'Wastewater Criteria'!$C$9))*(1+'Wastewater Criteria'!$C$36)</f>
        <v>751.87784412601491</v>
      </c>
      <c r="AO23" s="44">
        <f>(('Project W Pop Connected'!AP23*'Water Demand Criteria'!AS$17/1000)*('Wastewater Criteria'!$C$8+'Wastewater Criteria'!$C$10*'Water Demand Criteria'!AS$56+'Water Demand Criteria'!AS$37*'Wastewater Criteria'!$C$11)*(1+'Wastewater Criteria'!$C$23)+('Project Tankers'!AO23*'Wastewater Criteria'!$C$9))*(1+'Wastewater Criteria'!$C$36)</f>
        <v>778.38360372992986</v>
      </c>
      <c r="AP23" s="44">
        <f>(('Project W Pop Connected'!AQ23*'Water Demand Criteria'!AT$17/1000)*('Wastewater Criteria'!$C$8+'Wastewater Criteria'!$C$10*'Water Demand Criteria'!AT$56+'Water Demand Criteria'!AT$37*'Wastewater Criteria'!$C$11)*(1+'Wastewater Criteria'!$C$23)+('Project Tankers'!AP23*'Wastewater Criteria'!$C$9))*(1+'Wastewater Criteria'!$C$36)</f>
        <v>805.72855815661626</v>
      </c>
      <c r="AQ23" s="44">
        <f>(('Project W Pop Connected'!AR23*'Water Demand Criteria'!AU$17/1000)*('Wastewater Criteria'!$C$8+'Wastewater Criteria'!$C$10*'Water Demand Criteria'!AU$56+'Water Demand Criteria'!AU$37*'Wastewater Criteria'!$C$11)*(1+'Wastewater Criteria'!$C$23)+('Project Tankers'!AQ23*'Wastewater Criteria'!$C$9))*(1+'Wastewater Criteria'!$C$36)</f>
        <v>833.93772144003503</v>
      </c>
      <c r="AR23" s="44">
        <f>(('Project W Pop Connected'!AS23*'Water Demand Criteria'!AV$17/1000)*('Wastewater Criteria'!$C$8+'Wastewater Criteria'!$C$10*'Water Demand Criteria'!AV$56+'Water Demand Criteria'!AV$37*'Wastewater Criteria'!$C$11)*(1+'Wastewater Criteria'!$C$23)+('Project Tankers'!AR23*'Wastewater Criteria'!$C$9))*(1+'Wastewater Criteria'!$C$36)</f>
        <v>863.03682491155951</v>
      </c>
      <c r="AS23" s="44">
        <f>(('Project W Pop Connected'!AT23*'Water Demand Criteria'!AW$17/1000)*('Wastewater Criteria'!$C$8+'Wastewater Criteria'!$C$10*'Water Demand Criteria'!AW$56+'Water Demand Criteria'!AW$37*'Wastewater Criteria'!$C$11)*(1+'Wastewater Criteria'!$C$23)+('Project Tankers'!AS23*'Wastewater Criteria'!$C$9))*(1+'Wastewater Criteria'!$C$36)</f>
        <v>893.05233722216792</v>
      </c>
      <c r="AT23" s="44">
        <f>(('Project W Pop Connected'!AU23*'Water Demand Criteria'!AX$17/1000)*('Wastewater Criteria'!$C$8+'Wastewater Criteria'!$C$10*'Water Demand Criteria'!AX$56+'Water Demand Criteria'!AX$37*'Wastewater Criteria'!$C$11)*(1+'Wastewater Criteria'!$C$23)+('Project Tankers'!AT23*'Wastewater Criteria'!$C$9))*(1+'Wastewater Criteria'!$C$36)</f>
        <v>924.01148491253639</v>
      </c>
      <c r="AU23" s="44">
        <f>(('Project W Pop Connected'!AV23*'Water Demand Criteria'!AY$17/1000)*('Wastewater Criteria'!$C$8+'Wastewater Criteria'!$C$10*'Water Demand Criteria'!AY$56+'Water Demand Criteria'!AY$37*'Wastewater Criteria'!$C$11)*(1+'Wastewater Criteria'!$C$23)+('Project Tankers'!AU23*'Wastewater Criteria'!$C$9))*(1+'Wastewater Criteria'!$C$36)</f>
        <v>955.94227354580255</v>
      </c>
      <c r="AV23" s="44">
        <f>(('Project W Pop Connected'!AW23*'Water Demand Criteria'!AZ$17/1000)*('Wastewater Criteria'!$C$8+'Wastewater Criteria'!$C$10*'Water Demand Criteria'!AZ$56+'Water Demand Criteria'!AZ$37*'Wastewater Criteria'!$C$11)*(1+'Wastewater Criteria'!$C$23)+('Project Tankers'!AV23*'Wastewater Criteria'!$C$9))*(1+'Wastewater Criteria'!$C$36)</f>
        <v>988.87350941815589</v>
      </c>
      <c r="AW23" s="44">
        <f>(('Project W Pop Connected'!AX23*'Water Demand Criteria'!BA$17/1000)*('Wastewater Criteria'!$C$8+'Wastewater Criteria'!$C$10*'Water Demand Criteria'!BA$56+'Water Demand Criteria'!BA$37*'Wastewater Criteria'!$C$11)*(1+'Wastewater Criteria'!$C$23)+('Project Tankers'!AW23*'Wastewater Criteria'!$C$9))*(1+'Wastewater Criteria'!$C$36)</f>
        <v>1022.8348218628197</v>
      </c>
      <c r="AX23" s="44">
        <f>(('Project W Pop Connected'!AY23*'Water Demand Criteria'!BB$17/1000)*('Wastewater Criteria'!$C$8+'Wastewater Criteria'!$C$10*'Water Demand Criteria'!BB$56+'Water Demand Criteria'!BB$37*'Wastewater Criteria'!$C$11)*(1+'Wastewater Criteria'!$C$23)+('Project Tankers'!AX23*'Wastewater Criteria'!$C$9))*(1+'Wastewater Criteria'!$C$36)</f>
        <v>1047.3828575875275</v>
      </c>
      <c r="AY23" s="44">
        <f>(('Project W Pop Connected'!AZ23*'Water Demand Criteria'!BC$17/1000)*('Wastewater Criteria'!$C$8+'Wastewater Criteria'!$C$10*'Water Demand Criteria'!BC$56+'Water Demand Criteria'!BC$37*'Wastewater Criteria'!$C$11)*(1+'Wastewater Criteria'!$C$23)+('Project Tankers'!AY23*'Wastewater Criteria'!$C$9))*(1+'Wastewater Criteria'!$C$36)</f>
        <v>1072.5200461696286</v>
      </c>
      <c r="AZ23" s="44">
        <f>(('Project W Pop Connected'!BA23*'Water Demand Criteria'!BD$17/1000)*('Wastewater Criteria'!$C$8+'Wastewater Criteria'!$C$10*'Water Demand Criteria'!BD$56+'Water Demand Criteria'!BD$37*'Wastewater Criteria'!$C$11)*(1+'Wastewater Criteria'!$C$23)+('Project Tankers'!AZ23*'Wastewater Criteria'!$C$9))*(1+'Wastewater Criteria'!$C$36)</f>
        <v>1098.2605272776996</v>
      </c>
      <c r="BA23" s="44">
        <f>(('Project W Pop Connected'!BB23*'Water Demand Criteria'!BE$17/1000)*('Wastewater Criteria'!$C$8+'Wastewater Criteria'!$C$10*'Water Demand Criteria'!BE$56+'Water Demand Criteria'!BE$37*'Wastewater Criteria'!$C$11)*(1+'Wastewater Criteria'!$C$23)+('Project Tankers'!BA23*'Wastewater Criteria'!$C$9))*(1+'Wastewater Criteria'!$C$36)</f>
        <v>1124.6187799323643</v>
      </c>
      <c r="BB23" s="44">
        <f>(('Project W Pop Connected'!BC23*'Water Demand Criteria'!BF$17/1000)*('Wastewater Criteria'!$C$8+'Wastewater Criteria'!$C$10*'Water Demand Criteria'!BF$56+'Water Demand Criteria'!BF$37*'Wastewater Criteria'!$C$11)*(1+'Wastewater Criteria'!$C$23)+('Project Tankers'!BB23*'Wastewater Criteria'!$C$9))*(1+'Wastewater Criteria'!$C$36)</f>
        <v>1151.6096306507411</v>
      </c>
      <c r="BC23" s="44">
        <f>(('Project W Pop Connected'!BD23*'Water Demand Criteria'!BG$17/1000)*('Wastewater Criteria'!$C$8+'Wastewater Criteria'!$C$10*'Water Demand Criteria'!BG$56+'Water Demand Criteria'!BG$37*'Wastewater Criteria'!$C$11)*(1+'Wastewater Criteria'!$C$23)+('Project Tankers'!BC23*'Wastewater Criteria'!$C$9))*(1+'Wastewater Criteria'!$C$36)</f>
        <v>1179.2482617863589</v>
      </c>
      <c r="BD23" s="44">
        <f>(('Project W Pop Connected'!BE23*'Water Demand Criteria'!BH$17/1000)*('Wastewater Criteria'!$C$8+'Wastewater Criteria'!$C$10*'Water Demand Criteria'!BH$56+'Water Demand Criteria'!BH$37*'Wastewater Criteria'!$C$11)*(1+'Wastewater Criteria'!$C$23)+('Project Tankers'!BD23*'Wastewater Criteria'!$C$9))*(1+'Wastewater Criteria'!$C$36)</f>
        <v>1207.5502200692315</v>
      </c>
      <c r="BE23" s="44">
        <f>(('Project W Pop Connected'!BF23*'Water Demand Criteria'!BI$17/1000)*('Wastewater Criteria'!$C$8+'Wastewater Criteria'!$C$10*'Water Demand Criteria'!BI$56+'Water Demand Criteria'!BI$37*'Wastewater Criteria'!$C$11)*(1+'Wastewater Criteria'!$C$23)+('Project Tankers'!BE23*'Wastewater Criteria'!$C$9))*(1+'Wastewater Criteria'!$C$36)</f>
        <v>1236.531425350893</v>
      </c>
      <c r="BF23" s="44">
        <f>(('Project W Pop Connected'!BG23*'Water Demand Criteria'!BJ$17/1000)*('Wastewater Criteria'!$C$8+'Wastewater Criteria'!$C$10*'Water Demand Criteria'!BJ$56+'Water Demand Criteria'!BJ$37*'Wastewater Criteria'!$C$11)*(1+'Wastewater Criteria'!$C$23)+('Project Tankers'!BF23*'Wastewater Criteria'!$C$9))*(1+'Wastewater Criteria'!$C$36)</f>
        <v>1266.2081795593144</v>
      </c>
      <c r="BG23" s="44">
        <f>(('Project W Pop Connected'!BH23*'Water Demand Criteria'!BK$17/1000)*('Wastewater Criteria'!$C$8+'Wastewater Criteria'!$C$10*'Water Demand Criteria'!BK$56+'Water Demand Criteria'!BK$37*'Wastewater Criteria'!$C$11)*(1+'Wastewater Criteria'!$C$23)+('Project Tankers'!BG23*'Wastewater Criteria'!$C$9))*(1+'Wastewater Criteria'!$C$36)</f>
        <v>1296.5971758687381</v>
      </c>
      <c r="BH23" s="44">
        <f>(('Project W Pop Connected'!BI23*'Water Demand Criteria'!BL$17/1000)*('Wastewater Criteria'!$C$8+'Wastewater Criteria'!$C$10*'Water Demand Criteria'!BL$56+'Water Demand Criteria'!BL$37*'Wastewater Criteria'!$C$11)*(1+'Wastewater Criteria'!$C$23)+('Project Tankers'!BH23*'Wastewater Criteria'!$C$9))*(1+'Wastewater Criteria'!$C$36)</f>
        <v>1327.7155080895875</v>
      </c>
      <c r="BI23" s="44">
        <f>(('Project W Pop Connected'!BJ23*'Water Demand Criteria'!BM$17/1000)*('Wastewater Criteria'!$C$8+'Wastewater Criteria'!$C$10*'Water Demand Criteria'!BM$56+'Water Demand Criteria'!BM$37*'Wastewater Criteria'!$C$11)*(1+'Wastewater Criteria'!$C$23)+('Project Tankers'!BI23*'Wastewater Criteria'!$C$9))*(1+'Wastewater Criteria'!$C$36)</f>
        <v>1359.580680283738</v>
      </c>
      <c r="BJ23" s="44">
        <f>(('Project W Pop Connected'!BK23*'Water Demand Criteria'!BN$17/1000)*('Wastewater Criteria'!$C$8+'Wastewater Criteria'!$C$10*'Water Demand Criteria'!BN$56+'Water Demand Criteria'!BN$37*'Wastewater Criteria'!$C$11)*(1+'Wastewater Criteria'!$C$23)+('Project Tankers'!BJ23*'Wastewater Criteria'!$C$9))*(1+'Wastewater Criteria'!$C$36)</f>
        <v>1392.2106166105477</v>
      </c>
      <c r="BK23" s="44">
        <f>(('Project W Pop Connected'!BL23*'Water Demand Criteria'!BO$17/1000)*('Wastewater Criteria'!$C$8+'Wastewater Criteria'!$C$10*'Water Demand Criteria'!BO$56+'Water Demand Criteria'!BO$37*'Wastewater Criteria'!$C$11)*(1+'Wastewater Criteria'!$C$23)+('Project Tankers'!BK23*'Wastewater Criteria'!$C$9))*(1+'Wastewater Criteria'!$C$36)</f>
        <v>1425.6236714092011</v>
      </c>
      <c r="BL23" s="44">
        <f>(('Project W Pop Connected'!BM23*'Water Demand Criteria'!BP$17/1000)*('Wastewater Criteria'!$C$8+'Wastewater Criteria'!$C$10*'Water Demand Criteria'!BP$56+'Water Demand Criteria'!BP$37*'Wastewater Criteria'!$C$11)*(1+'Wastewater Criteria'!$C$23)+('Project Tankers'!BL23*'Wastewater Criteria'!$C$9))*(1+'Wastewater Criteria'!$C$36)</f>
        <v>1459.8386395230216</v>
      </c>
      <c r="BM23" s="44">
        <f>(('Project W Pop Connected'!BN23*'Water Demand Criteria'!BQ$17/1000)*('Wastewater Criteria'!$C$8+'Wastewater Criteria'!$C$10*'Water Demand Criteria'!BQ$56+'Water Demand Criteria'!BQ$37*'Wastewater Criteria'!$C$11)*(1+'Wastewater Criteria'!$C$23)+('Project Tankers'!BM23*'Wastewater Criteria'!$C$9))*(1+'Wastewater Criteria'!$C$36)</f>
        <v>1494.8747668715746</v>
      </c>
      <c r="BN23" s="44">
        <f>(('Project W Pop Connected'!BO23*'Water Demand Criteria'!BR$17/1000)*('Wastewater Criteria'!$C$8+'Wastewater Criteria'!$C$10*'Water Demand Criteria'!BR$56+'Water Demand Criteria'!BR$37*'Wastewater Criteria'!$C$11)*(1+'Wastewater Criteria'!$C$23)+('Project Tankers'!BN23*'Wastewater Criteria'!$C$9))*(1+'Wastewater Criteria'!$C$36)</f>
        <v>1530.7517612764923</v>
      </c>
      <c r="BO23" s="44">
        <f>(('Project W Pop Connected'!BP23*'Water Demand Criteria'!BS$17/1000)*('Wastewater Criteria'!$C$8+'Wastewater Criteria'!$C$10*'Water Demand Criteria'!BS$56+'Water Demand Criteria'!BS$37*'Wastewater Criteria'!$C$11)*(1+'Wastewater Criteria'!$C$23)+('Project Tankers'!BO23*'Wastewater Criteria'!$C$9))*(1+'Wastewater Criteria'!$C$36)</f>
        <v>1567.4898035471281</v>
      </c>
      <c r="BP23" s="44">
        <f>(('Project W Pop Connected'!BQ23*'Water Demand Criteria'!BT$17/1000)*('Wastewater Criteria'!$C$8+'Wastewater Criteria'!$C$10*'Water Demand Criteria'!BT$56+'Water Demand Criteria'!BT$37*'Wastewater Criteria'!$C$11)*(1+'Wastewater Criteria'!$C$23)+('Project Tankers'!BP23*'Wastewater Criteria'!$C$9))*(1+'Wastewater Criteria'!$C$36)</f>
        <v>1605.1095588322594</v>
      </c>
      <c r="BQ23" s="44">
        <f>(('Project W Pop Connected'!BR23*'Water Demand Criteria'!BU$17/1000)*('Wastewater Criteria'!$C$8+'Wastewater Criteria'!$C$10*'Water Demand Criteria'!BU$56+'Water Demand Criteria'!BU$37*'Wastewater Criteria'!$C$11)*(1+'Wastewater Criteria'!$C$23)+('Project Tankers'!BQ23*'Wastewater Criteria'!$C$9))*(1+'Wastewater Criteria'!$C$36)</f>
        <v>1643.6321882442335</v>
      </c>
      <c r="BR23" s="44">
        <f>(('Project W Pop Connected'!BS23*'Water Demand Criteria'!BV$17/1000)*('Wastewater Criteria'!$C$8+'Wastewater Criteria'!$C$10*'Water Demand Criteria'!BV$56+'Water Demand Criteria'!BV$37*'Wastewater Criteria'!$C$11)*(1+'Wastewater Criteria'!$C$23)+('Project Tankers'!BR23*'Wastewater Criteria'!$C$9))*(1+'Wastewater Criteria'!$C$36)</f>
        <v>1683.0793607620956</v>
      </c>
      <c r="BS23" s="44">
        <f>(('Project W Pop Connected'!BT23*'Water Demand Criteria'!BW$17/1000)*('Wastewater Criteria'!$C$8+'Wastewater Criteria'!$C$10*'Water Demand Criteria'!BW$56+'Water Demand Criteria'!BW$37*'Wastewater Criteria'!$C$11)*(1+'Wastewater Criteria'!$C$23)+('Project Tankers'!BS23*'Wastewater Criteria'!$C$9))*(1+'Wastewater Criteria'!$C$36)</f>
        <v>1723.4732654203854</v>
      </c>
      <c r="BT23" s="44">
        <f>(('Project W Pop Connected'!BU23*'Water Demand Criteria'!BX$17/1000)*('Wastewater Criteria'!$C$8+'Wastewater Criteria'!$C$10*'Water Demand Criteria'!BX$56+'Water Demand Criteria'!BX$37*'Wastewater Criteria'!$C$11)*(1+'Wastewater Criteria'!$C$23)+('Project Tankers'!BT23*'Wastewater Criteria'!$C$9))*(1+'Wastewater Criteria'!$C$36)</f>
        <v>1764.8366237904745</v>
      </c>
      <c r="BU23" s="44">
        <f>(('Project W Pop Connected'!BV23*'Water Demand Criteria'!BY$17/1000)*('Wastewater Criteria'!$C$8+'Wastewater Criteria'!$C$10*'Water Demand Criteria'!BY$56+'Water Demand Criteria'!BY$37*'Wastewater Criteria'!$C$11)*(1+'Wastewater Criteria'!$C$23)+('Project Tankers'!BU23*'Wastewater Criteria'!$C$9))*(1+'Wastewater Criteria'!$C$36)</f>
        <v>1807.1927027614463</v>
      </c>
      <c r="BV23" s="44">
        <f>(('Project W Pop Connected'!BW23*'Water Demand Criteria'!BZ$17/1000)*('Wastewater Criteria'!$C$8+'Wastewater Criteria'!$C$10*'Water Demand Criteria'!BZ$56+'Water Demand Criteria'!BZ$37*'Wastewater Criteria'!$C$11)*(1+'Wastewater Criteria'!$C$23)+('Project Tankers'!BV23*'Wastewater Criteria'!$C$9))*(1+'Wastewater Criteria'!$C$36)</f>
        <v>1850.5653276277203</v>
      </c>
      <c r="BW23" s="44">
        <f>(('Project W Pop Connected'!BX23*'Water Demand Criteria'!CA$17/1000)*('Wastewater Criteria'!$C$8+'Wastewater Criteria'!$C$10*'Water Demand Criteria'!CA$56+'Water Demand Criteria'!CA$37*'Wastewater Criteria'!$C$11)*(1+'Wastewater Criteria'!$C$23)+('Project Tankers'!BW23*'Wastewater Criteria'!$C$9))*(1+'Wastewater Criteria'!$C$36)</f>
        <v>1894.9788954907858</v>
      </c>
      <c r="BX23" s="44">
        <f>(('Project W Pop Connected'!BY23*'Water Demand Criteria'!CB$17/1000)*('Wastewater Criteria'!$C$8+'Wastewater Criteria'!$C$10*'Water Demand Criteria'!CB$56+'Water Demand Criteria'!CB$37*'Wastewater Criteria'!$C$11)*(1+'Wastewater Criteria'!$C$23)+('Project Tankers'!BX23*'Wastewater Criteria'!$C$9))*(1+'Wastewater Criteria'!$C$36)</f>
        <v>1940.4583889825644</v>
      </c>
      <c r="BY23" s="44">
        <f>(('Project W Pop Connected'!BZ23*'Water Demand Criteria'!CC$17/1000)*('Wastewater Criteria'!$C$8+'Wastewater Criteria'!$C$10*'Water Demand Criteria'!CC$56+'Water Demand Criteria'!CC$37*'Wastewater Criteria'!$C$11)*(1+'Wastewater Criteria'!$C$23)+('Project Tankers'!BY23*'Wastewater Criteria'!$C$9))*(1+'Wastewater Criteria'!$C$36)</f>
        <v>1987.0293903181459</v>
      </c>
      <c r="BZ23" s="44">
        <f>(('Project W Pop Connected'!CA23*'Water Demand Criteria'!CD$17/1000)*('Wastewater Criteria'!$C$8+'Wastewater Criteria'!$C$10*'Water Demand Criteria'!CD$56+'Water Demand Criteria'!CD$37*'Wastewater Criteria'!$C$11)*(1+'Wastewater Criteria'!$C$23)+('Project Tankers'!BZ23*'Wastewater Criteria'!$C$9))*(1+'Wastewater Criteria'!$C$36)</f>
        <v>2034.7180956857812</v>
      </c>
      <c r="CA23" s="44">
        <f>(('Project W Pop Connected'!CB23*'Water Demand Criteria'!CE$17/1000)*('Wastewater Criteria'!$C$8+'Wastewater Criteria'!$C$10*'Water Demand Criteria'!CE$56+'Water Demand Criteria'!CE$37*'Wastewater Criteria'!$C$11)*(1+'Wastewater Criteria'!$C$23)+('Project Tankers'!CA23*'Wastewater Criteria'!$C$9))*(1+'Wastewater Criteria'!$C$36)</f>
        <v>2083.5513299822401</v>
      </c>
    </row>
    <row r="24" spans="1:79" x14ac:dyDescent="0.25">
      <c r="A24" s="33">
        <v>23</v>
      </c>
      <c r="B24" s="36" t="s">
        <v>36</v>
      </c>
      <c r="C24" s="34">
        <f>(('Project W Pop Connected'!D24*'Water Demand Criteria'!G$17/1000)*('Wastewater Criteria'!$C$8+'Wastewater Criteria'!$C$10*'Water Demand Criteria'!G$56+'Water Demand Criteria'!G$37*'Wastewater Criteria'!$C$11)*(1+'Wastewater Criteria'!$C$23)+('Project Tankers'!C24*'Wastewater Criteria'!$C$9))*(1+'Wastewater Criteria'!$C$36)</f>
        <v>240.88246204151156</v>
      </c>
      <c r="D24" s="34">
        <f>(('Project W Pop Connected'!E24*'Water Demand Criteria'!H$17/1000)*('Wastewater Criteria'!$C$8+'Wastewater Criteria'!$C$10*'Water Demand Criteria'!H$56+'Water Demand Criteria'!H$37*'Wastewater Criteria'!$C$11)*(1+'Wastewater Criteria'!$C$23)+('Project Tankers'!D24*'Wastewater Criteria'!$C$9))*(1+'Wastewater Criteria'!$C$36)</f>
        <v>259.71940685051578</v>
      </c>
      <c r="E24" s="34">
        <f>(('Project W Pop Connected'!F24*'Water Demand Criteria'!I$17/1000)*('Wastewater Criteria'!$C$8+'Wastewater Criteria'!$C$10*'Water Demand Criteria'!I$56+'Water Demand Criteria'!I$37*'Wastewater Criteria'!$C$11)*(1+'Wastewater Criteria'!$C$23)+('Project Tankers'!E24*'Wastewater Criteria'!$C$9))*(1+'Wastewater Criteria'!$C$36)</f>
        <v>280.26494705012567</v>
      </c>
      <c r="F24" s="34">
        <f>(('Project W Pop Connected'!G24*'Water Demand Criteria'!J$17/1000)*('Wastewater Criteria'!$C$8+'Wastewater Criteria'!$C$10*'Water Demand Criteria'!J$56+'Water Demand Criteria'!J$37*'Wastewater Criteria'!$C$11)*(1+'Wastewater Criteria'!$C$23)+('Project Tankers'!F24*'Wastewater Criteria'!$C$9))*(1+'Wastewater Criteria'!$C$36)</f>
        <v>301.63955761146332</v>
      </c>
      <c r="G24" s="34">
        <f>(('Project W Pop Connected'!H24*'Water Demand Criteria'!K$17/1000)*('Wastewater Criteria'!$C$8+'Wastewater Criteria'!$C$10*'Water Demand Criteria'!K$56+'Water Demand Criteria'!K$37*'Wastewater Criteria'!$C$11)*(1+'Wastewater Criteria'!$C$23)+('Project Tankers'!G24*'Wastewater Criteria'!$C$9))*(1+'Wastewater Criteria'!$C$36)</f>
        <v>323.87934417400783</v>
      </c>
      <c r="H24" s="34">
        <f>(('Project W Pop Connected'!I24*'Water Demand Criteria'!L$17/1000)*('Wastewater Criteria'!$C$8+'Wastewater Criteria'!$C$10*'Water Demand Criteria'!L$56+'Water Demand Criteria'!L$37*'Wastewater Criteria'!$C$11)*(1+'Wastewater Criteria'!$C$23)+('Project Tankers'!H24*'Wastewater Criteria'!$C$9))*(1+'Wastewater Criteria'!$C$36)</f>
        <v>347.00576905445723</v>
      </c>
      <c r="I24" s="34">
        <f>(('Project W Pop Connected'!J24*'Water Demand Criteria'!M$17/1000)*('Wastewater Criteria'!$C$8+'Wastewater Criteria'!$C$10*'Water Demand Criteria'!M$56+'Water Demand Criteria'!M$37*'Wastewater Criteria'!$C$11)*(1+'Wastewater Criteria'!$C$23)+('Project Tankers'!I24*'Wastewater Criteria'!$C$9))*(1+'Wastewater Criteria'!$C$36)</f>
        <v>369.44814089427632</v>
      </c>
      <c r="J24" s="34">
        <f>(('Project W Pop Connected'!K24*'Water Demand Criteria'!N$17/1000)*('Wastewater Criteria'!$C$8+'Wastewater Criteria'!$C$10*'Water Demand Criteria'!N$56+'Water Demand Criteria'!N$37*'Wastewater Criteria'!$C$11)*(1+'Wastewater Criteria'!$C$23)+('Project Tankers'!J24*'Wastewater Criteria'!$C$9))*(1+'Wastewater Criteria'!$C$36)</f>
        <v>394.28027828926633</v>
      </c>
      <c r="K24" s="34">
        <f>(('Project W Pop Connected'!L24*'Water Demand Criteria'!O$17/1000)*('Wastewater Criteria'!$C$8+'Wastewater Criteria'!$C$10*'Water Demand Criteria'!O$56+'Water Demand Criteria'!O$37*'Wastewater Criteria'!$C$11)*(1+'Wastewater Criteria'!$C$23)+('Project Tankers'!K24*'Wastewater Criteria'!$C$9))*(1+'Wastewater Criteria'!$C$36)</f>
        <v>420.08003909583272</v>
      </c>
      <c r="L24" s="34">
        <f>(('Project W Pop Connected'!M24*'Water Demand Criteria'!P$17/1000)*('Wastewater Criteria'!$C$8+'Wastewater Criteria'!$C$10*'Water Demand Criteria'!P$56+'Water Demand Criteria'!P$37*'Wastewater Criteria'!$C$11)*(1+'Wastewater Criteria'!$C$23)+('Project Tankers'!L24*'Wastewater Criteria'!$C$9))*(1+'Wastewater Criteria'!$C$36)</f>
        <v>441.3212172751866</v>
      </c>
      <c r="M24" s="34">
        <f>(('Project W Pop Connected'!N24*'Water Demand Criteria'!Q$17/1000)*('Wastewater Criteria'!$C$8+'Wastewater Criteria'!$C$10*'Water Demand Criteria'!Q$56+'Water Demand Criteria'!Q$37*'Wastewater Criteria'!$C$11)*(1+'Wastewater Criteria'!$C$23)+('Project Tankers'!M24*'Wastewater Criteria'!$C$9))*(1+'Wastewater Criteria'!$C$36)</f>
        <v>474.80651786320618</v>
      </c>
      <c r="N24" s="34">
        <f>(('Project W Pop Connected'!O24*'Water Demand Criteria'!R$17/1000)*('Wastewater Criteria'!$C$8+'Wastewater Criteria'!$C$10*'Water Demand Criteria'!R$56+'Water Demand Criteria'!R$37*'Wastewater Criteria'!$C$11)*(1+'Wastewater Criteria'!$C$23)+('Project Tankers'!N24*'Wastewater Criteria'!$C$9))*(1+'Wastewater Criteria'!$C$36)</f>
        <v>501.49359822065509</v>
      </c>
      <c r="O24" s="34">
        <f>(('Project W Pop Connected'!P24*'Water Demand Criteria'!S$17/1000)*('Wastewater Criteria'!$C$8+'Wastewater Criteria'!$C$10*'Water Demand Criteria'!S$56+'Water Demand Criteria'!S$37*'Wastewater Criteria'!$C$11)*(1+'Wastewater Criteria'!$C$23)+('Project Tankers'!O24*'Wastewater Criteria'!$C$9))*(1+'Wastewater Criteria'!$C$36)</f>
        <v>514.44922334779801</v>
      </c>
      <c r="P24" s="34">
        <f>(('Project W Pop Connected'!Q24*'Water Demand Criteria'!T$17/1000)*('Wastewater Criteria'!$C$8+'Wastewater Criteria'!$C$10*'Water Demand Criteria'!T$56+'Water Demand Criteria'!T$37*'Wastewater Criteria'!$C$11)*(1+'Wastewater Criteria'!$C$23)+('Project Tankers'!P24*'Wastewater Criteria'!$C$9))*(1+'Wastewater Criteria'!$C$36)</f>
        <v>527.91576283551763</v>
      </c>
      <c r="Q24" s="34">
        <f>(('Project W Pop Connected'!R24*'Water Demand Criteria'!U$17/1000)*('Wastewater Criteria'!$C$8+'Wastewater Criteria'!$C$10*'Water Demand Criteria'!U$56+'Water Demand Criteria'!U$37*'Wastewater Criteria'!$C$11)*(1+'Wastewater Criteria'!$C$23)+('Project Tankers'!Q24*'Wastewater Criteria'!$C$9))*(1+'Wastewater Criteria'!$C$36)</f>
        <v>541.85583270621078</v>
      </c>
      <c r="R24" s="34">
        <f>(('Project W Pop Connected'!S24*'Water Demand Criteria'!V$17/1000)*('Wastewater Criteria'!$C$8+'Wastewater Criteria'!$C$10*'Water Demand Criteria'!V$56+'Water Demand Criteria'!V$37*'Wastewater Criteria'!$C$11)*(1+'Wastewater Criteria'!$C$23)+('Project Tankers'!R24*'Wastewater Criteria'!$C$9))*(1+'Wastewater Criteria'!$C$36)</f>
        <v>556.39404621855465</v>
      </c>
      <c r="S24" s="34">
        <f>(('Project W Pop Connected'!T24*'Water Demand Criteria'!W$17/1000)*('Wastewater Criteria'!$C$8+'Wastewater Criteria'!$C$10*'Water Demand Criteria'!W$56+'Water Demand Criteria'!W$37*'Wastewater Criteria'!$C$11)*(1+'Wastewater Criteria'!$C$23)+('Project Tankers'!S24*'Wastewater Criteria'!$C$9))*(1+'Wastewater Criteria'!$C$36)</f>
        <v>568.49607052375848</v>
      </c>
      <c r="T24" s="34">
        <f>(('Project W Pop Connected'!U24*'Water Demand Criteria'!X$17/1000)*('Wastewater Criteria'!$C$8+'Wastewater Criteria'!$C$10*'Water Demand Criteria'!X$56+'Water Demand Criteria'!X$37*'Wastewater Criteria'!$C$11)*(1+'Wastewater Criteria'!$C$23)+('Project Tankers'!T24*'Wastewater Criteria'!$C$9))*(1+'Wastewater Criteria'!$C$36)</f>
        <v>579.34098021985528</v>
      </c>
      <c r="U24" s="34">
        <f>(('Project W Pop Connected'!V24*'Water Demand Criteria'!Y$17/1000)*('Wastewater Criteria'!$C$8+'Wastewater Criteria'!$C$10*'Water Demand Criteria'!Y$56+'Water Demand Criteria'!Y$37*'Wastewater Criteria'!$C$11)*(1+'Wastewater Criteria'!$C$23)+('Project Tankers'!U24*'Wastewater Criteria'!$C$9))*(1+'Wastewater Criteria'!$C$36)</f>
        <v>590.68100508551515</v>
      </c>
      <c r="V24" s="34">
        <f>(('Project W Pop Connected'!W24*'Water Demand Criteria'!Z$17/1000)*('Wastewater Criteria'!$C$8+'Wastewater Criteria'!$C$10*'Water Demand Criteria'!Z$56+'Water Demand Criteria'!Z$37*'Wastewater Criteria'!$C$11)*(1+'Wastewater Criteria'!$C$23)+('Project Tankers'!V24*'Wastewater Criteria'!$C$9))*(1+'Wastewater Criteria'!$C$36)</f>
        <v>602.374055784559</v>
      </c>
      <c r="W24" s="34">
        <f>(('Project W Pop Connected'!X24*'Water Demand Criteria'!AA$17/1000)*('Wastewater Criteria'!$C$8+'Wastewater Criteria'!$C$10*'Water Demand Criteria'!AA$56+'Water Demand Criteria'!AA$37*'Wastewater Criteria'!$C$11)*(1+'Wastewater Criteria'!$C$23)+('Project Tankers'!W24*'Wastewater Criteria'!$C$9))*(1+'Wastewater Criteria'!$C$36)</f>
        <v>614.44442699532544</v>
      </c>
      <c r="X24" s="34">
        <f>(('Project W Pop Connected'!Y24*'Water Demand Criteria'!AB$17/1000)*('Wastewater Criteria'!$C$8+'Wastewater Criteria'!$C$10*'Water Demand Criteria'!AB$56+'Water Demand Criteria'!AB$37*'Wastewater Criteria'!$C$11)*(1+'Wastewater Criteria'!$C$23)+('Project Tankers'!X24*'Wastewater Criteria'!$C$9))*(1+'Wastewater Criteria'!$C$36)</f>
        <v>626.91641339650266</v>
      </c>
      <c r="Y24" s="34">
        <f>(('Project W Pop Connected'!Z24*'Water Demand Criteria'!AC$17/1000)*('Wastewater Criteria'!$C$8+'Wastewater Criteria'!$C$10*'Water Demand Criteria'!AC$56+'Water Demand Criteria'!AC$37*'Wastewater Criteria'!$C$11)*(1+'Wastewater Criteria'!$C$23)+('Project Tankers'!Y24*'Wastewater Criteria'!$C$9))*(1+'Wastewater Criteria'!$C$36)</f>
        <v>639.81430968564553</v>
      </c>
      <c r="Z24" s="34">
        <f>(('Project W Pop Connected'!AA24*'Water Demand Criteria'!AD$17/1000)*('Wastewater Criteria'!$C$8+'Wastewater Criteria'!$C$10*'Water Demand Criteria'!AD$56+'Water Demand Criteria'!AD$37*'Wastewater Criteria'!$C$11)*(1+'Wastewater Criteria'!$C$23)+('Project Tankers'!Z24*'Wastewater Criteria'!$C$9))*(1+'Wastewater Criteria'!$C$36)</f>
        <v>653.16241052832743</v>
      </c>
      <c r="AA24" s="34">
        <f>(('Project W Pop Connected'!AB24*'Water Demand Criteria'!AE$17/1000)*('Wastewater Criteria'!$C$8+'Wastewater Criteria'!$C$10*'Water Demand Criteria'!AE$56+'Water Demand Criteria'!AE$37*'Wastewater Criteria'!$C$11)*(1+'Wastewater Criteria'!$C$23)+('Project Tankers'!AA24*'Wastewater Criteria'!$C$9))*(1+'Wastewater Criteria'!$C$36)</f>
        <v>666.98501064284631</v>
      </c>
      <c r="AB24" s="34">
        <f>(('Project W Pop Connected'!AC24*'Water Demand Criteria'!AF$17/1000)*('Wastewater Criteria'!$C$8+'Wastewater Criteria'!$C$10*'Water Demand Criteria'!AF$56+'Water Demand Criteria'!AF$37*'Wastewater Criteria'!$C$11)*(1+'Wastewater Criteria'!$C$23)+('Project Tankers'!AB24*'Wastewater Criteria'!$C$9))*(1+'Wastewater Criteria'!$C$36)</f>
        <v>681.30640467650812</v>
      </c>
      <c r="AC24" s="34">
        <f>(('Project W Pop Connected'!AD24*'Water Demand Criteria'!AG$17/1000)*('Wastewater Criteria'!$C$8+'Wastewater Criteria'!$C$10*'Water Demand Criteria'!AG$56+'Water Demand Criteria'!AG$37*'Wastewater Criteria'!$C$11)*(1+'Wastewater Criteria'!$C$23)+('Project Tankers'!AC24*'Wastewater Criteria'!$C$9))*(1+'Wastewater Criteria'!$C$36)</f>
        <v>696.15088735980214</v>
      </c>
      <c r="AD24" s="44">
        <f>(('Project W Pop Connected'!AE24*'Water Demand Criteria'!AH$17/1000)*('Wastewater Criteria'!$C$8+'Wastewater Criteria'!$C$10*'Water Demand Criteria'!AH$56+'Water Demand Criteria'!AH$37*'Wastewater Criteria'!$C$11)*(1+'Wastewater Criteria'!$C$23)+('Project Tankers'!AD24*'Wastewater Criteria'!$C$9))*(1+'Wastewater Criteria'!$C$36)</f>
        <v>720.42174642730754</v>
      </c>
      <c r="AE24" s="44">
        <f>(('Project W Pop Connected'!AF24*'Water Demand Criteria'!AI$17/1000)*('Wastewater Criteria'!$C$8+'Wastewater Criteria'!$C$10*'Water Demand Criteria'!AI$56+'Water Demand Criteria'!AI$37*'Wastewater Criteria'!$C$11)*(1+'Wastewater Criteria'!$C$23)+('Project Tankers'!AE24*'Wastewater Criteria'!$C$9))*(1+'Wastewater Criteria'!$C$36)</f>
        <v>745.64395646760113</v>
      </c>
      <c r="AF24" s="44">
        <f>(('Project W Pop Connected'!AG24*'Water Demand Criteria'!AJ$17/1000)*('Wastewater Criteria'!$C$8+'Wastewater Criteria'!$C$10*'Water Demand Criteria'!AJ$56+'Water Demand Criteria'!AJ$37*'Wastewater Criteria'!$C$11)*(1+'Wastewater Criteria'!$C$23)+('Project Tankers'!AF24*'Wastewater Criteria'!$C$9))*(1+'Wastewater Criteria'!$C$36)</f>
        <v>771.86085048799043</v>
      </c>
      <c r="AG24" s="44">
        <f>(('Project W Pop Connected'!AH24*'Water Demand Criteria'!AK$17/1000)*('Wastewater Criteria'!$C$8+'Wastewater Criteria'!$C$10*'Water Demand Criteria'!AK$56+'Water Demand Criteria'!AK$37*'Wastewater Criteria'!$C$11)*(1+'Wastewater Criteria'!$C$23)+('Project Tankers'!AG24*'Wastewater Criteria'!$C$9))*(1+'Wastewater Criteria'!$C$36)</f>
        <v>799.11789852966206</v>
      </c>
      <c r="AH24" s="44">
        <f>(('Project W Pop Connected'!AI24*'Water Demand Criteria'!AL$17/1000)*('Wastewater Criteria'!$C$8+'Wastewater Criteria'!$C$10*'Water Demand Criteria'!AL$56+'Water Demand Criteria'!AL$37*'Wastewater Criteria'!$C$11)*(1+'Wastewater Criteria'!$C$23)+('Project Tankers'!AH24*'Wastewater Criteria'!$C$9))*(1+'Wastewater Criteria'!$C$36)</f>
        <v>827.46282253189986</v>
      </c>
      <c r="AI24" s="44">
        <f>(('Project W Pop Connected'!AJ24*'Water Demand Criteria'!AM$17/1000)*('Wastewater Criteria'!$C$8+'Wastewater Criteria'!$C$10*'Water Demand Criteria'!AM$56+'Water Demand Criteria'!AM$37*'Wastewater Criteria'!$C$11)*(1+'Wastewater Criteria'!$C$23)+('Project Tankers'!AI24*'Wastewater Criteria'!$C$9))*(1+'Wastewater Criteria'!$C$36)</f>
        <v>856.94571776183147</v>
      </c>
      <c r="AJ24" s="44">
        <f>(('Project W Pop Connected'!AK24*'Water Demand Criteria'!AN$17/1000)*('Wastewater Criteria'!$C$8+'Wastewater Criteria'!$C$10*'Water Demand Criteria'!AN$56+'Water Demand Criteria'!AN$37*'Wastewater Criteria'!$C$11)*(1+'Wastewater Criteria'!$C$23)+('Project Tankers'!AJ24*'Wastewater Criteria'!$C$9))*(1+'Wastewater Criteria'!$C$36)</f>
        <v>887.61918120848441</v>
      </c>
      <c r="AK24" s="44">
        <f>(('Project W Pop Connected'!AL24*'Water Demand Criteria'!AO$17/1000)*('Wastewater Criteria'!$C$8+'Wastewater Criteria'!$C$10*'Water Demand Criteria'!AO$56+'Water Demand Criteria'!AO$37*'Wastewater Criteria'!$C$11)*(1+'Wastewater Criteria'!$C$23)+('Project Tankers'!AK24*'Wastewater Criteria'!$C$9))*(1+'Wastewater Criteria'!$C$36)</f>
        <v>919.36942134550543</v>
      </c>
      <c r="AL24" s="44">
        <f>(('Project W Pop Connected'!AM24*'Water Demand Criteria'!AP$17/1000)*('Wastewater Criteria'!$C$8+'Wastewater Criteria'!$C$10*'Water Demand Criteria'!AP$56+'Water Demand Criteria'!AP$37*'Wastewater Criteria'!$C$11)*(1+'Wastewater Criteria'!$C$23)+('Project Tankers'!AL24*'Wastewater Criteria'!$C$9))*(1+'Wastewater Criteria'!$C$36)</f>
        <v>952.1324043607267</v>
      </c>
      <c r="AM24" s="44">
        <f>(('Project W Pop Connected'!AN24*'Water Demand Criteria'!AQ$17/1000)*('Wastewater Criteria'!$C$8+'Wastewater Criteria'!$C$10*'Water Demand Criteria'!AQ$56+'Water Demand Criteria'!AQ$37*'Wastewater Criteria'!$C$11)*(1+'Wastewater Criteria'!$C$23)+('Project Tankers'!AM24*'Wastewater Criteria'!$C$9))*(1+'Wastewater Criteria'!$C$36)</f>
        <v>985.93845377398418</v>
      </c>
      <c r="AN24" s="44">
        <f>(('Project W Pop Connected'!AO24*'Water Demand Criteria'!AR$17/1000)*('Wastewater Criteria'!$C$8+'Wastewater Criteria'!$C$10*'Water Demand Criteria'!AR$56+'Water Demand Criteria'!AR$37*'Wastewater Criteria'!$C$11)*(1+'Wastewater Criteria'!$C$23)+('Project Tankers'!AN24*'Wastewater Criteria'!$C$9))*(1+'Wastewater Criteria'!$C$36)</f>
        <v>1020.8187652941658</v>
      </c>
      <c r="AO24" s="44">
        <f>(('Project W Pop Connected'!AP24*'Water Demand Criteria'!AS$17/1000)*('Wastewater Criteria'!$C$8+'Wastewater Criteria'!$C$10*'Water Demand Criteria'!AS$56+'Water Demand Criteria'!AS$37*'Wastewater Criteria'!$C$11)*(1+'Wastewater Criteria'!$C$23)+('Project Tankers'!AO24*'Wastewater Criteria'!$C$9))*(1+'Wastewater Criteria'!$C$36)</f>
        <v>1056.8054312179429</v>
      </c>
      <c r="AP24" s="44">
        <f>(('Project W Pop Connected'!AQ24*'Water Demand Criteria'!AT$17/1000)*('Wastewater Criteria'!$C$8+'Wastewater Criteria'!$C$10*'Water Demand Criteria'!AT$56+'Water Demand Criteria'!AT$37*'Wastewater Criteria'!$C$11)*(1+'Wastewater Criteria'!$C$23)+('Project Tankers'!AP24*'Wastewater Criteria'!$C$9))*(1+'Wastewater Criteria'!$C$36)</f>
        <v>1093.9314654972513</v>
      </c>
      <c r="AQ24" s="44">
        <f>(('Project W Pop Connected'!AR24*'Water Demand Criteria'!AU$17/1000)*('Wastewater Criteria'!$C$8+'Wastewater Criteria'!$C$10*'Water Demand Criteria'!AU$56+'Water Demand Criteria'!AU$37*'Wastewater Criteria'!$C$11)*(1+'Wastewater Criteria'!$C$23)+('Project Tankers'!AQ24*'Wastewater Criteria'!$C$9))*(1+'Wastewater Criteria'!$C$36)</f>
        <v>1132.2308294935851</v>
      </c>
      <c r="AR24" s="44">
        <f>(('Project W Pop Connected'!AS24*'Water Demand Criteria'!AV$17/1000)*('Wastewater Criteria'!$C$8+'Wastewater Criteria'!$C$10*'Water Demand Criteria'!AV$56+'Water Demand Criteria'!AV$37*'Wastewater Criteria'!$C$11)*(1+'Wastewater Criteria'!$C$23)+('Project Tankers'!AR24*'Wastewater Criteria'!$C$9))*(1+'Wastewater Criteria'!$C$36)</f>
        <v>1171.7384584376168</v>
      </c>
      <c r="AS24" s="44">
        <f>(('Project W Pop Connected'!AT24*'Water Demand Criteria'!AW$17/1000)*('Wastewater Criteria'!$C$8+'Wastewater Criteria'!$C$10*'Water Demand Criteria'!AW$56+'Water Demand Criteria'!AW$37*'Wastewater Criteria'!$C$11)*(1+'Wastewater Criteria'!$C$23)+('Project Tankers'!AS24*'Wastewater Criteria'!$C$9))*(1+'Wastewater Criteria'!$C$36)</f>
        <v>1212.4902886131736</v>
      </c>
      <c r="AT24" s="44">
        <f>(('Project W Pop Connected'!AU24*'Water Demand Criteria'!AX$17/1000)*('Wastewater Criteria'!$C$8+'Wastewater Criteria'!$C$10*'Water Demand Criteria'!AX$56+'Water Demand Criteria'!AX$37*'Wastewater Criteria'!$C$11)*(1+'Wastewater Criteria'!$C$23)+('Project Tankers'!AT24*'Wastewater Criteria'!$C$9))*(1+'Wastewater Criteria'!$C$36)</f>
        <v>1254.5232852850968</v>
      </c>
      <c r="AU24" s="44">
        <f>(('Project W Pop Connected'!AV24*'Water Demand Criteria'!AY$17/1000)*('Wastewater Criteria'!$C$8+'Wastewater Criteria'!$C$10*'Water Demand Criteria'!AY$56+'Water Demand Criteria'!AY$37*'Wastewater Criteria'!$C$11)*(1+'Wastewater Criteria'!$C$23)+('Project Tankers'!AU24*'Wastewater Criteria'!$C$9))*(1+'Wastewater Criteria'!$C$36)</f>
        <v>1297.8754713910314</v>
      </c>
      <c r="AV24" s="44">
        <f>(('Project W Pop Connected'!AW24*'Water Demand Criteria'!AZ$17/1000)*('Wastewater Criteria'!$C$8+'Wastewater Criteria'!$C$10*'Water Demand Criteria'!AZ$56+'Water Demand Criteria'!AZ$37*'Wastewater Criteria'!$C$11)*(1+'Wastewater Criteria'!$C$23)+('Project Tankers'!AV24*'Wastewater Criteria'!$C$9))*(1+'Wastewater Criteria'!$C$36)</f>
        <v>1342.5859570177265</v>
      </c>
      <c r="AW24" s="44">
        <f>(('Project W Pop Connected'!AX24*'Water Demand Criteria'!BA$17/1000)*('Wastewater Criteria'!$C$8+'Wastewater Criteria'!$C$10*'Water Demand Criteria'!BA$56+'Water Demand Criteria'!BA$37*'Wastewater Criteria'!$C$11)*(1+'Wastewater Criteria'!$C$23)+('Project Tankers'!AW24*'Wastewater Criteria'!$C$9))*(1+'Wastewater Criteria'!$C$36)</f>
        <v>1388.6949696829818</v>
      </c>
      <c r="AX24" s="44">
        <f>(('Project W Pop Connected'!AY24*'Water Demand Criteria'!BB$17/1000)*('Wastewater Criteria'!$C$8+'Wastewater Criteria'!$C$10*'Water Demand Criteria'!BB$56+'Water Demand Criteria'!BB$37*'Wastewater Criteria'!$C$11)*(1+'Wastewater Criteria'!$C$23)+('Project Tankers'!AX24*'Wastewater Criteria'!$C$9))*(1+'Wastewater Criteria'!$C$36)</f>
        <v>1422.0236489553738</v>
      </c>
      <c r="AY24" s="44">
        <f>(('Project W Pop Connected'!AZ24*'Water Demand Criteria'!BC$17/1000)*('Wastewater Criteria'!$C$8+'Wastewater Criteria'!$C$10*'Water Demand Criteria'!BC$56+'Water Demand Criteria'!BC$37*'Wastewater Criteria'!$C$11)*(1+'Wastewater Criteria'!$C$23)+('Project Tankers'!AY24*'Wastewater Criteria'!$C$9))*(1+'Wastewater Criteria'!$C$36)</f>
        <v>1456.1522165303022</v>
      </c>
      <c r="AZ24" s="44">
        <f>(('Project W Pop Connected'!BA24*'Water Demand Criteria'!BD$17/1000)*('Wastewater Criteria'!$C$8+'Wastewater Criteria'!$C$10*'Water Demand Criteria'!BD$56+'Water Demand Criteria'!BD$37*'Wastewater Criteria'!$C$11)*(1+'Wastewater Criteria'!$C$23)+('Project Tankers'!AZ24*'Wastewater Criteria'!$C$9))*(1+'Wastewater Criteria'!$C$36)</f>
        <v>1491.09986972703</v>
      </c>
      <c r="BA24" s="44">
        <f>(('Project W Pop Connected'!BB24*'Water Demand Criteria'!BE$17/1000)*('Wastewater Criteria'!$C$8+'Wastewater Criteria'!$C$10*'Water Demand Criteria'!BE$56+'Water Demand Criteria'!BE$37*'Wastewater Criteria'!$C$11)*(1+'Wastewater Criteria'!$C$23)+('Project Tankers'!BA24*'Wastewater Criteria'!$C$9))*(1+'Wastewater Criteria'!$C$36)</f>
        <v>1526.8862666004786</v>
      </c>
      <c r="BB24" s="44">
        <f>(('Project W Pop Connected'!BC24*'Water Demand Criteria'!BF$17/1000)*('Wastewater Criteria'!$C$8+'Wastewater Criteria'!$C$10*'Water Demand Criteria'!BF$56+'Water Demand Criteria'!BF$37*'Wastewater Criteria'!$C$11)*(1+'Wastewater Criteria'!$C$23)+('Project Tankers'!BB24*'Wastewater Criteria'!$C$9))*(1+'Wastewater Criteria'!$C$36)</f>
        <v>1563.53153699889</v>
      </c>
      <c r="BC24" s="44">
        <f>(('Project W Pop Connected'!BD24*'Water Demand Criteria'!BG$17/1000)*('Wastewater Criteria'!$C$8+'Wastewater Criteria'!$C$10*'Water Demand Criteria'!BG$56+'Water Demand Criteria'!BG$37*'Wastewater Criteria'!$C$11)*(1+'Wastewater Criteria'!$C$23)+('Project Tankers'!BC24*'Wastewater Criteria'!$C$9))*(1+'Wastewater Criteria'!$C$36)</f>
        <v>1601.0562938868636</v>
      </c>
      <c r="BD24" s="44">
        <f>(('Project W Pop Connected'!BE24*'Water Demand Criteria'!BH$17/1000)*('Wastewater Criteria'!$C$8+'Wastewater Criteria'!$C$10*'Water Demand Criteria'!BH$56+'Water Demand Criteria'!BH$37*'Wastewater Criteria'!$C$11)*(1+'Wastewater Criteria'!$C$23)+('Project Tankers'!BD24*'Wastewater Criteria'!$C$9))*(1+'Wastewater Criteria'!$C$36)</f>
        <v>1639.4816449401483</v>
      </c>
      <c r="BE24" s="44">
        <f>(('Project W Pop Connected'!BF24*'Water Demand Criteria'!BI$17/1000)*('Wastewater Criteria'!$C$8+'Wastewater Criteria'!$C$10*'Water Demand Criteria'!BI$56+'Water Demand Criteria'!BI$37*'Wastewater Criteria'!$C$11)*(1+'Wastewater Criteria'!$C$23)+('Project Tankers'!BE24*'Wastewater Criteria'!$C$9))*(1+'Wastewater Criteria'!$C$36)</f>
        <v>1678.8292044187117</v>
      </c>
      <c r="BF24" s="44">
        <f>(('Project W Pop Connected'!BG24*'Water Demand Criteria'!BJ$17/1000)*('Wastewater Criteria'!$C$8+'Wastewater Criteria'!$C$10*'Water Demand Criteria'!BJ$56+'Water Demand Criteria'!BJ$37*'Wastewater Criteria'!$C$11)*(1+'Wastewater Criteria'!$C$23)+('Project Tankers'!BF24*'Wastewater Criteria'!$C$9))*(1+'Wastewater Criteria'!$C$36)</f>
        <v>1719.1211053247607</v>
      </c>
      <c r="BG24" s="44">
        <f>(('Project W Pop Connected'!BH24*'Water Demand Criteria'!BK$17/1000)*('Wastewater Criteria'!$C$8+'Wastewater Criteria'!$C$10*'Water Demand Criteria'!BK$56+'Water Demand Criteria'!BK$37*'Wastewater Criteria'!$C$11)*(1+'Wastewater Criteria'!$C$23)+('Project Tankers'!BG24*'Wastewater Criteria'!$C$9))*(1+'Wastewater Criteria'!$C$36)</f>
        <v>1760.3800118525553</v>
      </c>
      <c r="BH24" s="44">
        <f>(('Project W Pop Connected'!BI24*'Water Demand Criteria'!BL$17/1000)*('Wastewater Criteria'!$C$8+'Wastewater Criteria'!$C$10*'Water Demand Criteria'!BL$56+'Water Demand Criteria'!BL$37*'Wastewater Criteria'!$C$11)*(1+'Wastewater Criteria'!$C$23)+('Project Tankers'!BH24*'Wastewater Criteria'!$C$9))*(1+'Wastewater Criteria'!$C$36)</f>
        <v>1802.6291321370161</v>
      </c>
      <c r="BI24" s="44">
        <f>(('Project W Pop Connected'!BJ24*'Water Demand Criteria'!BM$17/1000)*('Wastewater Criteria'!$C$8+'Wastewater Criteria'!$C$10*'Water Demand Criteria'!BM$56+'Water Demand Criteria'!BM$37*'Wastewater Criteria'!$C$11)*(1+'Wastewater Criteria'!$C$23)+('Project Tankers'!BI24*'Wastewater Criteria'!$C$9))*(1+'Wastewater Criteria'!$C$36)</f>
        <v>1845.8922313083046</v>
      </c>
      <c r="BJ24" s="44">
        <f>(('Project W Pop Connected'!BK24*'Water Demand Criteria'!BN$17/1000)*('Wastewater Criteria'!$C$8+'Wastewater Criteria'!$C$10*'Water Demand Criteria'!BN$56+'Water Demand Criteria'!BN$37*'Wastewater Criteria'!$C$11)*(1+'Wastewater Criteria'!$C$23)+('Project Tankers'!BJ24*'Wastewater Criteria'!$C$9))*(1+'Wastewater Criteria'!$C$36)</f>
        <v>1890.1936448597041</v>
      </c>
      <c r="BK24" s="44">
        <f>(('Project W Pop Connected'!BL24*'Water Demand Criteria'!BO$17/1000)*('Wastewater Criteria'!$C$8+'Wastewater Criteria'!$C$10*'Water Demand Criteria'!BO$56+'Water Demand Criteria'!BO$37*'Wastewater Criteria'!$C$11)*(1+'Wastewater Criteria'!$C$23)+('Project Tankers'!BK24*'Wastewater Criteria'!$C$9))*(1+'Wastewater Criteria'!$C$36)</f>
        <v>1935.5582923363368</v>
      </c>
      <c r="BL24" s="44">
        <f>(('Project W Pop Connected'!BM24*'Water Demand Criteria'!BP$17/1000)*('Wastewater Criteria'!$C$8+'Wastewater Criteria'!$C$10*'Water Demand Criteria'!BP$56+'Water Demand Criteria'!BP$37*'Wastewater Criteria'!$C$11)*(1+'Wastewater Criteria'!$C$23)+('Project Tankers'!BL24*'Wastewater Criteria'!$C$9))*(1+'Wastewater Criteria'!$C$36)</f>
        <v>1982.0116913524089</v>
      </c>
      <c r="BM24" s="44">
        <f>(('Project W Pop Connected'!BN24*'Water Demand Criteria'!BQ$17/1000)*('Wastewater Criteria'!$C$8+'Wastewater Criteria'!$C$10*'Water Demand Criteria'!BQ$56+'Water Demand Criteria'!BQ$37*'Wastewater Criteria'!$C$11)*(1+'Wastewater Criteria'!$C$23)+('Project Tankers'!BM24*'Wastewater Criteria'!$C$9))*(1+'Wastewater Criteria'!$C$36)</f>
        <v>2029.5799719448671</v>
      </c>
      <c r="BN24" s="44">
        <f>(('Project W Pop Connected'!BO24*'Water Demand Criteria'!BR$17/1000)*('Wastewater Criteria'!$C$8+'Wastewater Criteria'!$C$10*'Water Demand Criteria'!BR$56+'Water Demand Criteria'!BR$37*'Wastewater Criteria'!$C$11)*(1+'Wastewater Criteria'!$C$23)+('Project Tankers'!BN24*'Wastewater Criteria'!$C$9))*(1+'Wastewater Criteria'!$C$36)</f>
        <v>2078.2898912715436</v>
      </c>
      <c r="BO24" s="44">
        <f>(('Project W Pop Connected'!BP24*'Water Demand Criteria'!BS$17/1000)*('Wastewater Criteria'!$C$8+'Wastewater Criteria'!$C$10*'Water Demand Criteria'!BS$56+'Water Demand Criteria'!BS$37*'Wastewater Criteria'!$C$11)*(1+'Wastewater Criteria'!$C$23)+('Project Tankers'!BO24*'Wastewater Criteria'!$C$9))*(1+'Wastewater Criteria'!$C$36)</f>
        <v>2128.168848662061</v>
      </c>
      <c r="BP24" s="44">
        <f>(('Project W Pop Connected'!BQ24*'Water Demand Criteria'!BT$17/1000)*('Wastewater Criteria'!$C$8+'Wastewater Criteria'!$C$10*'Water Demand Criteria'!BT$56+'Water Demand Criteria'!BT$37*'Wastewater Criteria'!$C$11)*(1+'Wastewater Criteria'!$C$23)+('Project Tankers'!BP24*'Wastewater Criteria'!$C$9))*(1+'Wastewater Criteria'!$C$36)</f>
        <v>2179.2449010299506</v>
      </c>
      <c r="BQ24" s="44">
        <f>(('Project W Pop Connected'!BR24*'Water Demand Criteria'!BU$17/1000)*('Wastewater Criteria'!$C$8+'Wastewater Criteria'!$C$10*'Water Demand Criteria'!BU$56+'Water Demand Criteria'!BU$37*'Wastewater Criteria'!$C$11)*(1+'Wastewater Criteria'!$C$23)+('Project Tankers'!BQ24*'Wastewater Criteria'!$C$9))*(1+'Wastewater Criteria'!$C$36)</f>
        <v>2231.5467786546697</v>
      </c>
      <c r="BR24" s="44">
        <f>(('Project W Pop Connected'!BS24*'Water Demand Criteria'!BV$17/1000)*('Wastewater Criteria'!$C$8+'Wastewater Criteria'!$C$10*'Water Demand Criteria'!BV$56+'Water Demand Criteria'!BV$37*'Wastewater Criteria'!$C$11)*(1+'Wastewater Criteria'!$C$23)+('Project Tankers'!BR24*'Wastewater Criteria'!$C$9))*(1+'Wastewater Criteria'!$C$36)</f>
        <v>2285.1039013423815</v>
      </c>
      <c r="BS24" s="44">
        <f>(('Project W Pop Connected'!BT24*'Water Demand Criteria'!BW$17/1000)*('Wastewater Criteria'!$C$8+'Wastewater Criteria'!$C$10*'Water Demand Criteria'!BW$56+'Water Demand Criteria'!BW$37*'Wastewater Criteria'!$C$11)*(1+'Wastewater Criteria'!$C$23)+('Project Tankers'!BS24*'Wastewater Criteria'!$C$9))*(1+'Wastewater Criteria'!$C$36)</f>
        <v>2339.9463949745991</v>
      </c>
      <c r="BT24" s="44">
        <f>(('Project W Pop Connected'!BU24*'Water Demand Criteria'!BX$17/1000)*('Wastewater Criteria'!$C$8+'Wastewater Criteria'!$C$10*'Water Demand Criteria'!BX$56+'Water Demand Criteria'!BX$37*'Wastewater Criteria'!$C$11)*(1+'Wastewater Criteria'!$C$23)+('Project Tankers'!BT24*'Wastewater Criteria'!$C$9))*(1+'Wastewater Criteria'!$C$36)</f>
        <v>2396.1051084539895</v>
      </c>
      <c r="BU24" s="44">
        <f>(('Project W Pop Connected'!BV24*'Water Demand Criteria'!BY$17/1000)*('Wastewater Criteria'!$C$8+'Wastewater Criteria'!$C$10*'Water Demand Criteria'!BY$56+'Water Demand Criteria'!BY$37*'Wastewater Criteria'!$C$11)*(1+'Wastewater Criteria'!$C$23)+('Project Tankers'!BU24*'Wastewater Criteria'!$C$9))*(1+'Wastewater Criteria'!$C$36)</f>
        <v>2453.611631056885</v>
      </c>
      <c r="BV24" s="44">
        <f>(('Project W Pop Connected'!BW24*'Water Demand Criteria'!BZ$17/1000)*('Wastewater Criteria'!$C$8+'Wastewater Criteria'!$C$10*'Water Demand Criteria'!BZ$56+'Water Demand Criteria'!BZ$37*'Wastewater Criteria'!$C$11)*(1+'Wastewater Criteria'!$C$23)+('Project Tankers'!BV24*'Wastewater Criteria'!$C$9))*(1+'Wastewater Criteria'!$C$36)</f>
        <v>2512.4983102022502</v>
      </c>
      <c r="BW24" s="44">
        <f>(('Project W Pop Connected'!BX24*'Water Demand Criteria'!CA$17/1000)*('Wastewater Criteria'!$C$8+'Wastewater Criteria'!$C$10*'Water Demand Criteria'!CA$56+'Water Demand Criteria'!CA$37*'Wastewater Criteria'!$C$11)*(1+'Wastewater Criteria'!$C$23)+('Project Tankers'!BW24*'Wastewater Criteria'!$C$9))*(1+'Wastewater Criteria'!$C$36)</f>
        <v>2572.798269647104</v>
      </c>
      <c r="BX24" s="44">
        <f>(('Project W Pop Connected'!BY24*'Water Demand Criteria'!CB$17/1000)*('Wastewater Criteria'!$C$8+'Wastewater Criteria'!$C$10*'Water Demand Criteria'!CB$56+'Water Demand Criteria'!CB$37*'Wastewater Criteria'!$C$11)*(1+'Wastewater Criteria'!$C$23)+('Project Tankers'!BX24*'Wastewater Criteria'!$C$9))*(1+'Wastewater Criteria'!$C$36)</f>
        <v>2634.5454281186348</v>
      </c>
      <c r="BY24" s="44">
        <f>(('Project W Pop Connected'!BZ24*'Water Demand Criteria'!CC$17/1000)*('Wastewater Criteria'!$C$8+'Wastewater Criteria'!$C$10*'Water Demand Criteria'!CC$56+'Water Demand Criteria'!CC$37*'Wastewater Criteria'!$C$11)*(1+'Wastewater Criteria'!$C$23)+('Project Tankers'!BY24*'Wastewater Criteria'!$C$9))*(1+'Wastewater Criteria'!$C$36)</f>
        <v>2697.7745183934817</v>
      </c>
      <c r="BZ24" s="44">
        <f>(('Project W Pop Connected'!CA24*'Water Demand Criteria'!CD$17/1000)*('Wastewater Criteria'!$C$8+'Wastewater Criteria'!$C$10*'Water Demand Criteria'!CD$56+'Water Demand Criteria'!CD$37*'Wastewater Criteria'!$C$11)*(1+'Wastewater Criteria'!$C$23)+('Project Tankers'!BZ24*'Wastewater Criteria'!$C$9))*(1+'Wastewater Criteria'!$C$36)</f>
        <v>2762.5211068349254</v>
      </c>
      <c r="CA24" s="44">
        <f>(('Project W Pop Connected'!CB24*'Water Demand Criteria'!CE$17/1000)*('Wastewater Criteria'!$C$8+'Wastewater Criteria'!$C$10*'Water Demand Criteria'!CE$56+'Water Demand Criteria'!CE$37*'Wastewater Criteria'!$C$11)*(1+'Wastewater Criteria'!$C$23)+('Project Tankers'!CA24*'Wastewater Criteria'!$C$9))*(1+'Wastewater Criteria'!$C$36)</f>
        <v>2828.821613398964</v>
      </c>
    </row>
    <row r="25" spans="1:79" x14ac:dyDescent="0.25">
      <c r="A25" s="33">
        <v>24</v>
      </c>
      <c r="B25" s="36" t="s">
        <v>51</v>
      </c>
      <c r="C25" s="34">
        <f>(('Project W Pop Connected'!D25*'Water Demand Criteria'!G$17/1000)*('Wastewater Criteria'!$C$8+'Wastewater Criteria'!$C$10*'Water Demand Criteria'!G$56+'Water Demand Criteria'!G$37*'Wastewater Criteria'!$C$11)*(1+'Wastewater Criteria'!$C$23)+('Project Tankers'!C25*'Wastewater Criteria'!$C$9))*(1+'Wastewater Criteria'!$C$36)</f>
        <v>10.349529766656069</v>
      </c>
      <c r="D25" s="34">
        <f>(('Project W Pop Connected'!E25*'Water Demand Criteria'!H$17/1000)*('Wastewater Criteria'!$C$8+'Wastewater Criteria'!$C$10*'Water Demand Criteria'!H$56+'Water Demand Criteria'!H$37*'Wastewater Criteria'!$C$11)*(1+'Wastewater Criteria'!$C$23)+('Project Tankers'!D25*'Wastewater Criteria'!$C$9))*(1+'Wastewater Criteria'!$C$36)</f>
        <v>11.158860256561349</v>
      </c>
      <c r="E25" s="34">
        <f>(('Project W Pop Connected'!F25*'Water Demand Criteria'!I$17/1000)*('Wastewater Criteria'!$C$8+'Wastewater Criteria'!$C$10*'Water Demand Criteria'!I$56+'Water Demand Criteria'!I$37*'Wastewater Criteria'!$C$11)*(1+'Wastewater Criteria'!$C$23)+('Project Tankers'!E25*'Wastewater Criteria'!$C$9))*(1+'Wastewater Criteria'!$C$36)</f>
        <v>12.041600652295292</v>
      </c>
      <c r="F25" s="34">
        <f>(('Project W Pop Connected'!G25*'Water Demand Criteria'!J$17/1000)*('Wastewater Criteria'!$C$8+'Wastewater Criteria'!$C$10*'Water Demand Criteria'!J$56+'Water Demand Criteria'!J$37*'Wastewater Criteria'!$C$11)*(1+'Wastewater Criteria'!$C$23)+('Project Tankers'!F25*'Wastewater Criteria'!$C$9))*(1+'Wastewater Criteria'!$C$36)</f>
        <v>12.959962107008105</v>
      </c>
      <c r="G25" s="34">
        <f>(('Project W Pop Connected'!H25*'Water Demand Criteria'!K$17/1000)*('Wastewater Criteria'!$C$8+'Wastewater Criteria'!$C$10*'Water Demand Criteria'!K$56+'Water Demand Criteria'!K$37*'Wastewater Criteria'!$C$11)*(1+'Wastewater Criteria'!$C$23)+('Project Tankers'!G25*'Wastewater Criteria'!$C$9))*(1+'Wastewater Criteria'!$C$36)</f>
        <v>13.915495901716104</v>
      </c>
      <c r="H25" s="34">
        <f>(('Project W Pop Connected'!I25*'Water Demand Criteria'!L$17/1000)*('Wastewater Criteria'!$C$8+'Wastewater Criteria'!$C$10*'Water Demand Criteria'!L$56+'Water Demand Criteria'!L$37*'Wastewater Criteria'!$C$11)*(1+'Wastewater Criteria'!$C$23)+('Project Tankers'!H25*'Wastewater Criteria'!$C$9))*(1+'Wastewater Criteria'!$C$36)</f>
        <v>14.909124166173562</v>
      </c>
      <c r="I25" s="34">
        <f>(('Project W Pop Connected'!J25*'Water Demand Criteria'!M$17/1000)*('Wastewater Criteria'!$C$8+'Wastewater Criteria'!$C$10*'Water Demand Criteria'!M$56+'Water Demand Criteria'!M$37*'Wastewater Criteria'!$C$11)*(1+'Wastewater Criteria'!$C$23)+('Project Tankers'!I25*'Wastewater Criteria'!$C$9))*(1+'Wastewater Criteria'!$C$36)</f>
        <v>15.873362049754084</v>
      </c>
      <c r="J25" s="34">
        <f>(('Project W Pop Connected'!K25*'Water Demand Criteria'!N$17/1000)*('Wastewater Criteria'!$C$8+'Wastewater Criteria'!$C$10*'Water Demand Criteria'!N$56+'Water Demand Criteria'!N$37*'Wastewater Criteria'!$C$11)*(1+'Wastewater Criteria'!$C$23)+('Project Tankers'!J25*'Wastewater Criteria'!$C$9))*(1+'Wastewater Criteria'!$C$36)</f>
        <v>16.940276357093122</v>
      </c>
      <c r="K25" s="34">
        <f>(('Project W Pop Connected'!L25*'Water Demand Criteria'!O$17/1000)*('Wastewater Criteria'!$C$8+'Wastewater Criteria'!$C$10*'Water Demand Criteria'!O$56+'Water Demand Criteria'!O$37*'Wastewater Criteria'!$C$11)*(1+'Wastewater Criteria'!$C$23)+('Project Tankers'!K25*'Wastewater Criteria'!$C$9))*(1+'Wastewater Criteria'!$C$36)</f>
        <v>18.04876466370197</v>
      </c>
      <c r="L25" s="34">
        <f>(('Project W Pop Connected'!M25*'Water Demand Criteria'!P$17/1000)*('Wastewater Criteria'!$C$8+'Wastewater Criteria'!$C$10*'Water Demand Criteria'!P$56+'Water Demand Criteria'!P$37*'Wastewater Criteria'!$C$11)*(1+'Wastewater Criteria'!$C$23)+('Project Tankers'!L25*'Wastewater Criteria'!$C$9))*(1+'Wastewater Criteria'!$C$36)</f>
        <v>18.961393187932941</v>
      </c>
      <c r="M25" s="34">
        <f>(('Project W Pop Connected'!N25*'Water Demand Criteria'!Q$17/1000)*('Wastewater Criteria'!$C$8+'Wastewater Criteria'!$C$10*'Water Demand Criteria'!Q$56+'Water Demand Criteria'!Q$37*'Wastewater Criteria'!$C$11)*(1+'Wastewater Criteria'!$C$23)+('Project Tankers'!M25*'Wastewater Criteria'!$C$9))*(1+'Wastewater Criteria'!$C$36)</f>
        <v>20.400091182980056</v>
      </c>
      <c r="N25" s="34">
        <f>(('Project W Pop Connected'!O25*'Water Demand Criteria'!R$17/1000)*('Wastewater Criteria'!$C$8+'Wastewater Criteria'!$C$10*'Water Demand Criteria'!R$56+'Water Demand Criteria'!R$37*'Wastewater Criteria'!$C$11)*(1+'Wastewater Criteria'!$C$23)+('Project Tankers'!N25*'Wastewater Criteria'!$C$9))*(1+'Wastewater Criteria'!$C$36)</f>
        <v>21.54670322855506</v>
      </c>
      <c r="O25" s="34">
        <f>(('Project W Pop Connected'!P25*'Water Demand Criteria'!S$17/1000)*('Wastewater Criteria'!$C$8+'Wastewater Criteria'!$C$10*'Water Demand Criteria'!S$56+'Water Demand Criteria'!S$37*'Wastewater Criteria'!$C$11)*(1+'Wastewater Criteria'!$C$23)+('Project Tankers'!O25*'Wastewater Criteria'!$C$9))*(1+'Wastewater Criteria'!$C$36)</f>
        <v>22.103342457341657</v>
      </c>
      <c r="P25" s="34">
        <f>(('Project W Pop Connected'!Q25*'Water Demand Criteria'!T$17/1000)*('Wastewater Criteria'!$C$8+'Wastewater Criteria'!$C$10*'Water Demand Criteria'!T$56+'Water Demand Criteria'!T$37*'Wastewater Criteria'!$C$11)*(1+'Wastewater Criteria'!$C$23)+('Project Tankers'!P25*'Wastewater Criteria'!$C$9))*(1+'Wastewater Criteria'!$C$36)</f>
        <v>22.681933152989661</v>
      </c>
      <c r="Q25" s="34">
        <f>(('Project W Pop Connected'!R25*'Water Demand Criteria'!U$17/1000)*('Wastewater Criteria'!$C$8+'Wastewater Criteria'!$C$10*'Water Demand Criteria'!U$56+'Water Demand Criteria'!U$37*'Wastewater Criteria'!$C$11)*(1+'Wastewater Criteria'!$C$23)+('Project Tankers'!Q25*'Wastewater Criteria'!$C$9))*(1+'Wastewater Criteria'!$C$36)</f>
        <v>23.280869110606794</v>
      </c>
      <c r="R25" s="34">
        <f>(('Project W Pop Connected'!S25*'Water Demand Criteria'!V$17/1000)*('Wastewater Criteria'!$C$8+'Wastewater Criteria'!$C$10*'Water Demand Criteria'!V$56+'Water Demand Criteria'!V$37*'Wastewater Criteria'!$C$11)*(1+'Wastewater Criteria'!$C$23)+('Project Tankers'!R25*'Wastewater Criteria'!$C$9))*(1+'Wastewater Criteria'!$C$36)</f>
        <v>23.905504346500688</v>
      </c>
      <c r="S25" s="34">
        <f>(('Project W Pop Connected'!T25*'Water Demand Criteria'!W$17/1000)*('Wastewater Criteria'!$C$8+'Wastewater Criteria'!$C$10*'Water Demand Criteria'!W$56+'Water Demand Criteria'!W$37*'Wastewater Criteria'!$C$11)*(1+'Wastewater Criteria'!$C$23)+('Project Tankers'!S25*'Wastewater Criteria'!$C$9))*(1+'Wastewater Criteria'!$C$36)</f>
        <v>24.425468563579802</v>
      </c>
      <c r="T25" s="34">
        <f>(('Project W Pop Connected'!U25*'Water Demand Criteria'!X$17/1000)*('Wastewater Criteria'!$C$8+'Wastewater Criteria'!$C$10*'Water Demand Criteria'!X$56+'Water Demand Criteria'!X$37*'Wastewater Criteria'!$C$11)*(1+'Wastewater Criteria'!$C$23)+('Project Tankers'!T25*'Wastewater Criteria'!$C$9))*(1+'Wastewater Criteria'!$C$36)</f>
        <v>24.891420774318615</v>
      </c>
      <c r="U25" s="34">
        <f>(('Project W Pop Connected'!V25*'Water Demand Criteria'!Y$17/1000)*('Wastewater Criteria'!$C$8+'Wastewater Criteria'!$C$10*'Water Demand Criteria'!Y$56+'Water Demand Criteria'!Y$37*'Wastewater Criteria'!$C$11)*(1+'Wastewater Criteria'!$C$23)+('Project Tankers'!U25*'Wastewater Criteria'!$C$9))*(1+'Wastewater Criteria'!$C$36)</f>
        <v>25.378645638707212</v>
      </c>
      <c r="V25" s="34">
        <f>(('Project W Pop Connected'!W25*'Water Demand Criteria'!Z$17/1000)*('Wastewater Criteria'!$C$8+'Wastewater Criteria'!$C$10*'Water Demand Criteria'!Z$56+'Water Demand Criteria'!Z$37*'Wastewater Criteria'!$C$11)*(1+'Wastewater Criteria'!$C$23)+('Project Tankers'!V25*'Wastewater Criteria'!$C$9))*(1+'Wastewater Criteria'!$C$36)</f>
        <v>25.88103827969541</v>
      </c>
      <c r="W25" s="34">
        <f>(('Project W Pop Connected'!X25*'Water Demand Criteria'!AA$17/1000)*('Wastewater Criteria'!$C$8+'Wastewater Criteria'!$C$10*'Water Demand Criteria'!AA$56+'Water Demand Criteria'!AA$37*'Wastewater Criteria'!$C$11)*(1+'Wastewater Criteria'!$C$23)+('Project Tankers'!W25*'Wastewater Criteria'!$C$9))*(1+'Wastewater Criteria'!$C$36)</f>
        <v>26.39964251962919</v>
      </c>
      <c r="X25" s="34">
        <f>(('Project W Pop Connected'!Y25*'Water Demand Criteria'!AB$17/1000)*('Wastewater Criteria'!$C$8+'Wastewater Criteria'!$C$10*'Water Demand Criteria'!AB$56+'Water Demand Criteria'!AB$37*'Wastewater Criteria'!$C$11)*(1+'Wastewater Criteria'!$C$23)+('Project Tankers'!X25*'Wastewater Criteria'!$C$9))*(1+'Wastewater Criteria'!$C$36)</f>
        <v>26.935502180869562</v>
      </c>
      <c r="Y25" s="34">
        <f>(('Project W Pop Connected'!Z25*'Water Demand Criteria'!AC$17/1000)*('Wastewater Criteria'!$C$8+'Wastewater Criteria'!$C$10*'Water Demand Criteria'!AC$56+'Water Demand Criteria'!AC$37*'Wastewater Criteria'!$C$11)*(1+'Wastewater Criteria'!$C$23)+('Project Tankers'!Y25*'Wastewater Criteria'!$C$9))*(1+'Wastewater Criteria'!$C$36)</f>
        <v>27.489661086588175</v>
      </c>
      <c r="Z25" s="34">
        <f>(('Project W Pop Connected'!AA25*'Water Demand Criteria'!AD$17/1000)*('Wastewater Criteria'!$C$8+'Wastewater Criteria'!$C$10*'Water Demand Criteria'!AD$56+'Water Demand Criteria'!AD$37*'Wastewater Criteria'!$C$11)*(1+'Wastewater Criteria'!$C$23)+('Project Tankers'!Z25*'Wastewater Criteria'!$C$9))*(1+'Wastewater Criteria'!$C$36)</f>
        <v>28.063163058582528</v>
      </c>
      <c r="AA25" s="34">
        <f>(('Project W Pop Connected'!AB25*'Water Demand Criteria'!AE$17/1000)*('Wastewater Criteria'!$C$8+'Wastewater Criteria'!$C$10*'Water Demand Criteria'!AE$56+'Water Demand Criteria'!AE$37*'Wastewater Criteria'!$C$11)*(1+'Wastewater Criteria'!$C$23)+('Project Tankers'!AA25*'Wastewater Criteria'!$C$9))*(1+'Wastewater Criteria'!$C$36)</f>
        <v>28.657051920915499</v>
      </c>
      <c r="AB25" s="34">
        <f>(('Project W Pop Connected'!AC25*'Water Demand Criteria'!AF$17/1000)*('Wastewater Criteria'!$C$8+'Wastewater Criteria'!$C$10*'Water Demand Criteria'!AF$56+'Water Demand Criteria'!AF$37*'Wastewater Criteria'!$C$11)*(1+'Wastewater Criteria'!$C$23)+('Project Tankers'!AB25*'Wastewater Criteria'!$C$9))*(1+'Wastewater Criteria'!$C$36)</f>
        <v>29.272371494599739</v>
      </c>
      <c r="AC25" s="34">
        <f>(('Project W Pop Connected'!AD25*'Water Demand Criteria'!AG$17/1000)*('Wastewater Criteria'!$C$8+'Wastewater Criteria'!$C$10*'Water Demand Criteria'!AG$56+'Water Demand Criteria'!AG$37*'Wastewater Criteria'!$C$11)*(1+'Wastewater Criteria'!$C$23)+('Project Tankers'!AC25*'Wastewater Criteria'!$C$9))*(1+'Wastewater Criteria'!$C$36)</f>
        <v>29.910165604221909</v>
      </c>
      <c r="AD25" s="44">
        <f>(('Project W Pop Connected'!AE25*'Water Demand Criteria'!AH$17/1000)*('Wastewater Criteria'!$C$8+'Wastewater Criteria'!$C$10*'Water Demand Criteria'!AH$56+'Water Demand Criteria'!AH$37*'Wastewater Criteria'!$C$11)*(1+'Wastewater Criteria'!$C$23)+('Project Tankers'!AD25*'Wastewater Criteria'!$C$9))*(1+'Wastewater Criteria'!$C$36)</f>
        <v>30.952964553770066</v>
      </c>
      <c r="AE25" s="44">
        <f>(('Project W Pop Connected'!AF25*'Water Demand Criteria'!AI$17/1000)*('Wastewater Criteria'!$C$8+'Wastewater Criteria'!$C$10*'Water Demand Criteria'!AI$56+'Water Demand Criteria'!AI$37*'Wastewater Criteria'!$C$11)*(1+'Wastewater Criteria'!$C$23)+('Project Tankers'!AE25*'Wastewater Criteria'!$C$9))*(1+'Wastewater Criteria'!$C$36)</f>
        <v>32.036638356256702</v>
      </c>
      <c r="AF25" s="44">
        <f>(('Project W Pop Connected'!AG25*'Water Demand Criteria'!AJ$17/1000)*('Wastewater Criteria'!$C$8+'Wastewater Criteria'!$C$10*'Water Demand Criteria'!AJ$56+'Water Demand Criteria'!AJ$37*'Wastewater Criteria'!$C$11)*(1+'Wastewater Criteria'!$C$23)+('Project Tankers'!AF25*'Wastewater Criteria'!$C$9))*(1+'Wastewater Criteria'!$C$36)</f>
        <v>33.163048817000529</v>
      </c>
      <c r="AG25" s="44">
        <f>(('Project W Pop Connected'!AH25*'Water Demand Criteria'!AK$17/1000)*('Wastewater Criteria'!$C$8+'Wastewater Criteria'!$C$10*'Water Demand Criteria'!AK$56+'Water Demand Criteria'!AK$37*'Wastewater Criteria'!$C$11)*(1+'Wastewater Criteria'!$C$23)+('Project Tankers'!AG25*'Wastewater Criteria'!$C$9))*(1+'Wastewater Criteria'!$C$36)</f>
        <v>34.334149559112014</v>
      </c>
      <c r="AH25" s="44">
        <f>(('Project W Pop Connected'!AI25*'Water Demand Criteria'!AL$17/1000)*('Wastewater Criteria'!$C$8+'Wastewater Criteria'!$C$10*'Water Demand Criteria'!AL$56+'Water Demand Criteria'!AL$37*'Wastewater Criteria'!$C$11)*(1+'Wastewater Criteria'!$C$23)+('Project Tankers'!AH25*'Wastewater Criteria'!$C$9))*(1+'Wastewater Criteria'!$C$36)</f>
        <v>35.551990958641596</v>
      </c>
      <c r="AI25" s="44">
        <f>(('Project W Pop Connected'!AJ25*'Water Demand Criteria'!AM$17/1000)*('Wastewater Criteria'!$C$8+'Wastewater Criteria'!$C$10*'Water Demand Criteria'!AM$56+'Water Demand Criteria'!AM$37*'Wastewater Criteria'!$C$11)*(1+'Wastewater Criteria'!$C$23)+('Project Tankers'!AI25*'Wastewater Criteria'!$C$9))*(1+'Wastewater Criteria'!$C$36)</f>
        <v>36.818725361816178</v>
      </c>
      <c r="AJ25" s="44">
        <f>(('Project W Pop Connected'!AK25*'Water Demand Criteria'!AN$17/1000)*('Wastewater Criteria'!$C$8+'Wastewater Criteria'!$C$10*'Water Demand Criteria'!AN$56+'Water Demand Criteria'!AN$37*'Wastewater Criteria'!$C$11)*(1+'Wastewater Criteria'!$C$23)+('Project Tankers'!AJ25*'Wastewater Criteria'!$C$9))*(1+'Wastewater Criteria'!$C$36)</f>
        <v>38.136612601497696</v>
      </c>
      <c r="AK25" s="44">
        <f>(('Project W Pop Connected'!AL25*'Water Demand Criteria'!AO$17/1000)*('Wastewater Criteria'!$C$8+'Wastewater Criteria'!$C$10*'Water Demand Criteria'!AO$56+'Water Demand Criteria'!AO$37*'Wastewater Criteria'!$C$11)*(1+'Wastewater Criteria'!$C$23)+('Project Tankers'!AK25*'Wastewater Criteria'!$C$9))*(1+'Wastewater Criteria'!$C$36)</f>
        <v>39.500763617771945</v>
      </c>
      <c r="AL25" s="44">
        <f>(('Project W Pop Connected'!AM25*'Water Demand Criteria'!AP$17/1000)*('Wastewater Criteria'!$C$8+'Wastewater Criteria'!$C$10*'Water Demand Criteria'!AP$56+'Water Demand Criteria'!AP$37*'Wastewater Criteria'!$C$11)*(1+'Wastewater Criteria'!$C$23)+('Project Tankers'!AL25*'Wastewater Criteria'!$C$9))*(1+'Wastewater Criteria'!$C$36)</f>
        <v>40.908427193968912</v>
      </c>
      <c r="AM25" s="44">
        <f>(('Project W Pop Connected'!AN25*'Water Demand Criteria'!AQ$17/1000)*('Wastewater Criteria'!$C$8+'Wastewater Criteria'!$C$10*'Water Demand Criteria'!AQ$56+'Water Demand Criteria'!AQ$37*'Wastewater Criteria'!$C$11)*(1+'Wastewater Criteria'!$C$23)+('Project Tankers'!AM25*'Wastewater Criteria'!$C$9))*(1+'Wastewater Criteria'!$C$36)</f>
        <v>42.360906181979509</v>
      </c>
      <c r="AN25" s="44">
        <f>(('Project W Pop Connected'!AO25*'Water Demand Criteria'!AR$17/1000)*('Wastewater Criteria'!$C$8+'Wastewater Criteria'!$C$10*'Water Demand Criteria'!AR$56+'Water Demand Criteria'!AR$37*'Wastewater Criteria'!$C$11)*(1+'Wastewater Criteria'!$C$23)+('Project Tankers'!AN25*'Wastewater Criteria'!$C$9))*(1+'Wastewater Criteria'!$C$36)</f>
        <v>43.859540907350862</v>
      </c>
      <c r="AO25" s="44">
        <f>(('Project W Pop Connected'!AP25*'Water Demand Criteria'!AS$17/1000)*('Wastewater Criteria'!$C$8+'Wastewater Criteria'!$C$10*'Water Demand Criteria'!AS$56+'Water Demand Criteria'!AS$37*'Wastewater Criteria'!$C$11)*(1+'Wastewater Criteria'!$C$23)+('Project Tankers'!AO25*'Wastewater Criteria'!$C$9))*(1+'Wastewater Criteria'!$C$36)</f>
        <v>45.405710217579241</v>
      </c>
      <c r="AP25" s="44">
        <f>(('Project W Pop Connected'!AQ25*'Water Demand Criteria'!AT$17/1000)*('Wastewater Criteria'!$C$8+'Wastewater Criteria'!$C$10*'Water Demand Criteria'!AT$56+'Water Demand Criteria'!AT$37*'Wastewater Criteria'!$C$11)*(1+'Wastewater Criteria'!$C$23)+('Project Tankers'!AP25*'Wastewater Criteria'!$C$9))*(1+'Wastewater Criteria'!$C$36)</f>
        <v>47.000832559135937</v>
      </c>
      <c r="AQ25" s="44">
        <f>(('Project W Pop Connected'!AR25*'Water Demand Criteria'!AU$17/1000)*('Wastewater Criteria'!$C$8+'Wastewater Criteria'!$C$10*'Water Demand Criteria'!AU$56+'Water Demand Criteria'!AU$37*'Wastewater Criteria'!$C$11)*(1+'Wastewater Criteria'!$C$23)+('Project Tankers'!AQ25*'Wastewater Criteria'!$C$9))*(1+'Wastewater Criteria'!$C$36)</f>
        <v>48.646367084002023</v>
      </c>
      <c r="AR25" s="44">
        <f>(('Project W Pop Connected'!AS25*'Water Demand Criteria'!AV$17/1000)*('Wastewater Criteria'!$C$8+'Wastewater Criteria'!$C$10*'Water Demand Criteria'!AV$56+'Water Demand Criteria'!AV$37*'Wastewater Criteria'!$C$11)*(1+'Wastewater Criteria'!$C$23)+('Project Tankers'!AR25*'Wastewater Criteria'!$C$9))*(1+'Wastewater Criteria'!$C$36)</f>
        <v>50.343814786507636</v>
      </c>
      <c r="AS25" s="44">
        <f>(('Project W Pop Connected'!AT25*'Water Demand Criteria'!AW$17/1000)*('Wastewater Criteria'!$C$8+'Wastewater Criteria'!$C$10*'Water Demand Criteria'!AW$56+'Water Demand Criteria'!AW$37*'Wastewater Criteria'!$C$11)*(1+'Wastewater Criteria'!$C$23)+('Project Tankers'!AS25*'Wastewater Criteria'!$C$9))*(1+'Wastewater Criteria'!$C$36)</f>
        <v>52.094719671293134</v>
      </c>
      <c r="AT25" s="44">
        <f>(('Project W Pop Connected'!AU25*'Water Demand Criteria'!AX$17/1000)*('Wastewater Criteria'!$C$8+'Wastewater Criteria'!$C$10*'Water Demand Criteria'!AX$56+'Water Demand Criteria'!AX$37*'Wastewater Criteria'!$C$11)*(1+'Wastewater Criteria'!$C$23)+('Project Tankers'!AT25*'Wastewater Criteria'!$C$9))*(1+'Wastewater Criteria'!$C$36)</f>
        <v>53.900669953231279</v>
      </c>
      <c r="AU25" s="44">
        <f>(('Project W Pop Connected'!AV25*'Water Demand Criteria'!AY$17/1000)*('Wastewater Criteria'!$C$8+'Wastewater Criteria'!$C$10*'Water Demand Criteria'!AY$56+'Water Demand Criteria'!AY$37*'Wastewater Criteria'!$C$11)*(1+'Wastewater Criteria'!$C$23)+('Project Tankers'!AU25*'Wastewater Criteria'!$C$9))*(1+'Wastewater Criteria'!$C$36)</f>
        <v>55.763299290171815</v>
      </c>
      <c r="AV25" s="44">
        <f>(('Project W Pop Connected'!AW25*'Water Demand Criteria'!AZ$17/1000)*('Wastewater Criteria'!$C$8+'Wastewater Criteria'!$C$10*'Water Demand Criteria'!AZ$56+'Water Demand Criteria'!AZ$37*'Wastewater Criteria'!$C$11)*(1+'Wastewater Criteria'!$C$23)+('Project Tankers'!AV25*'Wastewater Criteria'!$C$9))*(1+'Wastewater Criteria'!$C$36)</f>
        <v>57.684288049392421</v>
      </c>
      <c r="AW25" s="44">
        <f>(('Project W Pop Connected'!AX25*'Water Demand Criteria'!BA$17/1000)*('Wastewater Criteria'!$C$8+'Wastewater Criteria'!$C$10*'Water Demand Criteria'!BA$56+'Water Demand Criteria'!BA$37*'Wastewater Criteria'!$C$11)*(1+'Wastewater Criteria'!$C$23)+('Project Tankers'!AW25*'Wastewater Criteria'!$C$9))*(1+'Wastewater Criteria'!$C$36)</f>
        <v>59.66536460866449</v>
      </c>
      <c r="AX25" s="44">
        <f>(('Project W Pop Connected'!AY25*'Water Demand Criteria'!BB$17/1000)*('Wastewater Criteria'!$C$8+'Wastewater Criteria'!$C$10*'Water Demand Criteria'!BB$56+'Water Demand Criteria'!BB$37*'Wastewater Criteria'!$C$11)*(1+'Wastewater Criteria'!$C$23)+('Project Tankers'!AX25*'Wastewater Criteria'!$C$9))*(1+'Wastewater Criteria'!$C$36)</f>
        <v>61.09733335927244</v>
      </c>
      <c r="AY25" s="44">
        <f>(('Project W Pop Connected'!AZ25*'Water Demand Criteria'!BC$17/1000)*('Wastewater Criteria'!$C$8+'Wastewater Criteria'!$C$10*'Water Demand Criteria'!BC$56+'Water Demand Criteria'!BC$37*'Wastewater Criteria'!$C$11)*(1+'Wastewater Criteria'!$C$23)+('Project Tankers'!AY25*'Wastewater Criteria'!$C$9))*(1+'Wastewater Criteria'!$C$36)</f>
        <v>62.563669359894973</v>
      </c>
      <c r="AZ25" s="44">
        <f>(('Project W Pop Connected'!BA25*'Water Demand Criteria'!BD$17/1000)*('Wastewater Criteria'!$C$8+'Wastewater Criteria'!$C$10*'Water Demand Criteria'!BD$56+'Water Demand Criteria'!BD$37*'Wastewater Criteria'!$C$11)*(1+'Wastewater Criteria'!$C$23)+('Project Tankers'!AZ25*'Wastewater Criteria'!$C$9))*(1+'Wastewater Criteria'!$C$36)</f>
        <v>64.065197424532457</v>
      </c>
      <c r="BA25" s="44">
        <f>(('Project W Pop Connected'!BB25*'Water Demand Criteria'!BE$17/1000)*('Wastewater Criteria'!$C$8+'Wastewater Criteria'!$C$10*'Water Demand Criteria'!BE$56+'Water Demand Criteria'!BE$37*'Wastewater Criteria'!$C$11)*(1+'Wastewater Criteria'!$C$23)+('Project Tankers'!BA25*'Wastewater Criteria'!$C$9))*(1+'Wastewater Criteria'!$C$36)</f>
        <v>65.602762162721248</v>
      </c>
      <c r="BB25" s="44">
        <f>(('Project W Pop Connected'!BC25*'Water Demand Criteria'!BF$17/1000)*('Wastewater Criteria'!$C$8+'Wastewater Criteria'!$C$10*'Water Demand Criteria'!BF$56+'Water Demand Criteria'!BF$37*'Wastewater Criteria'!$C$11)*(1+'Wastewater Criteria'!$C$23)+('Project Tankers'!BB25*'Wastewater Criteria'!$C$9))*(1+'Wastewater Criteria'!$C$36)</f>
        <v>67.177228454626544</v>
      </c>
      <c r="BC25" s="44">
        <f>(('Project W Pop Connected'!BD25*'Water Demand Criteria'!BG$17/1000)*('Wastewater Criteria'!$C$8+'Wastewater Criteria'!$C$10*'Water Demand Criteria'!BG$56+'Water Demand Criteria'!BG$37*'Wastewater Criteria'!$C$11)*(1+'Wastewater Criteria'!$C$23)+('Project Tankers'!BC25*'Wastewater Criteria'!$C$9))*(1+'Wastewater Criteria'!$C$36)</f>
        <v>68.789481937537587</v>
      </c>
      <c r="BD25" s="44">
        <f>(('Project W Pop Connected'!BE25*'Water Demand Criteria'!BH$17/1000)*('Wastewater Criteria'!$C$8+'Wastewater Criteria'!$C$10*'Water Demand Criteria'!BH$56+'Water Demand Criteria'!BH$37*'Wastewater Criteria'!$C$11)*(1+'Wastewater Criteria'!$C$23)+('Project Tankers'!BD25*'Wastewater Criteria'!$C$9))*(1+'Wastewater Criteria'!$C$36)</f>
        <v>70.440429504038491</v>
      </c>
      <c r="BE25" s="44">
        <f>(('Project W Pop Connected'!BF25*'Water Demand Criteria'!BI$17/1000)*('Wastewater Criteria'!$C$8+'Wastewater Criteria'!$C$10*'Water Demand Criteria'!BI$56+'Water Demand Criteria'!BI$37*'Wastewater Criteria'!$C$11)*(1+'Wastewater Criteria'!$C$23)+('Project Tankers'!BE25*'Wastewater Criteria'!$C$9))*(1+'Wastewater Criteria'!$C$36)</f>
        <v>72.130999812135414</v>
      </c>
      <c r="BF25" s="44">
        <f>(('Project W Pop Connected'!BG25*'Water Demand Criteria'!BJ$17/1000)*('Wastewater Criteria'!$C$8+'Wastewater Criteria'!$C$10*'Water Demand Criteria'!BJ$56+'Water Demand Criteria'!BJ$37*'Wastewater Criteria'!$C$11)*(1+'Wastewater Criteria'!$C$23)+('Project Tankers'!BF25*'Wastewater Criteria'!$C$9))*(1+'Wastewater Criteria'!$C$36)</f>
        <v>73.862143807626651</v>
      </c>
      <c r="BG25" s="44">
        <f>(('Project W Pop Connected'!BH25*'Water Demand Criteria'!BK$17/1000)*('Wastewater Criteria'!$C$8+'Wastewater Criteria'!$C$10*'Water Demand Criteria'!BK$56+'Water Demand Criteria'!BK$37*'Wastewater Criteria'!$C$11)*(1+'Wastewater Criteria'!$C$23)+('Project Tankers'!BG25*'Wastewater Criteria'!$C$9))*(1+'Wastewater Criteria'!$C$36)</f>
        <v>75.634835259009705</v>
      </c>
      <c r="BH25" s="44">
        <f>(('Project W Pop Connected'!BI25*'Water Demand Criteria'!BL$17/1000)*('Wastewater Criteria'!$C$8+'Wastewater Criteria'!$C$10*'Water Demand Criteria'!BL$56+'Water Demand Criteria'!BL$37*'Wastewater Criteria'!$C$11)*(1+'Wastewater Criteria'!$C$23)+('Project Tankers'!BH25*'Wastewater Criteria'!$C$9))*(1+'Wastewater Criteria'!$C$36)</f>
        <v>77.450071305225947</v>
      </c>
      <c r="BI25" s="44">
        <f>(('Project W Pop Connected'!BJ25*'Water Demand Criteria'!BM$17/1000)*('Wastewater Criteria'!$C$8+'Wastewater Criteria'!$C$10*'Water Demand Criteria'!BM$56+'Water Demand Criteria'!BM$37*'Wastewater Criteria'!$C$11)*(1+'Wastewater Criteria'!$C$23)+('Project Tankers'!BI25*'Wastewater Criteria'!$C$9))*(1+'Wastewater Criteria'!$C$36)</f>
        <v>79.308873016551374</v>
      </c>
      <c r="BJ25" s="44">
        <f>(('Project W Pop Connected'!BK25*'Water Demand Criteria'!BN$17/1000)*('Wastewater Criteria'!$C$8+'Wastewater Criteria'!$C$10*'Water Demand Criteria'!BN$56+'Water Demand Criteria'!BN$37*'Wastewater Criteria'!$C$11)*(1+'Wastewater Criteria'!$C$23)+('Project Tankers'!BJ25*'Wastewater Criteria'!$C$9))*(1+'Wastewater Criteria'!$C$36)</f>
        <v>81.212285968948606</v>
      </c>
      <c r="BK25" s="44">
        <f>(('Project W Pop Connected'!BL25*'Water Demand Criteria'!BO$17/1000)*('Wastewater Criteria'!$C$8+'Wastewater Criteria'!$C$10*'Water Demand Criteria'!BO$56+'Water Demand Criteria'!BO$37*'Wastewater Criteria'!$C$11)*(1+'Wastewater Criteria'!$C$23)+('Project Tankers'!BK25*'Wastewater Criteria'!$C$9))*(1+'Wastewater Criteria'!$C$36)</f>
        <v>83.161380832203363</v>
      </c>
      <c r="BL25" s="44">
        <f>(('Project W Pop Connected'!BM25*'Water Demand Criteria'!BP$17/1000)*('Wastewater Criteria'!$C$8+'Wastewater Criteria'!$C$10*'Water Demand Criteria'!BP$56+'Water Demand Criteria'!BP$37*'Wastewater Criteria'!$C$11)*(1+'Wastewater Criteria'!$C$23)+('Project Tankers'!BL25*'Wastewater Criteria'!$C$9))*(1+'Wastewater Criteria'!$C$36)</f>
        <v>85.157253972176278</v>
      </c>
      <c r="BM25" s="44">
        <f>(('Project W Pop Connected'!BN25*'Water Demand Criteria'!BQ$17/1000)*('Wastewater Criteria'!$C$8+'Wastewater Criteria'!$C$10*'Water Demand Criteria'!BQ$56+'Water Demand Criteria'!BQ$37*'Wastewater Criteria'!$C$11)*(1+'Wastewater Criteria'!$C$23)+('Project Tankers'!BM25*'Wastewater Criteria'!$C$9))*(1+'Wastewater Criteria'!$C$36)</f>
        <v>87.201028067508517</v>
      </c>
      <c r="BN25" s="44">
        <f>(('Project W Pop Connected'!BO25*'Water Demand Criteria'!BR$17/1000)*('Wastewater Criteria'!$C$8+'Wastewater Criteria'!$C$10*'Water Demand Criteria'!BR$56+'Water Demand Criteria'!BR$37*'Wastewater Criteria'!$C$11)*(1+'Wastewater Criteria'!$C$23)+('Project Tankers'!BN25*'Wastewater Criteria'!$C$9))*(1+'Wastewater Criteria'!$C$36)</f>
        <v>89.293852741128717</v>
      </c>
      <c r="BO25" s="44">
        <f>(('Project W Pop Connected'!BP25*'Water Demand Criteria'!BS$17/1000)*('Wastewater Criteria'!$C$8+'Wastewater Criteria'!$C$10*'Water Demand Criteria'!BS$56+'Water Demand Criteria'!BS$37*'Wastewater Criteria'!$C$11)*(1+'Wastewater Criteria'!$C$23)+('Project Tankers'!BO25*'Wastewater Criteria'!$C$9))*(1+'Wastewater Criteria'!$C$36)</f>
        <v>91.436905206915796</v>
      </c>
      <c r="BP25" s="44">
        <f>(('Project W Pop Connected'!BQ25*'Water Demand Criteria'!BT$17/1000)*('Wastewater Criteria'!$C$8+'Wastewater Criteria'!$C$10*'Water Demand Criteria'!BT$56+'Water Demand Criteria'!BT$37*'Wastewater Criteria'!$C$11)*(1+'Wastewater Criteria'!$C$23)+('Project Tankers'!BP25*'Wastewater Criteria'!$C$9))*(1+'Wastewater Criteria'!$C$36)</f>
        <v>93.631390931881768</v>
      </c>
      <c r="BQ25" s="44">
        <f>(('Project W Pop Connected'!BR25*'Water Demand Criteria'!BU$17/1000)*('Wastewater Criteria'!$C$8+'Wastewater Criteria'!$C$10*'Water Demand Criteria'!BU$56+'Water Demand Criteria'!BU$37*'Wastewater Criteria'!$C$11)*(1+'Wastewater Criteria'!$C$23)+('Project Tankers'!BQ25*'Wastewater Criteria'!$C$9))*(1+'Wastewater Criteria'!$C$36)</f>
        <v>95.878544314246923</v>
      </c>
      <c r="BR25" s="44">
        <f>(('Project W Pop Connected'!BS25*'Water Demand Criteria'!BV$17/1000)*('Wastewater Criteria'!$C$8+'Wastewater Criteria'!$C$10*'Water Demand Criteria'!BV$56+'Water Demand Criteria'!BV$37*'Wastewater Criteria'!$C$11)*(1+'Wastewater Criteria'!$C$23)+('Project Tankers'!BR25*'Wastewater Criteria'!$C$9))*(1+'Wastewater Criteria'!$C$36)</f>
        <v>98.179629377788871</v>
      </c>
      <c r="BS25" s="44">
        <f>(('Project W Pop Connected'!BT25*'Water Demand Criteria'!BW$17/1000)*('Wastewater Criteria'!$C$8+'Wastewater Criteria'!$C$10*'Water Demand Criteria'!BW$56+'Water Demand Criteria'!BW$37*'Wastewater Criteria'!$C$11)*(1+'Wastewater Criteria'!$C$23)+('Project Tankers'!BS25*'Wastewater Criteria'!$C$9))*(1+'Wastewater Criteria'!$C$36)</f>
        <v>100.53594048285584</v>
      </c>
      <c r="BT25" s="44">
        <f>(('Project W Pop Connected'!BU25*'Water Demand Criteria'!BX$17/1000)*('Wastewater Criteria'!$C$8+'Wastewater Criteria'!$C$10*'Water Demand Criteria'!BX$56+'Water Demand Criteria'!BX$37*'Wastewater Criteria'!$C$11)*(1+'Wastewater Criteria'!$C$23)+('Project Tankers'!BT25*'Wastewater Criteria'!$C$9))*(1+'Wastewater Criteria'!$C$36)</f>
        <v>102.94880305444435</v>
      </c>
      <c r="BU25" s="44">
        <f>(('Project W Pop Connected'!BV25*'Water Demand Criteria'!BY$17/1000)*('Wastewater Criteria'!$C$8+'Wastewater Criteria'!$C$10*'Water Demand Criteria'!BY$56+'Water Demand Criteria'!BY$37*'Wastewater Criteria'!$C$11)*(1+'Wastewater Criteria'!$C$23)+('Project Tankers'!BU25*'Wastewater Criteria'!$C$9))*(1+'Wastewater Criteria'!$C$36)</f>
        <v>105.41957432775102</v>
      </c>
      <c r="BV25" s="44">
        <f>(('Project W Pop Connected'!BW25*'Water Demand Criteria'!BZ$17/1000)*('Wastewater Criteria'!$C$8+'Wastewater Criteria'!$C$10*'Water Demand Criteria'!BZ$56+'Water Demand Criteria'!BZ$37*'Wastewater Criteria'!$C$11)*(1+'Wastewater Criteria'!$C$23)+('Project Tankers'!BV25*'Wastewater Criteria'!$C$9))*(1+'Wastewater Criteria'!$C$36)</f>
        <v>107.94964411161703</v>
      </c>
      <c r="BW25" s="44">
        <f>(('Project W Pop Connected'!BX25*'Water Demand Criteria'!CA$17/1000)*('Wastewater Criteria'!$C$8+'Wastewater Criteria'!$C$10*'Water Demand Criteria'!CA$56+'Water Demand Criteria'!CA$37*'Wastewater Criteria'!$C$11)*(1+'Wastewater Criteria'!$C$23)+('Project Tankers'!BW25*'Wastewater Criteria'!$C$9))*(1+'Wastewater Criteria'!$C$36)</f>
        <v>110.54043557029588</v>
      </c>
      <c r="BX25" s="44">
        <f>(('Project W Pop Connected'!BY25*'Water Demand Criteria'!CB$17/1000)*('Wastewater Criteria'!$C$8+'Wastewater Criteria'!$C$10*'Water Demand Criteria'!CB$56+'Water Demand Criteria'!CB$37*'Wastewater Criteria'!$C$11)*(1+'Wastewater Criteria'!$C$23)+('Project Tankers'!BX25*'Wastewater Criteria'!$C$9))*(1+'Wastewater Criteria'!$C$36)</f>
        <v>113.19340602398297</v>
      </c>
      <c r="BY25" s="44">
        <f>(('Project W Pop Connected'!BZ25*'Water Demand Criteria'!CC$17/1000)*('Wastewater Criteria'!$C$8+'Wastewater Criteria'!$C$10*'Water Demand Criteria'!CC$56+'Water Demand Criteria'!CC$37*'Wastewater Criteria'!$C$11)*(1+'Wastewater Criteria'!$C$23)+('Project Tankers'!BY25*'Wastewater Criteria'!$C$9))*(1+'Wastewater Criteria'!$C$36)</f>
        <v>115.91004776855858</v>
      </c>
      <c r="BZ25" s="44">
        <f>(('Project W Pop Connected'!CA25*'Water Demand Criteria'!CD$17/1000)*('Wastewater Criteria'!$C$8+'Wastewater Criteria'!$C$10*'Water Demand Criteria'!CD$56+'Water Demand Criteria'!CD$37*'Wastewater Criteria'!$C$11)*(1+'Wastewater Criteria'!$C$23)+('Project Tankers'!BZ25*'Wastewater Criteria'!$C$9))*(1+'Wastewater Criteria'!$C$36)</f>
        <v>118.69188891500399</v>
      </c>
      <c r="CA25" s="44">
        <f>(('Project W Pop Connected'!CB25*'Water Demand Criteria'!CE$17/1000)*('Wastewater Criteria'!$C$8+'Wastewater Criteria'!$C$10*'Water Demand Criteria'!CE$56+'Water Demand Criteria'!CE$37*'Wastewater Criteria'!$C$11)*(1+'Wastewater Criteria'!$C$23)+('Project Tankers'!CA25*'Wastewater Criteria'!$C$9))*(1+'Wastewater Criteria'!$C$36)</f>
        <v>121.54049424896408</v>
      </c>
    </row>
    <row r="26" spans="1:79" x14ac:dyDescent="0.25">
      <c r="A26" s="33">
        <v>25</v>
      </c>
      <c r="B26" s="36" t="s">
        <v>42</v>
      </c>
      <c r="C26" s="34">
        <f>(('Project W Pop Connected'!D26*'Water Demand Criteria'!G$17/1000)*('Wastewater Criteria'!$C$8+'Wastewater Criteria'!$C$10*'Water Demand Criteria'!G$56+'Water Demand Criteria'!G$37*'Wastewater Criteria'!$C$11)*(1+'Wastewater Criteria'!$C$23)+('Project Tankers'!C26*'Wastewater Criteria'!$C$9))*(1+'Wastewater Criteria'!$C$36)</f>
        <v>5.9140170095177522</v>
      </c>
      <c r="D26" s="34">
        <f>(('Project W Pop Connected'!E26*'Water Demand Criteria'!H$17/1000)*('Wastewater Criteria'!$C$8+'Wastewater Criteria'!$C$10*'Water Demand Criteria'!H$56+'Water Demand Criteria'!H$37*'Wastewater Criteria'!$C$11)*(1+'Wastewater Criteria'!$C$23)+('Project Tankers'!D26*'Wastewater Criteria'!$C$9))*(1+'Wastewater Criteria'!$C$36)</f>
        <v>6.376491575177913</v>
      </c>
      <c r="E26" s="34">
        <f>(('Project W Pop Connected'!F26*'Water Demand Criteria'!I$17/1000)*('Wastewater Criteria'!$C$8+'Wastewater Criteria'!$C$10*'Water Demand Criteria'!I$56+'Water Demand Criteria'!I$37*'Wastewater Criteria'!$C$11)*(1+'Wastewater Criteria'!$C$23)+('Project Tankers'!E26*'Wastewater Criteria'!$C$9))*(1+'Wastewater Criteria'!$C$36)</f>
        <v>6.8809146584544543</v>
      </c>
      <c r="F26" s="34">
        <f>(('Project W Pop Connected'!G26*'Water Demand Criteria'!J$17/1000)*('Wastewater Criteria'!$C$8+'Wastewater Criteria'!$C$10*'Water Demand Criteria'!J$56+'Water Demand Criteria'!J$37*'Wastewater Criteria'!$C$11)*(1+'Wastewater Criteria'!$C$23)+('Project Tankers'!F26*'Wastewater Criteria'!$C$9))*(1+'Wastewater Criteria'!$C$36)</f>
        <v>7.4056926325760593</v>
      </c>
      <c r="G26" s="34">
        <f>(('Project W Pop Connected'!H26*'Water Demand Criteria'!K$17/1000)*('Wastewater Criteria'!$C$8+'Wastewater Criteria'!$C$10*'Water Demand Criteria'!K$56+'Water Demand Criteria'!K$37*'Wastewater Criteria'!$C$11)*(1+'Wastewater Criteria'!$C$23)+('Project Tankers'!G26*'Wastewater Criteria'!$C$9))*(1+'Wastewater Criteria'!$C$36)</f>
        <v>7.9517119438377737</v>
      </c>
      <c r="H26" s="34">
        <f>(('Project W Pop Connected'!I26*'Water Demand Criteria'!L$17/1000)*('Wastewater Criteria'!$C$8+'Wastewater Criteria'!$C$10*'Water Demand Criteria'!L$56+'Water Demand Criteria'!L$37*'Wastewater Criteria'!$C$11)*(1+'Wastewater Criteria'!$C$23)+('Project Tankers'!H26*'Wastewater Criteria'!$C$9))*(1+'Wastewater Criteria'!$C$36)</f>
        <v>8.5194995235277524</v>
      </c>
      <c r="I26" s="34">
        <f>(('Project W Pop Connected'!J26*'Water Demand Criteria'!M$17/1000)*('Wastewater Criteria'!$C$8+'Wastewater Criteria'!$C$10*'Water Demand Criteria'!M$56+'Water Demand Criteria'!M$37*'Wastewater Criteria'!$C$11)*(1+'Wastewater Criteria'!$C$23)+('Project Tankers'!I26*'Wastewater Criteria'!$C$9))*(1+'Wastewater Criteria'!$C$36)</f>
        <v>9.0704925998594774</v>
      </c>
      <c r="J26" s="34">
        <f>(('Project W Pop Connected'!K26*'Water Demand Criteria'!N$17/1000)*('Wastewater Criteria'!$C$8+'Wastewater Criteria'!$C$10*'Water Demand Criteria'!N$56+'Water Demand Criteria'!N$37*'Wastewater Criteria'!$C$11)*(1+'Wastewater Criteria'!$C$23)+('Project Tankers'!J26*'Wastewater Criteria'!$C$9))*(1+'Wastewater Criteria'!$C$36)</f>
        <v>9.6801579183389261</v>
      </c>
      <c r="K26" s="34">
        <f>(('Project W Pop Connected'!L26*'Water Demand Criteria'!O$17/1000)*('Wastewater Criteria'!$C$8+'Wastewater Criteria'!$C$10*'Water Demand Criteria'!O$56+'Water Demand Criteria'!O$37*'Wastewater Criteria'!$C$11)*(1+'Wastewater Criteria'!$C$23)+('Project Tankers'!K26*'Wastewater Criteria'!$C$9))*(1+'Wastewater Criteria'!$C$36)</f>
        <v>10.313579807829695</v>
      </c>
      <c r="L26" s="34">
        <f>(('Project W Pop Connected'!M26*'Water Demand Criteria'!P$17/1000)*('Wastewater Criteria'!$C$8+'Wastewater Criteria'!$C$10*'Water Demand Criteria'!P$56+'Water Demand Criteria'!P$37*'Wastewater Criteria'!$C$11)*(1+'Wastewater Criteria'!$C$23)+('Project Tankers'!L26*'Wastewater Criteria'!$C$9))*(1+'Wastewater Criteria'!$C$36)</f>
        <v>10.835081821675969</v>
      </c>
      <c r="M26" s="34">
        <f>(('Project W Pop Connected'!N26*'Water Demand Criteria'!Q$17/1000)*('Wastewater Criteria'!$C$8+'Wastewater Criteria'!$C$10*'Water Demand Criteria'!Q$56+'Water Demand Criteria'!Q$37*'Wastewater Criteria'!$C$11)*(1+'Wastewater Criteria'!$C$23)+('Project Tankers'!M26*'Wastewater Criteria'!$C$9))*(1+'Wastewater Criteria'!$C$36)</f>
        <v>11.657194961702888</v>
      </c>
      <c r="N26" s="34">
        <f>(('Project W Pop Connected'!O26*'Water Demand Criteria'!R$17/1000)*('Wastewater Criteria'!$C$8+'Wastewater Criteria'!$C$10*'Water Demand Criteria'!R$56+'Water Demand Criteria'!R$37*'Wastewater Criteria'!$C$11)*(1+'Wastewater Criteria'!$C$23)+('Project Tankers'!N26*'Wastewater Criteria'!$C$9))*(1+'Wastewater Criteria'!$C$36)</f>
        <v>12.312401844888605</v>
      </c>
      <c r="O26" s="34">
        <f>(('Project W Pop Connected'!P26*'Water Demand Criteria'!S$17/1000)*('Wastewater Criteria'!$C$8+'Wastewater Criteria'!$C$10*'Water Demand Criteria'!S$56+'Water Demand Criteria'!S$37*'Wastewater Criteria'!$C$11)*(1+'Wastewater Criteria'!$C$23)+('Project Tankers'!O26*'Wastewater Criteria'!$C$9))*(1+'Wastewater Criteria'!$C$36)</f>
        <v>12.630481404195233</v>
      </c>
      <c r="P26" s="34">
        <f>(('Project W Pop Connected'!Q26*'Water Demand Criteria'!T$17/1000)*('Wastewater Criteria'!$C$8+'Wastewater Criteria'!$C$10*'Water Demand Criteria'!T$56+'Water Demand Criteria'!T$37*'Wastewater Criteria'!$C$11)*(1+'Wastewater Criteria'!$C$23)+('Project Tankers'!P26*'Wastewater Criteria'!$C$9))*(1+'Wastewater Criteria'!$C$36)</f>
        <v>12.961104658851236</v>
      </c>
      <c r="Q26" s="34">
        <f>(('Project W Pop Connected'!R26*'Water Demand Criteria'!U$17/1000)*('Wastewater Criteria'!$C$8+'Wastewater Criteria'!$C$10*'Water Demand Criteria'!U$56+'Water Demand Criteria'!U$37*'Wastewater Criteria'!$C$11)*(1+'Wastewater Criteria'!$C$23)+('Project Tankers'!Q26*'Wastewater Criteria'!$C$9))*(1+'Wastewater Criteria'!$C$36)</f>
        <v>13.303353777489596</v>
      </c>
      <c r="R26" s="34">
        <f>(('Project W Pop Connected'!S26*'Water Demand Criteria'!V$17/1000)*('Wastewater Criteria'!$C$8+'Wastewater Criteria'!$C$10*'Water Demand Criteria'!V$56+'Water Demand Criteria'!V$37*'Wastewater Criteria'!$C$11)*(1+'Wastewater Criteria'!$C$23)+('Project Tankers'!R26*'Wastewater Criteria'!$C$9))*(1+'Wastewater Criteria'!$C$36)</f>
        <v>13.660288198000396</v>
      </c>
      <c r="S26" s="34">
        <f>(('Project W Pop Connected'!T26*'Water Demand Criteria'!W$17/1000)*('Wastewater Criteria'!$C$8+'Wastewater Criteria'!$C$10*'Water Demand Criteria'!W$56+'Water Demand Criteria'!W$37*'Wastewater Criteria'!$C$11)*(1+'Wastewater Criteria'!$C$23)+('Project Tankers'!S26*'Wastewater Criteria'!$C$9))*(1+'Wastewater Criteria'!$C$36)</f>
        <v>13.957410607759888</v>
      </c>
      <c r="T26" s="34">
        <f>(('Project W Pop Connected'!U26*'Water Demand Criteria'!X$17/1000)*('Wastewater Criteria'!$C$8+'Wastewater Criteria'!$C$10*'Water Demand Criteria'!X$56+'Water Demand Criteria'!X$37*'Wastewater Criteria'!$C$11)*(1+'Wastewater Criteria'!$C$23)+('Project Tankers'!T26*'Wastewater Criteria'!$C$9))*(1+'Wastewater Criteria'!$C$36)</f>
        <v>14.223669013896348</v>
      </c>
      <c r="U26" s="34">
        <f>(('Project W Pop Connected'!V26*'Water Demand Criteria'!Y$17/1000)*('Wastewater Criteria'!$C$8+'Wastewater Criteria'!$C$10*'Water Demand Criteria'!Y$56+'Water Demand Criteria'!Y$37*'Wastewater Criteria'!$C$11)*(1+'Wastewater Criteria'!$C$23)+('Project Tankers'!U26*'Wastewater Criteria'!$C$9))*(1+'Wastewater Criteria'!$C$36)</f>
        <v>14.502083222118404</v>
      </c>
      <c r="V26" s="34">
        <f>(('Project W Pop Connected'!W26*'Water Demand Criteria'!Z$17/1000)*('Wastewater Criteria'!$C$8+'Wastewater Criteria'!$C$10*'Water Demand Criteria'!Z$56+'Water Demand Criteria'!Z$37*'Wastewater Criteria'!$C$11)*(1+'Wastewater Criteria'!$C$23)+('Project Tankers'!V26*'Wastewater Criteria'!$C$9))*(1+'Wastewater Criteria'!$C$36)</f>
        <v>14.789164731254516</v>
      </c>
      <c r="W26" s="34">
        <f>(('Project W Pop Connected'!X26*'Water Demand Criteria'!AA$17/1000)*('Wastewater Criteria'!$C$8+'Wastewater Criteria'!$C$10*'Water Demand Criteria'!AA$56+'Water Demand Criteria'!AA$37*'Wastewater Criteria'!$C$11)*(1+'Wastewater Criteria'!$C$23)+('Project Tankers'!W26*'Wastewater Criteria'!$C$9))*(1+'Wastewater Criteria'!$C$36)</f>
        <v>15.08551001121668</v>
      </c>
      <c r="X26" s="34">
        <f>(('Project W Pop Connected'!Y26*'Water Demand Criteria'!AB$17/1000)*('Wastewater Criteria'!$C$8+'Wastewater Criteria'!$C$10*'Water Demand Criteria'!AB$56+'Water Demand Criteria'!AB$37*'Wastewater Criteria'!$C$11)*(1+'Wastewater Criteria'!$C$23)+('Project Tankers'!X26*'Wastewater Criteria'!$C$9))*(1+'Wastewater Criteria'!$C$36)</f>
        <v>15.391715531925463</v>
      </c>
      <c r="Y26" s="34">
        <f>(('Project W Pop Connected'!Z26*'Water Demand Criteria'!AC$17/1000)*('Wastewater Criteria'!$C$8+'Wastewater Criteria'!$C$10*'Water Demand Criteria'!AC$56+'Water Demand Criteria'!AC$37*'Wastewater Criteria'!$C$11)*(1+'Wastewater Criteria'!$C$23)+('Project Tankers'!Y26*'Wastewater Criteria'!$C$9))*(1+'Wastewater Criteria'!$C$36)</f>
        <v>15.70837776376467</v>
      </c>
      <c r="Z26" s="34">
        <f>(('Project W Pop Connected'!AA26*'Water Demand Criteria'!AD$17/1000)*('Wastewater Criteria'!$C$8+'Wastewater Criteria'!$C$10*'Water Demand Criteria'!AD$56+'Water Demand Criteria'!AD$37*'Wastewater Criteria'!$C$11)*(1+'Wastewater Criteria'!$C$23)+('Project Tankers'!Z26*'Wastewater Criteria'!$C$9))*(1+'Wastewater Criteria'!$C$36)</f>
        <v>16.036093176332873</v>
      </c>
      <c r="AA26" s="34">
        <f>(('Project W Pop Connected'!AB26*'Water Demand Criteria'!AE$17/1000)*('Wastewater Criteria'!$C$8+'Wastewater Criteria'!$C$10*'Water Demand Criteria'!AE$56+'Water Demand Criteria'!AE$37*'Wastewater Criteria'!$C$11)*(1+'Wastewater Criteria'!$C$23)+('Project Tankers'!AA26*'Wastewater Criteria'!$C$9))*(1+'Wastewater Criteria'!$C$36)</f>
        <v>16.375458240523141</v>
      </c>
      <c r="AB26" s="34">
        <f>(('Project W Pop Connected'!AC26*'Water Demand Criteria'!AF$17/1000)*('Wastewater Criteria'!$C$8+'Wastewater Criteria'!$C$10*'Water Demand Criteria'!AF$56+'Water Demand Criteria'!AF$37*'Wastewater Criteria'!$C$11)*(1+'Wastewater Criteria'!$C$23)+('Project Tankers'!AB26*'Wastewater Criteria'!$C$9))*(1+'Wastewater Criteria'!$C$36)</f>
        <v>16.72706942548556</v>
      </c>
      <c r="AC26" s="34">
        <f>(('Project W Pop Connected'!AD26*'Water Demand Criteria'!AG$17/1000)*('Wastewater Criteria'!$C$8+'Wastewater Criteria'!$C$10*'Water Demand Criteria'!AG$56+'Water Demand Criteria'!AG$37*'Wastewater Criteria'!$C$11)*(1+'Wastewater Criteria'!$C$23)+('Project Tankers'!AC26*'Wastewater Criteria'!$C$9))*(1+'Wastewater Criteria'!$C$36)</f>
        <v>17.091523202412517</v>
      </c>
      <c r="AD26" s="44">
        <f>(('Project W Pop Connected'!AE26*'Water Demand Criteria'!AH$17/1000)*('Wastewater Criteria'!$C$8+'Wastewater Criteria'!$C$10*'Water Demand Criteria'!AH$56+'Water Demand Criteria'!AH$37*'Wastewater Criteria'!$C$11)*(1+'Wastewater Criteria'!$C$23)+('Project Tankers'!AD26*'Wastewater Criteria'!$C$9))*(1+'Wastewater Criteria'!$C$36)</f>
        <v>17.687408316440035</v>
      </c>
      <c r="AE26" s="44">
        <f>(('Project W Pop Connected'!AF26*'Water Demand Criteria'!AI$17/1000)*('Wastewater Criteria'!$C$8+'Wastewater Criteria'!$C$10*'Water Demand Criteria'!AI$56+'Water Demand Criteria'!AI$37*'Wastewater Criteria'!$C$11)*(1+'Wastewater Criteria'!$C$23)+('Project Tankers'!AE26*'Wastewater Criteria'!$C$9))*(1+'Wastewater Criteria'!$C$36)</f>
        <v>18.306650489289545</v>
      </c>
      <c r="AF26" s="44">
        <f>(('Project W Pop Connected'!AG26*'Water Demand Criteria'!AJ$17/1000)*('Wastewater Criteria'!$C$8+'Wastewater Criteria'!$C$10*'Water Demand Criteria'!AJ$56+'Water Demand Criteria'!AJ$37*'Wastewater Criteria'!$C$11)*(1+'Wastewater Criteria'!$C$23)+('Project Tankers'!AF26*'Wastewater Criteria'!$C$9))*(1+'Wastewater Criteria'!$C$36)</f>
        <v>18.950313609714588</v>
      </c>
      <c r="AG26" s="44">
        <f>(('Project W Pop Connected'!AH26*'Water Demand Criteria'!AK$17/1000)*('Wastewater Criteria'!$C$8+'Wastewater Criteria'!$C$10*'Water Demand Criteria'!AK$56+'Water Demand Criteria'!AK$37*'Wastewater Criteria'!$C$11)*(1+'Wastewater Criteria'!$C$23)+('Project Tankers'!AG26*'Wastewater Criteria'!$C$9))*(1+'Wastewater Criteria'!$C$36)</f>
        <v>19.619514033778291</v>
      </c>
      <c r="AH26" s="44">
        <f>(('Project W Pop Connected'!AI26*'Water Demand Criteria'!AL$17/1000)*('Wastewater Criteria'!$C$8+'Wastewater Criteria'!$C$10*'Water Demand Criteria'!AL$56+'Water Demand Criteria'!AL$37*'Wastewater Criteria'!$C$11)*(1+'Wastewater Criteria'!$C$23)+('Project Tankers'!AH26*'Wastewater Criteria'!$C$9))*(1+'Wastewater Criteria'!$C$36)</f>
        <v>20.315423404938056</v>
      </c>
      <c r="AI26" s="44">
        <f>(('Project W Pop Connected'!AJ26*'Water Demand Criteria'!AM$17/1000)*('Wastewater Criteria'!$C$8+'Wastewater Criteria'!$C$10*'Water Demand Criteria'!AM$56+'Water Demand Criteria'!AM$37*'Wastewater Criteria'!$C$11)*(1+'Wastewater Criteria'!$C$23)+('Project Tankers'!AI26*'Wastewater Criteria'!$C$9))*(1+'Wastewater Criteria'!$C$36)</f>
        <v>21.03927163532353</v>
      </c>
      <c r="AJ26" s="44">
        <f>(('Project W Pop Connected'!AK26*'Water Demand Criteria'!AN$17/1000)*('Wastewater Criteria'!$C$8+'Wastewater Criteria'!$C$10*'Water Demand Criteria'!AN$56+'Water Demand Criteria'!AN$37*'Wastewater Criteria'!$C$11)*(1+'Wastewater Criteria'!$C$23)+('Project Tankers'!AJ26*'Wastewater Criteria'!$C$9))*(1+'Wastewater Criteria'!$C$36)</f>
        <v>21.792350057998679</v>
      </c>
      <c r="AK26" s="44">
        <f>(('Project W Pop Connected'!AL26*'Water Demand Criteria'!AO$17/1000)*('Wastewater Criteria'!$C$8+'Wastewater Criteria'!$C$10*'Water Demand Criteria'!AO$56+'Water Demand Criteria'!AO$37*'Wastewater Criteria'!$C$11)*(1+'Wastewater Criteria'!$C$23)+('Project Tankers'!AK26*'Wastewater Criteria'!$C$9))*(1+'Wastewater Criteria'!$C$36)</f>
        <v>22.571864924441112</v>
      </c>
      <c r="AL26" s="44">
        <f>(('Project W Pop Connected'!AM26*'Water Demand Criteria'!AP$17/1000)*('Wastewater Criteria'!$C$8+'Wastewater Criteria'!$C$10*'Water Demand Criteria'!AP$56+'Water Demand Criteria'!AP$37*'Wastewater Criteria'!$C$11)*(1+'Wastewater Criteria'!$C$23)+('Project Tankers'!AL26*'Wastewater Criteria'!$C$9))*(1+'Wastewater Criteria'!$C$36)</f>
        <v>23.376244110839377</v>
      </c>
      <c r="AM26" s="44">
        <f>(('Project W Pop Connected'!AN26*'Water Demand Criteria'!AQ$17/1000)*('Wastewater Criteria'!$C$8+'Wastewater Criteria'!$C$10*'Water Demand Criteria'!AQ$56+'Water Demand Criteria'!AQ$37*'Wastewater Criteria'!$C$11)*(1+'Wastewater Criteria'!$C$23)+('Project Tankers'!AM26*'Wastewater Criteria'!$C$9))*(1+'Wastewater Criteria'!$C$36)</f>
        <v>24.206232103988288</v>
      </c>
      <c r="AN26" s="44">
        <f>(('Project W Pop Connected'!AO26*'Water Demand Criteria'!AR$17/1000)*('Wastewater Criteria'!$C$8+'Wastewater Criteria'!$C$10*'Water Demand Criteria'!AR$56+'Water Demand Criteria'!AR$37*'Wastewater Criteria'!$C$11)*(1+'Wastewater Criteria'!$C$23)+('Project Tankers'!AN26*'Wastewater Criteria'!$C$9))*(1+'Wastewater Criteria'!$C$36)</f>
        <v>25.062594804200494</v>
      </c>
      <c r="AO26" s="44">
        <f>(('Project W Pop Connected'!AP26*'Water Demand Criteria'!AS$17/1000)*('Wastewater Criteria'!$C$8+'Wastewater Criteria'!$C$10*'Water Demand Criteria'!AS$56+'Water Demand Criteria'!AS$37*'Wastewater Criteria'!$C$11)*(1+'Wastewater Criteria'!$C$23)+('Project Tankers'!AO26*'Wastewater Criteria'!$C$9))*(1+'Wastewater Criteria'!$C$36)</f>
        <v>25.946120124330992</v>
      </c>
      <c r="AP26" s="44">
        <f>(('Project W Pop Connected'!AQ26*'Water Demand Criteria'!AT$17/1000)*('Wastewater Criteria'!$C$8+'Wastewater Criteria'!$C$10*'Water Demand Criteria'!AT$56+'Water Demand Criteria'!AT$37*'Wastewater Criteria'!$C$11)*(1+'Wastewater Criteria'!$C$23)+('Project Tankers'!AP26*'Wastewater Criteria'!$C$9))*(1+'Wastewater Criteria'!$C$36)</f>
        <v>26.857618605220537</v>
      </c>
      <c r="AQ26" s="44">
        <f>(('Project W Pop Connected'!AR26*'Water Demand Criteria'!AU$17/1000)*('Wastewater Criteria'!$C$8+'Wastewater Criteria'!$C$10*'Water Demand Criteria'!AU$56+'Water Demand Criteria'!AU$37*'Wastewater Criteria'!$C$11)*(1+'Wastewater Criteria'!$C$23)+('Project Tankers'!AQ26*'Wastewater Criteria'!$C$9))*(1+'Wastewater Criteria'!$C$36)</f>
        <v>27.797924048001168</v>
      </c>
      <c r="AR26" s="44">
        <f>(('Project W Pop Connected'!AS26*'Water Demand Criteria'!AV$17/1000)*('Wastewater Criteria'!$C$8+'Wastewater Criteria'!$C$10*'Water Demand Criteria'!AV$56+'Water Demand Criteria'!AV$37*'Wastewater Criteria'!$C$11)*(1+'Wastewater Criteria'!$C$23)+('Project Tankers'!AR26*'Wastewater Criteria'!$C$9))*(1+'Wastewater Criteria'!$C$36)</f>
        <v>28.767894163718655</v>
      </c>
      <c r="AS26" s="44">
        <f>(('Project W Pop Connected'!AT26*'Water Demand Criteria'!AW$17/1000)*('Wastewater Criteria'!$C$8+'Wastewater Criteria'!$C$10*'Water Demand Criteria'!AW$56+'Water Demand Criteria'!AW$37*'Wastewater Criteria'!$C$11)*(1+'Wastewater Criteria'!$C$23)+('Project Tankers'!AS26*'Wastewater Criteria'!$C$9))*(1+'Wastewater Criteria'!$C$36)</f>
        <v>29.768411240738928</v>
      </c>
      <c r="AT26" s="44">
        <f>(('Project W Pop Connected'!AU26*'Water Demand Criteria'!AX$17/1000)*('Wastewater Criteria'!$C$8+'Wastewater Criteria'!$C$10*'Water Demand Criteria'!AX$56+'Water Demand Criteria'!AX$37*'Wastewater Criteria'!$C$11)*(1+'Wastewater Criteria'!$C$23)+('Project Tankers'!AT26*'Wastewater Criteria'!$C$9))*(1+'Wastewater Criteria'!$C$36)</f>
        <v>30.800382830417885</v>
      </c>
      <c r="AU26" s="44">
        <f>(('Project W Pop Connected'!AV26*'Water Demand Criteria'!AY$17/1000)*('Wastewater Criteria'!$C$8+'Wastewater Criteria'!$C$10*'Water Demand Criteria'!AY$56+'Water Demand Criteria'!AY$37*'Wastewater Criteria'!$C$11)*(1+'Wastewater Criteria'!$C$23)+('Project Tankers'!AU26*'Wastewater Criteria'!$C$9))*(1+'Wastewater Criteria'!$C$36)</f>
        <v>31.864742451526759</v>
      </c>
      <c r="AV26" s="44">
        <f>(('Project W Pop Connected'!AW26*'Water Demand Criteria'!AZ$17/1000)*('Wastewater Criteria'!$C$8+'Wastewater Criteria'!$C$10*'Water Demand Criteria'!AZ$56+'Water Demand Criteria'!AZ$37*'Wastewater Criteria'!$C$11)*(1+'Wastewater Criteria'!$C$23)+('Project Tankers'!AV26*'Wastewater Criteria'!$C$9))*(1+'Wastewater Criteria'!$C$36)</f>
        <v>32.962450313938533</v>
      </c>
      <c r="AW26" s="44">
        <f>(('Project W Pop Connected'!AX26*'Water Demand Criteria'!BA$17/1000)*('Wastewater Criteria'!$C$8+'Wastewater Criteria'!$C$10*'Water Demand Criteria'!BA$56+'Water Demand Criteria'!BA$37*'Wastewater Criteria'!$C$11)*(1+'Wastewater Criteria'!$C$23)+('Project Tankers'!AW26*'Wastewater Criteria'!$C$9))*(1+'Wastewater Criteria'!$C$36)</f>
        <v>34.094494062094007</v>
      </c>
      <c r="AX26" s="44">
        <f>(('Project W Pop Connected'!AY26*'Water Demand Criteria'!BB$17/1000)*('Wastewater Criteria'!$C$8+'Wastewater Criteria'!$C$10*'Water Demand Criteria'!BB$56+'Water Demand Criteria'!BB$37*'Wastewater Criteria'!$C$11)*(1+'Wastewater Criteria'!$C$23)+('Project Tankers'!AX26*'Wastewater Criteria'!$C$9))*(1+'Wastewater Criteria'!$C$36)</f>
        <v>34.912761919584263</v>
      </c>
      <c r="AY26" s="44">
        <f>(('Project W Pop Connected'!AZ26*'Water Demand Criteria'!BC$17/1000)*('Wastewater Criteria'!$C$8+'Wastewater Criteria'!$C$10*'Water Demand Criteria'!BC$56+'Water Demand Criteria'!BC$37*'Wastewater Criteria'!$C$11)*(1+'Wastewater Criteria'!$C$23)+('Project Tankers'!AY26*'Wastewater Criteria'!$C$9))*(1+'Wastewater Criteria'!$C$36)</f>
        <v>35.750668205654279</v>
      </c>
      <c r="AZ26" s="44">
        <f>(('Project W Pop Connected'!BA26*'Water Demand Criteria'!BD$17/1000)*('Wastewater Criteria'!$C$8+'Wastewater Criteria'!$C$10*'Water Demand Criteria'!BD$56+'Water Demand Criteria'!BD$37*'Wastewater Criteria'!$C$11)*(1+'Wastewater Criteria'!$C$23)+('Project Tankers'!AZ26*'Wastewater Criteria'!$C$9))*(1+'Wastewater Criteria'!$C$36)</f>
        <v>36.60868424258998</v>
      </c>
      <c r="BA26" s="44">
        <f>(('Project W Pop Connected'!BB26*'Water Demand Criteria'!BE$17/1000)*('Wastewater Criteria'!$C$8+'Wastewater Criteria'!$C$10*'Water Demand Criteria'!BE$56+'Water Demand Criteria'!BE$37*'Wastewater Criteria'!$C$11)*(1+'Wastewater Criteria'!$C$23)+('Project Tankers'!BA26*'Wastewater Criteria'!$C$9))*(1+'Wastewater Criteria'!$C$36)</f>
        <v>37.487292664412145</v>
      </c>
      <c r="BB26" s="44">
        <f>(('Project W Pop Connected'!BC26*'Water Demand Criteria'!BF$17/1000)*('Wastewater Criteria'!$C$8+'Wastewater Criteria'!$C$10*'Water Demand Criteria'!BF$56+'Water Demand Criteria'!BF$37*'Wastewater Criteria'!$C$11)*(1+'Wastewater Criteria'!$C$23)+('Project Tankers'!BB26*'Wastewater Criteria'!$C$9))*(1+'Wastewater Criteria'!$C$36)</f>
        <v>38.38698768835804</v>
      </c>
      <c r="BC26" s="44">
        <f>(('Project W Pop Connected'!BD26*'Water Demand Criteria'!BG$17/1000)*('Wastewater Criteria'!$C$8+'Wastewater Criteria'!$C$10*'Water Demand Criteria'!BG$56+'Water Demand Criteria'!BG$37*'Wastewater Criteria'!$C$11)*(1+'Wastewater Criteria'!$C$23)+('Project Tankers'!BC26*'Wastewater Criteria'!$C$9))*(1+'Wastewater Criteria'!$C$36)</f>
        <v>39.308275392878635</v>
      </c>
      <c r="BD26" s="44">
        <f>(('Project W Pop Connected'!BE26*'Water Demand Criteria'!BH$17/1000)*('Wastewater Criteria'!$C$8+'Wastewater Criteria'!$C$10*'Water Demand Criteria'!BH$56+'Water Demand Criteria'!BH$37*'Wastewater Criteria'!$C$11)*(1+'Wastewater Criteria'!$C$23)+('Project Tankers'!BD26*'Wastewater Criteria'!$C$9))*(1+'Wastewater Criteria'!$C$36)</f>
        <v>40.251674002307723</v>
      </c>
      <c r="BE26" s="44">
        <f>(('Project W Pop Connected'!BF26*'Water Demand Criteria'!BI$17/1000)*('Wastewater Criteria'!$C$8+'Wastewater Criteria'!$C$10*'Water Demand Criteria'!BI$56+'Water Demand Criteria'!BI$37*'Wastewater Criteria'!$C$11)*(1+'Wastewater Criteria'!$C$23)+('Project Tankers'!BE26*'Wastewater Criteria'!$C$9))*(1+'Wastewater Criteria'!$C$36)</f>
        <v>41.217714178363103</v>
      </c>
      <c r="BF26" s="44">
        <f>(('Project W Pop Connected'!BG26*'Water Demand Criteria'!BJ$17/1000)*('Wastewater Criteria'!$C$8+'Wastewater Criteria'!$C$10*'Water Demand Criteria'!BJ$56+'Water Demand Criteria'!BJ$37*'Wastewater Criteria'!$C$11)*(1+'Wastewater Criteria'!$C$23)+('Project Tankers'!BF26*'Wastewater Criteria'!$C$9))*(1+'Wastewater Criteria'!$C$36)</f>
        <v>42.206939318643812</v>
      </c>
      <c r="BG26" s="44">
        <f>(('Project W Pop Connected'!BH26*'Water Demand Criteria'!BK$17/1000)*('Wastewater Criteria'!$C$8+'Wastewater Criteria'!$C$10*'Water Demand Criteria'!BK$56+'Water Demand Criteria'!BK$37*'Wastewater Criteria'!$C$11)*(1+'Wastewater Criteria'!$C$23)+('Project Tankers'!BG26*'Wastewater Criteria'!$C$9))*(1+'Wastewater Criteria'!$C$36)</f>
        <v>43.219905862291277</v>
      </c>
      <c r="BH26" s="44">
        <f>(('Project W Pop Connected'!BI26*'Water Demand Criteria'!BL$17/1000)*('Wastewater Criteria'!$C$8+'Wastewater Criteria'!$C$10*'Water Demand Criteria'!BL$56+'Water Demand Criteria'!BL$37*'Wastewater Criteria'!$C$11)*(1+'Wastewater Criteria'!$C$23)+('Project Tankers'!BH26*'Wastewater Criteria'!$C$9))*(1+'Wastewater Criteria'!$C$36)</f>
        <v>44.257183602986281</v>
      </c>
      <c r="BI26" s="44">
        <f>(('Project W Pop Connected'!BJ26*'Water Demand Criteria'!BM$17/1000)*('Wastewater Criteria'!$C$8+'Wastewater Criteria'!$C$10*'Water Demand Criteria'!BM$56+'Water Demand Criteria'!BM$37*'Wastewater Criteria'!$C$11)*(1+'Wastewater Criteria'!$C$23)+('Project Tankers'!BI26*'Wastewater Criteria'!$C$9))*(1+'Wastewater Criteria'!$C$36)</f>
        <v>45.319356009457934</v>
      </c>
      <c r="BJ26" s="44">
        <f>(('Project W Pop Connected'!BK26*'Water Demand Criteria'!BN$17/1000)*('Wastewater Criteria'!$C$8+'Wastewater Criteria'!$C$10*'Water Demand Criteria'!BN$56+'Water Demand Criteria'!BN$37*'Wastewater Criteria'!$C$11)*(1+'Wastewater Criteria'!$C$23)+('Project Tankers'!BJ26*'Wastewater Criteria'!$C$9))*(1+'Wastewater Criteria'!$C$36)</f>
        <v>46.407020553684944</v>
      </c>
      <c r="BK26" s="44">
        <f>(('Project W Pop Connected'!BL26*'Water Demand Criteria'!BO$17/1000)*('Wastewater Criteria'!$C$8+'Wastewater Criteria'!$C$10*'Water Demand Criteria'!BO$56+'Water Demand Criteria'!BO$37*'Wastewater Criteria'!$C$11)*(1+'Wastewater Criteria'!$C$23)+('Project Tankers'!BK26*'Wastewater Criteria'!$C$9))*(1+'Wastewater Criteria'!$C$36)</f>
        <v>47.52078904697337</v>
      </c>
      <c r="BL26" s="44">
        <f>(('Project W Pop Connected'!BM26*'Water Demand Criteria'!BP$17/1000)*('Wastewater Criteria'!$C$8+'Wastewater Criteria'!$C$10*'Water Demand Criteria'!BP$56+'Water Demand Criteria'!BP$37*'Wastewater Criteria'!$C$11)*(1+'Wastewater Criteria'!$C$23)+('Project Tankers'!BL26*'Wastewater Criteria'!$C$9))*(1+'Wastewater Criteria'!$C$36)</f>
        <v>48.661287984100738</v>
      </c>
      <c r="BM26" s="44">
        <f>(('Project W Pop Connected'!BN26*'Water Demand Criteria'!BQ$17/1000)*('Wastewater Criteria'!$C$8+'Wastewater Criteria'!$C$10*'Water Demand Criteria'!BQ$56+'Water Demand Criteria'!BQ$37*'Wastewater Criteria'!$C$11)*(1+'Wastewater Criteria'!$C$23)+('Project Tankers'!BM26*'Wastewater Criteria'!$C$9))*(1+'Wastewater Criteria'!$C$36)</f>
        <v>49.829158895719154</v>
      </c>
      <c r="BN26" s="44">
        <f>(('Project W Pop Connected'!BO26*'Water Demand Criteria'!BR$17/1000)*('Wastewater Criteria'!$C$8+'Wastewater Criteria'!$C$10*'Water Demand Criteria'!BR$56+'Water Demand Criteria'!BR$37*'Wastewater Criteria'!$C$11)*(1+'Wastewater Criteria'!$C$23)+('Project Tankers'!BN26*'Wastewater Criteria'!$C$9))*(1+'Wastewater Criteria'!$C$36)</f>
        <v>51.025058709216417</v>
      </c>
      <c r="BO26" s="44">
        <f>(('Project W Pop Connected'!BP26*'Water Demand Criteria'!BS$17/1000)*('Wastewater Criteria'!$C$8+'Wastewater Criteria'!$C$10*'Water Demand Criteria'!BS$56+'Water Demand Criteria'!BS$37*'Wastewater Criteria'!$C$11)*(1+'Wastewater Criteria'!$C$23)+('Project Tankers'!BO26*'Wastewater Criteria'!$C$9))*(1+'Wastewater Criteria'!$C$36)</f>
        <v>52.249660118237607</v>
      </c>
      <c r="BP26" s="44">
        <f>(('Project W Pop Connected'!BQ26*'Water Demand Criteria'!BT$17/1000)*('Wastewater Criteria'!$C$8+'Wastewater Criteria'!$C$10*'Water Demand Criteria'!BT$56+'Water Demand Criteria'!BT$37*'Wastewater Criteria'!$C$11)*(1+'Wastewater Criteria'!$C$23)+('Project Tankers'!BP26*'Wastewater Criteria'!$C$9))*(1+'Wastewater Criteria'!$C$36)</f>
        <v>53.503651961075306</v>
      </c>
      <c r="BQ26" s="44">
        <f>(('Project W Pop Connected'!BR26*'Water Demand Criteria'!BU$17/1000)*('Wastewater Criteria'!$C$8+'Wastewater Criteria'!$C$10*'Water Demand Criteria'!BU$56+'Water Demand Criteria'!BU$37*'Wastewater Criteria'!$C$11)*(1+'Wastewater Criteria'!$C$23)+('Project Tankers'!BQ26*'Wastewater Criteria'!$C$9))*(1+'Wastewater Criteria'!$C$36)</f>
        <v>54.787739608141123</v>
      </c>
      <c r="BR26" s="44">
        <f>(('Project W Pop Connected'!BS26*'Water Demand Criteria'!BV$17/1000)*('Wastewater Criteria'!$C$8+'Wastewater Criteria'!$C$10*'Water Demand Criteria'!BV$56+'Water Demand Criteria'!BV$37*'Wastewater Criteria'!$C$11)*(1+'Wastewater Criteria'!$C$23)+('Project Tankers'!BR26*'Wastewater Criteria'!$C$9))*(1+'Wastewater Criteria'!$C$36)</f>
        <v>56.10264535873651</v>
      </c>
      <c r="BS26" s="44">
        <f>(('Project W Pop Connected'!BT26*'Water Demand Criteria'!BW$17/1000)*('Wastewater Criteria'!$C$8+'Wastewater Criteria'!$C$10*'Water Demand Criteria'!BW$56+'Water Demand Criteria'!BW$37*'Wastewater Criteria'!$C$11)*(1+'Wastewater Criteria'!$C$23)+('Project Tankers'!BS26*'Wastewater Criteria'!$C$9))*(1+'Wastewater Criteria'!$C$36)</f>
        <v>57.449108847346182</v>
      </c>
      <c r="BT26" s="44">
        <f>(('Project W Pop Connected'!BU26*'Water Demand Criteria'!BX$17/1000)*('Wastewater Criteria'!$C$8+'Wastewater Criteria'!$C$10*'Water Demand Criteria'!BX$56+'Water Demand Criteria'!BX$37*'Wastewater Criteria'!$C$11)*(1+'Wastewater Criteria'!$C$23)+('Project Tankers'!BT26*'Wastewater Criteria'!$C$9))*(1+'Wastewater Criteria'!$C$36)</f>
        <v>58.827887459682486</v>
      </c>
      <c r="BU26" s="44">
        <f>(('Project W Pop Connected'!BV26*'Water Demand Criteria'!BY$17/1000)*('Wastewater Criteria'!$C$8+'Wastewater Criteria'!$C$10*'Water Demand Criteria'!BY$56+'Water Demand Criteria'!BY$37*'Wastewater Criteria'!$C$11)*(1+'Wastewater Criteria'!$C$23)+('Project Tankers'!BU26*'Wastewater Criteria'!$C$9))*(1+'Wastewater Criteria'!$C$36)</f>
        <v>60.239756758714876</v>
      </c>
      <c r="BV26" s="44">
        <f>(('Project W Pop Connected'!BW26*'Water Demand Criteria'!BZ$17/1000)*('Wastewater Criteria'!$C$8+'Wastewater Criteria'!$C$10*'Water Demand Criteria'!BZ$56+'Water Demand Criteria'!BZ$37*'Wastewater Criteria'!$C$11)*(1+'Wastewater Criteria'!$C$23)+('Project Tankers'!BV26*'Wastewater Criteria'!$C$9))*(1+'Wastewater Criteria'!$C$36)</f>
        <v>61.685510920924045</v>
      </c>
      <c r="BW26" s="44">
        <f>(('Project W Pop Connected'!BX26*'Water Demand Criteria'!CA$17/1000)*('Wastewater Criteria'!$C$8+'Wastewater Criteria'!$C$10*'Water Demand Criteria'!CA$56+'Water Demand Criteria'!CA$37*'Wastewater Criteria'!$C$11)*(1+'Wastewater Criteria'!$C$23)+('Project Tankers'!BW26*'Wastewater Criteria'!$C$9))*(1+'Wastewater Criteria'!$C$36)</f>
        <v>63.165963183026228</v>
      </c>
      <c r="BX26" s="44">
        <f>(('Project W Pop Connected'!BY26*'Water Demand Criteria'!CB$17/1000)*('Wastewater Criteria'!$C$8+'Wastewater Criteria'!$C$10*'Water Demand Criteria'!CB$56+'Water Demand Criteria'!CB$37*'Wastewater Criteria'!$C$11)*(1+'Wastewater Criteria'!$C$23)+('Project Tankers'!BX26*'Wastewater Criteria'!$C$9))*(1+'Wastewater Criteria'!$C$36)</f>
        <v>64.681946299418854</v>
      </c>
      <c r="BY26" s="44">
        <f>(('Project W Pop Connected'!BZ26*'Water Demand Criteria'!CC$17/1000)*('Wastewater Criteria'!$C$8+'Wastewater Criteria'!$C$10*'Water Demand Criteria'!CC$56+'Water Demand Criteria'!CC$37*'Wastewater Criteria'!$C$11)*(1+'Wastewater Criteria'!$C$23)+('Project Tankers'!BY26*'Wastewater Criteria'!$C$9))*(1+'Wastewater Criteria'!$C$36)</f>
        <v>66.234313010604907</v>
      </c>
      <c r="BZ26" s="44">
        <f>(('Project W Pop Connected'!CA26*'Water Demand Criteria'!CD$17/1000)*('Wastewater Criteria'!$C$8+'Wastewater Criteria'!$C$10*'Water Demand Criteria'!CD$56+'Water Demand Criteria'!CD$37*'Wastewater Criteria'!$C$11)*(1+'Wastewater Criteria'!$C$23)+('Project Tankers'!BZ26*'Wastewater Criteria'!$C$9))*(1+'Wastewater Criteria'!$C$36)</f>
        <v>67.823936522859412</v>
      </c>
      <c r="CA26" s="44">
        <f>(('Project W Pop Connected'!CB26*'Water Demand Criteria'!CE$17/1000)*('Wastewater Criteria'!$C$8+'Wastewater Criteria'!$C$10*'Water Demand Criteria'!CE$56+'Water Demand Criteria'!CE$37*'Wastewater Criteria'!$C$11)*(1+'Wastewater Criteria'!$C$23)+('Project Tankers'!CA26*'Wastewater Criteria'!$C$9))*(1+'Wastewater Criteria'!$C$36)</f>
        <v>69.45171099940805</v>
      </c>
    </row>
    <row r="27" spans="1:79" ht="37.5" customHeight="1" x14ac:dyDescent="0.25">
      <c r="A27" s="282" t="s">
        <v>861</v>
      </c>
      <c r="B27" s="282"/>
      <c r="C27" s="281">
        <f>SUM(C2:C26)</f>
        <v>14212.14689093824</v>
      </c>
      <c r="D27" s="281">
        <f t="shared" ref="D27:BO27" si="0">SUM(D2:D26)</f>
        <v>15248.748054898899</v>
      </c>
      <c r="E27" s="281">
        <f t="shared" si="0"/>
        <v>16379.373594287626</v>
      </c>
      <c r="F27" s="281">
        <f t="shared" si="0"/>
        <v>17555.623055744742</v>
      </c>
      <c r="G27" s="281">
        <f t="shared" si="0"/>
        <v>18779.483340452392</v>
      </c>
      <c r="H27" s="281">
        <f t="shared" si="0"/>
        <v>20052.135524359801</v>
      </c>
      <c r="I27" s="281">
        <f t="shared" si="0"/>
        <v>21287.144120874575</v>
      </c>
      <c r="J27" s="281">
        <f t="shared" si="0"/>
        <v>22653.662034914072</v>
      </c>
      <c r="K27" s="281">
        <f t="shared" si="0"/>
        <v>24073.428475446897</v>
      </c>
      <c r="L27" s="281">
        <f t="shared" si="0"/>
        <v>25242.335123943791</v>
      </c>
      <c r="M27" s="281">
        <f t="shared" si="0"/>
        <v>27085.038487841826</v>
      </c>
      <c r="N27" s="281">
        <f t="shared" si="0"/>
        <v>28553.634315973137</v>
      </c>
      <c r="O27" s="281">
        <f t="shared" si="0"/>
        <v>29266.585180500533</v>
      </c>
      <c r="P27" s="281">
        <f t="shared" si="0"/>
        <v>30007.651773253921</v>
      </c>
      <c r="Q27" s="281">
        <f t="shared" si="0"/>
        <v>30774.776845826505</v>
      </c>
      <c r="R27" s="281">
        <f t="shared" si="0"/>
        <v>31574.817892907584</v>
      </c>
      <c r="S27" s="281">
        <f t="shared" si="0"/>
        <v>32240.79491881351</v>
      </c>
      <c r="T27" s="281">
        <f t="shared" si="0"/>
        <v>32837.592654752538</v>
      </c>
      <c r="U27" s="281">
        <f t="shared" si="0"/>
        <v>33461.63668600472</v>
      </c>
      <c r="V27" s="281">
        <f t="shared" si="0"/>
        <v>34105.107805540305</v>
      </c>
      <c r="W27" s="281">
        <f t="shared" si="0"/>
        <v>34769.342954784704</v>
      </c>
      <c r="X27" s="281">
        <f t="shared" si="0"/>
        <v>35455.679075182627</v>
      </c>
      <c r="Y27" s="281">
        <f t="shared" si="0"/>
        <v>36165.453109217007</v>
      </c>
      <c r="Z27" s="281">
        <f t="shared" si="0"/>
        <v>36900.001997610736</v>
      </c>
      <c r="AA27" s="281">
        <f t="shared" si="0"/>
        <v>37660.662683988288</v>
      </c>
      <c r="AB27" s="281">
        <f t="shared" si="0"/>
        <v>38448.772108067322</v>
      </c>
      <c r="AC27" s="281">
        <f t="shared" si="0"/>
        <v>39265.667214143163</v>
      </c>
      <c r="AD27" s="281">
        <f t="shared" si="0"/>
        <v>40601.297859919388</v>
      </c>
      <c r="AE27" s="281">
        <f t="shared" si="0"/>
        <v>41989.28155634828</v>
      </c>
      <c r="AF27" s="281">
        <f t="shared" si="0"/>
        <v>43432.002928233269</v>
      </c>
      <c r="AG27" s="281">
        <f t="shared" si="0"/>
        <v>44931.96420181638</v>
      </c>
      <c r="AH27" s="281">
        <f t="shared" si="0"/>
        <v>46491.791525780893</v>
      </c>
      <c r="AI27" s="281">
        <f t="shared" si="0"/>
        <v>48114.241653556834</v>
      </c>
      <c r="AJ27" s="281">
        <f t="shared" si="0"/>
        <v>49802.209008873731</v>
      </c>
      <c r="AK27" s="281">
        <f t="shared" si="0"/>
        <v>51549.431619322422</v>
      </c>
      <c r="AL27" s="281">
        <f t="shared" si="0"/>
        <v>53352.385690312098</v>
      </c>
      <c r="AM27" s="281">
        <f t="shared" si="0"/>
        <v>55212.739931725118</v>
      </c>
      <c r="AN27" s="281">
        <f t="shared" si="0"/>
        <v>57132.211050196944</v>
      </c>
      <c r="AO27" s="281">
        <f t="shared" si="0"/>
        <v>59112.565091783275</v>
      </c>
      <c r="AP27" s="281">
        <f t="shared" si="0"/>
        <v>61155.618821429409</v>
      </c>
      <c r="AQ27" s="281">
        <f t="shared" si="0"/>
        <v>63263.241140234291</v>
      </c>
      <c r="AR27" s="281">
        <f t="shared" si="0"/>
        <v>65437.354541529217</v>
      </c>
      <c r="AS27" s="281">
        <f t="shared" si="0"/>
        <v>67679.936606818097</v>
      </c>
      <c r="AT27" s="281">
        <f t="shared" si="0"/>
        <v>69993.021542653456</v>
      </c>
      <c r="AU27" s="281">
        <f t="shared" si="0"/>
        <v>72378.701759552001</v>
      </c>
      <c r="AV27" s="281">
        <f t="shared" si="0"/>
        <v>74839.129494081688</v>
      </c>
      <c r="AW27" s="281">
        <f t="shared" si="0"/>
        <v>77376.518475283825</v>
      </c>
      <c r="AX27" s="281">
        <f t="shared" si="0"/>
        <v>79210.602934166876</v>
      </c>
      <c r="AY27" s="281">
        <f t="shared" si="0"/>
        <v>81088.705420063139</v>
      </c>
      <c r="AZ27" s="281">
        <f t="shared" si="0"/>
        <v>83011.882365620913</v>
      </c>
      <c r="BA27" s="281">
        <f t="shared" si="0"/>
        <v>84981.215557872056</v>
      </c>
      <c r="BB27" s="281">
        <f t="shared" si="0"/>
        <v>86997.81274673724</v>
      </c>
      <c r="BC27" s="281">
        <f t="shared" si="0"/>
        <v>89062.808268135195</v>
      </c>
      <c r="BD27" s="281">
        <f t="shared" si="0"/>
        <v>91177.363682046722</v>
      </c>
      <c r="BE27" s="281">
        <f t="shared" si="0"/>
        <v>93342.668425892072</v>
      </c>
      <c r="BF27" s="281">
        <f t="shared" si="0"/>
        <v>95559.940483589715</v>
      </c>
      <c r="BG27" s="281">
        <f t="shared" si="0"/>
        <v>97830.427070672144</v>
      </c>
      <c r="BH27" s="281">
        <f t="shared" si="0"/>
        <v>100155.40533584452</v>
      </c>
      <c r="BI27" s="281">
        <f t="shared" si="0"/>
        <v>102536.18307938104</v>
      </c>
      <c r="BJ27" s="281">
        <f t="shared" si="0"/>
        <v>104974.09948876244</v>
      </c>
      <c r="BK27" s="281">
        <f t="shared" si="0"/>
        <v>107470.52589196902</v>
      </c>
      <c r="BL27" s="281">
        <f t="shared" si="0"/>
        <v>110026.86652885249</v>
      </c>
      <c r="BM27" s="281">
        <f t="shared" si="0"/>
        <v>112644.55934102122</v>
      </c>
      <c r="BN27" s="281">
        <f t="shared" si="0"/>
        <v>115325.07678068196</v>
      </c>
      <c r="BO27" s="281">
        <f t="shared" si="0"/>
        <v>118069.92663889461</v>
      </c>
      <c r="BP27" s="281">
        <f t="shared" ref="BP27:CA27" si="1">SUM(BP2:BP26)</f>
        <v>120880.65289370429</v>
      </c>
      <c r="BQ27" s="281">
        <f t="shared" si="1"/>
        <v>123758.83657862947</v>
      </c>
      <c r="BR27" s="281">
        <f t="shared" si="1"/>
        <v>126706.09667199283</v>
      </c>
      <c r="BS27" s="281">
        <f t="shared" si="1"/>
        <v>129724.09100759694</v>
      </c>
      <c r="BT27" s="281">
        <f t="shared" si="1"/>
        <v>132814.51720725547</v>
      </c>
      <c r="BU27" s="281">
        <f t="shared" si="1"/>
        <v>135979.11363570587</v>
      </c>
      <c r="BV27" s="281">
        <f t="shared" si="1"/>
        <v>139219.66037843906</v>
      </c>
      <c r="BW27" s="281">
        <f t="shared" si="1"/>
        <v>142537.98024299787</v>
      </c>
      <c r="BX27" s="281">
        <f t="shared" si="1"/>
        <v>145935.9397843061</v>
      </c>
      <c r="BY27" s="281">
        <f t="shared" si="1"/>
        <v>149415.45035460568</v>
      </c>
      <c r="BZ27" s="281">
        <f t="shared" si="1"/>
        <v>152978.46917859244</v>
      </c>
      <c r="CA27" s="281">
        <f t="shared" si="1"/>
        <v>156627.00045435494</v>
      </c>
    </row>
    <row r="28" spans="1:79" x14ac:dyDescent="0.25">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row>
    <row r="29" spans="1:79" x14ac:dyDescent="0.25">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row>
    <row r="30" spans="1:79" x14ac:dyDescent="0.25">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row>
    <row r="31" spans="1:79" x14ac:dyDescent="0.25">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row>
    <row r="32" spans="1:79" x14ac:dyDescent="0.25">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row>
    <row r="33" spans="3:79" x14ac:dyDescent="0.25">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row>
    <row r="34" spans="3:79" x14ac:dyDescent="0.25">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row>
    <row r="35" spans="3:79" x14ac:dyDescent="0.25">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row>
    <row r="36" spans="3:79" x14ac:dyDescent="0.25">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row>
    <row r="37" spans="3:79" x14ac:dyDescent="0.25">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row>
    <row r="38" spans="3:79" x14ac:dyDescent="0.25">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row>
    <row r="39" spans="3:79" x14ac:dyDescent="0.25">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row>
    <row r="40" spans="3:79" x14ac:dyDescent="0.25">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row>
    <row r="41" spans="3:79" x14ac:dyDescent="0.25">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row>
    <row r="42" spans="3:79" x14ac:dyDescent="0.25">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row>
    <row r="43" spans="3:79" x14ac:dyDescent="0.25">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row>
    <row r="44" spans="3:79" x14ac:dyDescent="0.25">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row>
    <row r="45" spans="3:79" x14ac:dyDescent="0.25">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row>
    <row r="46" spans="3:79" x14ac:dyDescent="0.25">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c r="CA46" s="31"/>
    </row>
    <row r="47" spans="3:79" x14ac:dyDescent="0.25">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row>
    <row r="48" spans="3:79" x14ac:dyDescent="0.25">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row>
    <row r="49" spans="3:79" x14ac:dyDescent="0.25">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row>
    <row r="50" spans="3:79" x14ac:dyDescent="0.25">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row>
  </sheetData>
  <mergeCells count="1">
    <mergeCell ref="A27:B27"/>
  </mergeCells>
  <phoneticPr fontId="2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365B4-D513-4250-BAB9-3067DEA476BF}">
  <sheetPr>
    <tabColor theme="9"/>
  </sheetPr>
  <dimension ref="A1:J50"/>
  <sheetViews>
    <sheetView tabSelected="1" workbookViewId="0">
      <selection activeCell="J35" sqref="J35"/>
    </sheetView>
  </sheetViews>
  <sheetFormatPr defaultRowHeight="15" x14ac:dyDescent="0.25"/>
  <cols>
    <col min="1" max="1" width="9.140625" style="32"/>
    <col min="2" max="2" width="20.7109375" style="32" customWidth="1"/>
    <col min="3" max="16384" width="9.140625" style="32"/>
  </cols>
  <sheetData>
    <row r="1" spans="1:10" x14ac:dyDescent="0.25">
      <c r="A1" s="35" t="s">
        <v>59</v>
      </c>
      <c r="B1" s="35" t="s">
        <v>4</v>
      </c>
      <c r="C1" s="43" t="s">
        <v>552</v>
      </c>
      <c r="D1" s="43" t="s">
        <v>562</v>
      </c>
      <c r="E1" s="43" t="s">
        <v>572</v>
      </c>
      <c r="F1" s="45" t="s">
        <v>582</v>
      </c>
      <c r="G1" s="45" t="s">
        <v>592</v>
      </c>
      <c r="H1" s="45" t="s">
        <v>602</v>
      </c>
      <c r="I1" s="45" t="s">
        <v>612</v>
      </c>
      <c r="J1" s="45" t="s">
        <v>622</v>
      </c>
    </row>
    <row r="2" spans="1:10" x14ac:dyDescent="0.25">
      <c r="A2" s="33">
        <v>1</v>
      </c>
      <c r="B2" s="36" t="s">
        <v>35</v>
      </c>
      <c r="C2" s="34">
        <v>9186.4828068111219</v>
      </c>
      <c r="D2" s="34">
        <v>14135.892969889617</v>
      </c>
      <c r="E2" s="34">
        <v>17310.083472600862</v>
      </c>
      <c r="F2" s="44">
        <v>24515.772720481891</v>
      </c>
      <c r="G2" s="44">
        <v>34530.482226864144</v>
      </c>
      <c r="H2" s="44">
        <v>43772.586521054553</v>
      </c>
      <c r="I2" s="44">
        <v>55488.345576956934</v>
      </c>
      <c r="J2" s="44">
        <v>70339.834576300884</v>
      </c>
    </row>
    <row r="3" spans="1:10" x14ac:dyDescent="0.25">
      <c r="A3" s="33">
        <v>2</v>
      </c>
      <c r="B3" s="36" t="s">
        <v>40</v>
      </c>
      <c r="C3" s="34">
        <v>1869.0542169338312</v>
      </c>
      <c r="D3" s="34">
        <v>2876.0463521369015</v>
      </c>
      <c r="E3" s="34">
        <v>3521.8576238942569</v>
      </c>
      <c r="F3" s="44">
        <v>4987.9055290491387</v>
      </c>
      <c r="G3" s="44">
        <v>7025.4682642009411</v>
      </c>
      <c r="H3" s="44">
        <v>8905.8390619987003</v>
      </c>
      <c r="I3" s="44">
        <v>11289.492232478666</v>
      </c>
      <c r="J3" s="44">
        <v>14311.13160477352</v>
      </c>
    </row>
    <row r="4" spans="1:10" x14ac:dyDescent="0.25">
      <c r="A4" s="33">
        <v>3</v>
      </c>
      <c r="B4" s="36" t="s">
        <v>55</v>
      </c>
      <c r="C4" s="34">
        <v>153.36623910190576</v>
      </c>
      <c r="D4" s="34">
        <v>235.99551501164794</v>
      </c>
      <c r="E4" s="34">
        <v>288.98790283094189</v>
      </c>
      <c r="F4" s="44">
        <v>409.28524440602143</v>
      </c>
      <c r="G4" s="44">
        <v>576.47853970650101</v>
      </c>
      <c r="H4" s="44">
        <v>730.77336687763932</v>
      </c>
      <c r="I4" s="44">
        <v>926.36529715324389</v>
      </c>
      <c r="J4" s="44">
        <v>1174.3075249669118</v>
      </c>
    </row>
    <row r="5" spans="1:10" x14ac:dyDescent="0.25">
      <c r="A5" s="33">
        <v>4</v>
      </c>
      <c r="B5" s="36" t="s">
        <v>57</v>
      </c>
      <c r="C5" s="34">
        <v>8291.8464120500048</v>
      </c>
      <c r="D5" s="34">
        <v>12759.252465655005</v>
      </c>
      <c r="E5" s="34">
        <v>15624.320706087034</v>
      </c>
      <c r="F5" s="44">
        <v>22128.275461446763</v>
      </c>
      <c r="G5" s="44">
        <v>31167.690745242882</v>
      </c>
      <c r="H5" s="44">
        <v>39509.741880934977</v>
      </c>
      <c r="I5" s="44">
        <v>50084.548010229657</v>
      </c>
      <c r="J5" s="44">
        <v>63489.707347327218</v>
      </c>
    </row>
    <row r="6" spans="1:10" x14ac:dyDescent="0.25">
      <c r="A6" s="33">
        <v>5</v>
      </c>
      <c r="B6" s="36" t="s">
        <v>43</v>
      </c>
      <c r="C6" s="34">
        <v>3530.5218072044763</v>
      </c>
      <c r="D6" s="34">
        <v>5432.6644314297537</v>
      </c>
      <c r="E6" s="34">
        <v>6652.5599045627932</v>
      </c>
      <c r="F6" s="44">
        <v>9421.8290101143721</v>
      </c>
      <c r="G6" s="44">
        <v>13270.652444354704</v>
      </c>
      <c r="H6" s="44">
        <v>16822.550536506464</v>
      </c>
      <c r="I6" s="44">
        <v>21325.116284972151</v>
      </c>
      <c r="J6" s="44">
        <v>27032.79645858175</v>
      </c>
    </row>
    <row r="7" spans="1:10" x14ac:dyDescent="0.25">
      <c r="A7" s="33">
        <v>6</v>
      </c>
      <c r="B7" s="36" t="s">
        <v>39</v>
      </c>
      <c r="C7" s="34">
        <v>489.53264198184053</v>
      </c>
      <c r="D7" s="34">
        <v>753.27861357253278</v>
      </c>
      <c r="E7" s="34">
        <v>922.42603327856204</v>
      </c>
      <c r="F7" s="44">
        <v>1306.4054265889167</v>
      </c>
      <c r="G7" s="44">
        <v>1840.0729146187298</v>
      </c>
      <c r="H7" s="44">
        <v>2332.5695346801408</v>
      </c>
      <c r="I7" s="44">
        <v>2956.8831707113627</v>
      </c>
      <c r="J7" s="44">
        <v>3748.2947261570102</v>
      </c>
    </row>
    <row r="8" spans="1:10" x14ac:dyDescent="0.25">
      <c r="A8" s="33">
        <v>7</v>
      </c>
      <c r="B8" s="36" t="s">
        <v>50</v>
      </c>
      <c r="C8" s="34">
        <v>321.44944054187317</v>
      </c>
      <c r="D8" s="34">
        <v>494.63706429209037</v>
      </c>
      <c r="E8" s="34">
        <v>605.70696805475188</v>
      </c>
      <c r="F8" s="44">
        <v>857.84533549746902</v>
      </c>
      <c r="G8" s="44">
        <v>1208.2757271626151</v>
      </c>
      <c r="H8" s="44">
        <v>1531.6714507788899</v>
      </c>
      <c r="I8" s="44">
        <v>1941.6242339323032</v>
      </c>
      <c r="J8" s="44">
        <v>2461.3011255619599</v>
      </c>
    </row>
    <row r="9" spans="1:10" x14ac:dyDescent="0.25">
      <c r="A9" s="33">
        <v>8</v>
      </c>
      <c r="B9" s="36" t="s">
        <v>47</v>
      </c>
      <c r="C9" s="34">
        <v>2082.0628823531447</v>
      </c>
      <c r="D9" s="34">
        <v>3203.8179007641902</v>
      </c>
      <c r="E9" s="34">
        <v>3923.2297111594535</v>
      </c>
      <c r="F9" s="44">
        <v>5556.3572573908368</v>
      </c>
      <c r="G9" s="44">
        <v>7826.1329026821941</v>
      </c>
      <c r="H9" s="44">
        <v>9920.8020715509811</v>
      </c>
      <c r="I9" s="44">
        <v>12576.110700747064</v>
      </c>
      <c r="J9" s="44">
        <v>15942.114278338677</v>
      </c>
    </row>
    <row r="10" spans="1:10" x14ac:dyDescent="0.25">
      <c r="A10" s="33">
        <v>9</v>
      </c>
      <c r="B10" s="36" t="s">
        <v>37</v>
      </c>
      <c r="C10" s="34">
        <v>94.498389749659083</v>
      </c>
      <c r="D10" s="34">
        <v>145.41137793646993</v>
      </c>
      <c r="E10" s="34">
        <v>178.06325325946923</v>
      </c>
      <c r="F10" s="44">
        <v>252.18585766431619</v>
      </c>
      <c r="G10" s="44">
        <v>355.20394870804586</v>
      </c>
      <c r="H10" s="44">
        <v>450.27449878319163</v>
      </c>
      <c r="I10" s="44">
        <v>570.79073864997804</v>
      </c>
      <c r="J10" s="44">
        <v>723.56322245435922</v>
      </c>
    </row>
    <row r="11" spans="1:10" x14ac:dyDescent="0.25">
      <c r="A11" s="33">
        <v>10</v>
      </c>
      <c r="B11" s="36" t="s">
        <v>56</v>
      </c>
      <c r="C11" s="34">
        <v>147.94420034577777</v>
      </c>
      <c r="D11" s="34">
        <v>227.65223922840784</v>
      </c>
      <c r="E11" s="34">
        <v>278.77115879146413</v>
      </c>
      <c r="F11" s="44">
        <v>394.81556404823266</v>
      </c>
      <c r="G11" s="44">
        <v>556.09798527243242</v>
      </c>
      <c r="H11" s="44">
        <v>704.93794481630835</v>
      </c>
      <c r="I11" s="44">
        <v>893.61500887004786</v>
      </c>
      <c r="J11" s="44">
        <v>1132.7916023670709</v>
      </c>
    </row>
    <row r="12" spans="1:10" x14ac:dyDescent="0.25">
      <c r="A12" s="33">
        <v>11</v>
      </c>
      <c r="B12" s="36" t="s">
        <v>41</v>
      </c>
      <c r="C12" s="34">
        <v>425.24275387346597</v>
      </c>
      <c r="D12" s="34">
        <v>654.35120071411473</v>
      </c>
      <c r="E12" s="34">
        <v>801.28463966761171</v>
      </c>
      <c r="F12" s="44">
        <v>1134.8363594894231</v>
      </c>
      <c r="G12" s="44">
        <v>1598.4177691862071</v>
      </c>
      <c r="H12" s="44">
        <v>2026.2352445243628</v>
      </c>
      <c r="I12" s="44">
        <v>2568.5583239249017</v>
      </c>
      <c r="J12" s="44">
        <v>3256.0345010446181</v>
      </c>
    </row>
    <row r="13" spans="1:10" x14ac:dyDescent="0.25">
      <c r="A13" s="33">
        <v>12</v>
      </c>
      <c r="B13" s="36" t="s">
        <v>38</v>
      </c>
      <c r="C13" s="34">
        <v>2597.9311411504641</v>
      </c>
      <c r="D13" s="34">
        <v>3997.6209967124605</v>
      </c>
      <c r="E13" s="34">
        <v>4895.2799297726224</v>
      </c>
      <c r="F13" s="44">
        <v>6933.0439885747246</v>
      </c>
      <c r="G13" s="44">
        <v>9765.1970816949688</v>
      </c>
      <c r="H13" s="44">
        <v>12378.857941957587</v>
      </c>
      <c r="I13" s="44">
        <v>15692.066700262525</v>
      </c>
      <c r="J13" s="44">
        <v>19892.057771409203</v>
      </c>
    </row>
    <row r="14" spans="1:10" x14ac:dyDescent="0.25">
      <c r="A14" s="33">
        <v>13</v>
      </c>
      <c r="B14" s="36" t="s">
        <v>45</v>
      </c>
      <c r="C14" s="34">
        <v>36.405117362573584</v>
      </c>
      <c r="D14" s="34">
        <v>56.019137401754804</v>
      </c>
      <c r="E14" s="34">
        <v>68.598138550779126</v>
      </c>
      <c r="F14" s="44">
        <v>97.153568116580843</v>
      </c>
      <c r="G14" s="44">
        <v>136.84086548588655</v>
      </c>
      <c r="H14" s="44">
        <v>173.46640526893455</v>
      </c>
      <c r="I14" s="44">
        <v>219.8947927585983</v>
      </c>
      <c r="J14" s="44">
        <v>278.74976602749928</v>
      </c>
    </row>
    <row r="15" spans="1:10" x14ac:dyDescent="0.25">
      <c r="A15" s="33">
        <v>14</v>
      </c>
      <c r="B15" s="36" t="s">
        <v>46</v>
      </c>
      <c r="C15" s="34">
        <v>2595.6074102549806</v>
      </c>
      <c r="D15" s="34">
        <v>3994.0453070910717</v>
      </c>
      <c r="E15" s="34">
        <v>4890.9013251842744</v>
      </c>
      <c r="F15" s="44">
        <v>6926.842696992815</v>
      </c>
      <c r="G15" s="44">
        <v>9756.4625583660763</v>
      </c>
      <c r="H15" s="44">
        <v>12367.785618217009</v>
      </c>
      <c r="I15" s="44">
        <v>15678.030862426855</v>
      </c>
      <c r="J15" s="44">
        <v>19874.265233152113</v>
      </c>
    </row>
    <row r="16" spans="1:10" x14ac:dyDescent="0.25">
      <c r="A16" s="33">
        <v>15</v>
      </c>
      <c r="B16" s="36" t="s">
        <v>54</v>
      </c>
      <c r="C16" s="34">
        <v>1982.1424538473575</v>
      </c>
      <c r="D16" s="34">
        <v>3050.0632470444798</v>
      </c>
      <c r="E16" s="34">
        <v>3734.9497138605061</v>
      </c>
      <c r="F16" s="44">
        <v>5289.7017193687307</v>
      </c>
      <c r="G16" s="44">
        <v>7450.5483995400782</v>
      </c>
      <c r="H16" s="44">
        <v>9444.6921507064544</v>
      </c>
      <c r="I16" s="44">
        <v>11972.569673813889</v>
      </c>
      <c r="J16" s="44">
        <v>15177.03513328448</v>
      </c>
    </row>
    <row r="17" spans="1:10" x14ac:dyDescent="0.25">
      <c r="A17" s="33">
        <v>16</v>
      </c>
      <c r="B17" s="36" t="s">
        <v>49</v>
      </c>
      <c r="C17" s="34">
        <v>800.91258197661887</v>
      </c>
      <c r="D17" s="34">
        <v>1232.4210228386059</v>
      </c>
      <c r="E17" s="34">
        <v>1509.1590481171411</v>
      </c>
      <c r="F17" s="44">
        <v>2137.3784985647785</v>
      </c>
      <c r="G17" s="44">
        <v>3010.4990406895045</v>
      </c>
      <c r="H17" s="44">
        <v>3816.2609159165604</v>
      </c>
      <c r="I17" s="44">
        <v>4837.6854406891616</v>
      </c>
      <c r="J17" s="44">
        <v>6132.4948526049839</v>
      </c>
    </row>
    <row r="18" spans="1:10" x14ac:dyDescent="0.25">
      <c r="A18" s="33">
        <v>17</v>
      </c>
      <c r="B18" s="36" t="s">
        <v>18</v>
      </c>
      <c r="C18" s="34">
        <v>52023.687288082809</v>
      </c>
      <c r="D18" s="34">
        <v>80052.539243648091</v>
      </c>
      <c r="E18" s="34">
        <v>98028.199523926174</v>
      </c>
      <c r="F18" s="44">
        <v>138834.51593578796</v>
      </c>
      <c r="G18" s="44">
        <v>195548.50828710807</v>
      </c>
      <c r="H18" s="44">
        <v>247887.18390388752</v>
      </c>
      <c r="I18" s="44">
        <v>314234.33746464847</v>
      </c>
      <c r="J18" s="44">
        <v>398339.3464993817</v>
      </c>
    </row>
    <row r="19" spans="1:10" x14ac:dyDescent="0.25">
      <c r="A19" s="33">
        <v>18</v>
      </c>
      <c r="B19" s="36" t="s">
        <v>58</v>
      </c>
      <c r="C19" s="34">
        <v>26.335616815478765</v>
      </c>
      <c r="D19" s="34">
        <v>40.524482375737527</v>
      </c>
      <c r="E19" s="34">
        <v>49.624185334606182</v>
      </c>
      <c r="F19" s="44">
        <v>70.281304594973335</v>
      </c>
      <c r="G19" s="44">
        <v>98.99126439404553</v>
      </c>
      <c r="H19" s="44">
        <v>125.4863357264632</v>
      </c>
      <c r="I19" s="44">
        <v>159.07282880409215</v>
      </c>
      <c r="J19" s="44">
        <v>201.64876691350983</v>
      </c>
    </row>
    <row r="20" spans="1:10" x14ac:dyDescent="0.25">
      <c r="A20" s="33">
        <v>19</v>
      </c>
      <c r="B20" s="36" t="s">
        <v>44</v>
      </c>
      <c r="C20" s="34">
        <v>203.71374183737987</v>
      </c>
      <c r="D20" s="34">
        <v>313.46879014173436</v>
      </c>
      <c r="E20" s="34">
        <v>383.85766891180668</v>
      </c>
      <c r="F20" s="44">
        <v>543.64656201405853</v>
      </c>
      <c r="G20" s="44">
        <v>765.72654516570549</v>
      </c>
      <c r="H20" s="44">
        <v>970.67371458999537</v>
      </c>
      <c r="I20" s="44">
        <v>1230.4751169257725</v>
      </c>
      <c r="J20" s="44">
        <v>1559.8125205368563</v>
      </c>
    </row>
    <row r="21" spans="1:10" x14ac:dyDescent="0.25">
      <c r="A21" s="33">
        <v>20</v>
      </c>
      <c r="B21" s="36" t="s">
        <v>53</v>
      </c>
      <c r="C21" s="34">
        <v>360.95286576509125</v>
      </c>
      <c r="D21" s="34">
        <v>555.42378785569667</v>
      </c>
      <c r="E21" s="34">
        <v>680.14324605666127</v>
      </c>
      <c r="F21" s="44">
        <v>963.26729238992925</v>
      </c>
      <c r="G21" s="44">
        <v>1356.7626237536836</v>
      </c>
      <c r="H21" s="44">
        <v>1719.9009543685843</v>
      </c>
      <c r="I21" s="44">
        <v>2180.2334771384408</v>
      </c>
      <c r="J21" s="44">
        <v>2763.7742759322246</v>
      </c>
    </row>
    <row r="22" spans="1:10" x14ac:dyDescent="0.25">
      <c r="A22" s="33">
        <v>21</v>
      </c>
      <c r="B22" s="36" t="s">
        <v>48</v>
      </c>
      <c r="C22" s="34">
        <v>100.69500547094822</v>
      </c>
      <c r="D22" s="34">
        <v>154.9465502601729</v>
      </c>
      <c r="E22" s="34">
        <v>189.73953216172953</v>
      </c>
      <c r="F22" s="44">
        <v>268.72263521607459</v>
      </c>
      <c r="G22" s="44">
        <v>378.49601091840947</v>
      </c>
      <c r="H22" s="44">
        <v>479.80069542471233</v>
      </c>
      <c r="I22" s="44">
        <v>608.2196395450585</v>
      </c>
      <c r="J22" s="44">
        <v>771.0099911398911</v>
      </c>
    </row>
    <row r="23" spans="1:10" x14ac:dyDescent="0.25">
      <c r="A23" s="33">
        <v>22</v>
      </c>
      <c r="B23" s="36" t="s">
        <v>52</v>
      </c>
      <c r="C23" s="34">
        <v>1208.3400656513786</v>
      </c>
      <c r="D23" s="34">
        <v>1859.3586031220746</v>
      </c>
      <c r="E23" s="34">
        <v>2276.8743859407546</v>
      </c>
      <c r="F23" s="44">
        <v>3224.6716225928958</v>
      </c>
      <c r="G23" s="44">
        <v>4541.9521310209157</v>
      </c>
      <c r="H23" s="44">
        <v>5757.6083450965498</v>
      </c>
      <c r="I23" s="44">
        <v>7298.6356745407074</v>
      </c>
      <c r="J23" s="44">
        <v>9252.1198936786932</v>
      </c>
    </row>
    <row r="24" spans="1:10" x14ac:dyDescent="0.25">
      <c r="A24" s="33">
        <v>23</v>
      </c>
      <c r="B24" s="36" t="s">
        <v>36</v>
      </c>
      <c r="C24" s="34">
        <v>1640.5540122112945</v>
      </c>
      <c r="D24" s="34">
        <v>2524.4368727003548</v>
      </c>
      <c r="E24" s="34">
        <v>3091.2948393734086</v>
      </c>
      <c r="F24" s="44">
        <v>4378.1118568280453</v>
      </c>
      <c r="G24" s="44">
        <v>6166.573470193779</v>
      </c>
      <c r="H24" s="44">
        <v>7817.0605608426213</v>
      </c>
      <c r="I24" s="44">
        <v>9909.3015119725696</v>
      </c>
      <c r="J24" s="44">
        <v>12561.532009494533</v>
      </c>
    </row>
    <row r="25" spans="1:10" x14ac:dyDescent="0.25">
      <c r="A25" s="33">
        <v>24</v>
      </c>
      <c r="B25" s="36" t="s">
        <v>51</v>
      </c>
      <c r="C25" s="34">
        <v>70.486503829663747</v>
      </c>
      <c r="D25" s="34">
        <v>108.46258518212102</v>
      </c>
      <c r="E25" s="34">
        <v>132.81767251321068</v>
      </c>
      <c r="F25" s="44">
        <v>188.10584465125226</v>
      </c>
      <c r="G25" s="44">
        <v>264.94720764288672</v>
      </c>
      <c r="H25" s="44">
        <v>335.86048679729873</v>
      </c>
      <c r="I25" s="44">
        <v>425.7537476815412</v>
      </c>
      <c r="J25" s="44">
        <v>539.70699379792404</v>
      </c>
    </row>
    <row r="26" spans="1:10" x14ac:dyDescent="0.25">
      <c r="A26" s="33">
        <v>25</v>
      </c>
      <c r="B26" s="36" t="s">
        <v>42</v>
      </c>
      <c r="C26" s="34">
        <v>40.278002188379283</v>
      </c>
      <c r="D26" s="34">
        <v>61.978620104069151</v>
      </c>
      <c r="E26" s="34">
        <v>75.895812864691806</v>
      </c>
      <c r="F26" s="44">
        <v>107.48905408642986</v>
      </c>
      <c r="G26" s="44">
        <v>151.39840436736387</v>
      </c>
      <c r="H26" s="44">
        <v>191.92027816988505</v>
      </c>
      <c r="I26" s="44">
        <v>243.28785581802359</v>
      </c>
      <c r="J26" s="44">
        <v>308.40399645595664</v>
      </c>
    </row>
    <row r="27" spans="1:10" ht="37.5" customHeight="1" x14ac:dyDescent="0.25">
      <c r="A27" s="282" t="s">
        <v>861</v>
      </c>
      <c r="B27" s="282"/>
      <c r="C27" s="281">
        <v>90280.043597391545</v>
      </c>
      <c r="D27" s="281">
        <v>138920.30937710914</v>
      </c>
      <c r="E27" s="281">
        <v>170114.62639675557</v>
      </c>
      <c r="F27" s="281">
        <v>240928.44634595665</v>
      </c>
      <c r="G27" s="281">
        <v>339347.87735834077</v>
      </c>
      <c r="H27" s="281">
        <v>430174.54041947634</v>
      </c>
      <c r="I27" s="281">
        <v>545311.01436565188</v>
      </c>
      <c r="J27" s="281">
        <v>691263.83467168349</v>
      </c>
    </row>
    <row r="28" spans="1:10" x14ac:dyDescent="0.25">
      <c r="C28" s="31"/>
      <c r="D28" s="31"/>
      <c r="E28" s="31"/>
      <c r="F28" s="31"/>
      <c r="G28" s="31"/>
      <c r="H28" s="31"/>
      <c r="I28" s="31"/>
      <c r="J28" s="31"/>
    </row>
    <row r="29" spans="1:10" x14ac:dyDescent="0.25">
      <c r="C29" s="31"/>
      <c r="D29" s="31"/>
      <c r="E29" s="31"/>
      <c r="F29" s="31"/>
      <c r="G29" s="31"/>
      <c r="H29" s="31"/>
      <c r="I29" s="31"/>
      <c r="J29" s="31"/>
    </row>
    <row r="30" spans="1:10" x14ac:dyDescent="0.25">
      <c r="C30" s="31"/>
      <c r="D30" s="31"/>
      <c r="E30" s="31"/>
      <c r="F30" s="31"/>
      <c r="G30" s="31"/>
      <c r="H30" s="31"/>
      <c r="I30" s="31"/>
      <c r="J30" s="31"/>
    </row>
    <row r="31" spans="1:10" x14ac:dyDescent="0.25">
      <c r="C31" s="31"/>
      <c r="D31" s="31"/>
      <c r="E31" s="31"/>
      <c r="F31" s="31"/>
      <c r="G31" s="31"/>
      <c r="H31" s="31"/>
      <c r="I31" s="31"/>
      <c r="J31" s="31"/>
    </row>
    <row r="32" spans="1:10" x14ac:dyDescent="0.25">
      <c r="C32" s="31"/>
      <c r="D32" s="31"/>
      <c r="E32" s="31"/>
      <c r="F32" s="31"/>
      <c r="G32" s="31"/>
      <c r="H32" s="31"/>
      <c r="I32" s="31"/>
      <c r="J32" s="31"/>
    </row>
    <row r="33" spans="3:10" x14ac:dyDescent="0.25">
      <c r="C33" s="31"/>
      <c r="D33" s="31"/>
      <c r="E33" s="31"/>
      <c r="F33" s="31"/>
      <c r="G33" s="31"/>
      <c r="H33" s="31"/>
      <c r="I33" s="31"/>
      <c r="J33" s="31"/>
    </row>
    <row r="34" spans="3:10" x14ac:dyDescent="0.25">
      <c r="C34" s="31"/>
      <c r="D34" s="31"/>
      <c r="E34" s="31"/>
      <c r="F34" s="31"/>
      <c r="G34" s="31"/>
      <c r="H34" s="31"/>
      <c r="I34" s="31"/>
      <c r="J34" s="31"/>
    </row>
    <row r="35" spans="3:10" x14ac:dyDescent="0.25">
      <c r="C35" s="31"/>
      <c r="D35" s="31"/>
      <c r="E35" s="31"/>
      <c r="F35" s="31"/>
      <c r="G35" s="31"/>
      <c r="H35" s="31"/>
      <c r="I35" s="31"/>
      <c r="J35" s="31"/>
    </row>
    <row r="36" spans="3:10" x14ac:dyDescent="0.25">
      <c r="C36" s="31"/>
      <c r="D36" s="31"/>
      <c r="E36" s="31"/>
      <c r="F36" s="31"/>
      <c r="G36" s="31"/>
      <c r="H36" s="31"/>
      <c r="I36" s="31"/>
      <c r="J36" s="31"/>
    </row>
    <row r="37" spans="3:10" x14ac:dyDescent="0.25">
      <c r="C37" s="31"/>
      <c r="D37" s="31"/>
      <c r="E37" s="31"/>
      <c r="F37" s="31"/>
      <c r="G37" s="31"/>
      <c r="H37" s="31"/>
      <c r="I37" s="31"/>
      <c r="J37" s="31"/>
    </row>
    <row r="38" spans="3:10" x14ac:dyDescent="0.25">
      <c r="C38" s="31"/>
      <c r="D38" s="31"/>
      <c r="E38" s="31"/>
      <c r="F38" s="31"/>
      <c r="G38" s="31"/>
      <c r="H38" s="31"/>
      <c r="I38" s="31"/>
      <c r="J38" s="31"/>
    </row>
    <row r="39" spans="3:10" x14ac:dyDescent="0.25">
      <c r="C39" s="31"/>
      <c r="D39" s="31"/>
      <c r="E39" s="31"/>
      <c r="F39" s="31"/>
      <c r="G39" s="31"/>
      <c r="H39" s="31"/>
      <c r="I39" s="31"/>
      <c r="J39" s="31"/>
    </row>
    <row r="40" spans="3:10" x14ac:dyDescent="0.25">
      <c r="C40" s="31"/>
      <c r="D40" s="31"/>
      <c r="E40" s="31"/>
      <c r="F40" s="31"/>
      <c r="G40" s="31"/>
      <c r="H40" s="31"/>
      <c r="I40" s="31"/>
      <c r="J40" s="31"/>
    </row>
    <row r="41" spans="3:10" x14ac:dyDescent="0.25">
      <c r="C41" s="31"/>
      <c r="D41" s="31"/>
      <c r="E41" s="31"/>
      <c r="F41" s="31"/>
      <c r="G41" s="31"/>
      <c r="H41" s="31"/>
      <c r="I41" s="31"/>
      <c r="J41" s="31"/>
    </row>
    <row r="42" spans="3:10" x14ac:dyDescent="0.25">
      <c r="C42" s="31"/>
      <c r="D42" s="31"/>
      <c r="E42" s="31"/>
      <c r="F42" s="31"/>
      <c r="G42" s="31"/>
      <c r="H42" s="31"/>
      <c r="I42" s="31"/>
      <c r="J42" s="31"/>
    </row>
    <row r="43" spans="3:10" x14ac:dyDescent="0.25">
      <c r="C43" s="31"/>
      <c r="D43" s="31"/>
      <c r="E43" s="31"/>
      <c r="F43" s="31"/>
      <c r="G43" s="31"/>
      <c r="H43" s="31"/>
      <c r="I43" s="31"/>
      <c r="J43" s="31"/>
    </row>
    <row r="44" spans="3:10" x14ac:dyDescent="0.25">
      <c r="C44" s="31"/>
      <c r="D44" s="31"/>
      <c r="E44" s="31"/>
      <c r="F44" s="31"/>
      <c r="G44" s="31"/>
      <c r="H44" s="31"/>
      <c r="I44" s="31"/>
      <c r="J44" s="31"/>
    </row>
    <row r="45" spans="3:10" x14ac:dyDescent="0.25">
      <c r="C45" s="31"/>
      <c r="D45" s="31"/>
      <c r="E45" s="31"/>
      <c r="F45" s="31"/>
      <c r="G45" s="31"/>
      <c r="H45" s="31"/>
      <c r="I45" s="31"/>
      <c r="J45" s="31"/>
    </row>
    <row r="46" spans="3:10" x14ac:dyDescent="0.25">
      <c r="C46" s="31"/>
      <c r="D46" s="31"/>
      <c r="E46" s="31"/>
      <c r="F46" s="31"/>
      <c r="G46" s="31"/>
      <c r="H46" s="31"/>
      <c r="I46" s="31"/>
      <c r="J46" s="31"/>
    </row>
    <row r="47" spans="3:10" x14ac:dyDescent="0.25">
      <c r="C47" s="31"/>
      <c r="D47" s="31"/>
      <c r="E47" s="31"/>
      <c r="F47" s="31"/>
      <c r="G47" s="31"/>
      <c r="H47" s="31"/>
      <c r="I47" s="31"/>
      <c r="J47" s="31"/>
    </row>
    <row r="48" spans="3:10" x14ac:dyDescent="0.25">
      <c r="C48" s="31"/>
      <c r="D48" s="31"/>
      <c r="E48" s="31"/>
      <c r="F48" s="31"/>
      <c r="G48" s="31"/>
      <c r="H48" s="31"/>
      <c r="I48" s="31"/>
      <c r="J48" s="31"/>
    </row>
    <row r="49" spans="3:10" x14ac:dyDescent="0.25">
      <c r="C49" s="31"/>
      <c r="D49" s="31"/>
      <c r="E49" s="31"/>
      <c r="F49" s="31"/>
      <c r="G49" s="31"/>
      <c r="H49" s="31"/>
      <c r="I49" s="31"/>
      <c r="J49" s="31"/>
    </row>
    <row r="50" spans="3:10" x14ac:dyDescent="0.25">
      <c r="C50" s="31"/>
      <c r="D50" s="31"/>
      <c r="E50" s="31"/>
      <c r="F50" s="31"/>
      <c r="G50" s="31"/>
      <c r="H50" s="31"/>
      <c r="I50" s="31"/>
      <c r="J50" s="31"/>
    </row>
  </sheetData>
  <mergeCells count="1">
    <mergeCell ref="A27:B2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AA5C9-C495-4E57-A688-5AED14F1B5EF}">
  <sheetPr>
    <tabColor theme="9"/>
  </sheetPr>
  <dimension ref="A1:J50"/>
  <sheetViews>
    <sheetView workbookViewId="0">
      <selection activeCell="K9" sqref="K9"/>
    </sheetView>
  </sheetViews>
  <sheetFormatPr defaultRowHeight="15" x14ac:dyDescent="0.25"/>
  <cols>
    <col min="1" max="1" width="9.140625" style="32"/>
    <col min="2" max="2" width="20.7109375" style="32" customWidth="1"/>
    <col min="3" max="10" width="12.28515625" style="32" customWidth="1"/>
    <col min="11" max="16384" width="9.140625" style="32"/>
  </cols>
  <sheetData>
    <row r="1" spans="1:10" ht="70.5" customHeight="1" x14ac:dyDescent="0.25">
      <c r="A1" s="35" t="s">
        <v>59</v>
      </c>
      <c r="B1" s="35" t="s">
        <v>4</v>
      </c>
      <c r="C1" s="43" t="s">
        <v>713</v>
      </c>
      <c r="D1" s="43" t="s">
        <v>723</v>
      </c>
      <c r="E1" s="43" t="s">
        <v>733</v>
      </c>
      <c r="F1" s="45" t="s">
        <v>743</v>
      </c>
      <c r="G1" s="45" t="s">
        <v>753</v>
      </c>
      <c r="H1" s="45" t="s">
        <v>763</v>
      </c>
      <c r="I1" s="45" t="s">
        <v>773</v>
      </c>
      <c r="J1" s="45" t="s">
        <v>783</v>
      </c>
    </row>
    <row r="2" spans="1:10" x14ac:dyDescent="0.25">
      <c r="A2" s="33">
        <v>1</v>
      </c>
      <c r="B2" s="36" t="s">
        <v>35</v>
      </c>
      <c r="C2" s="34">
        <v>2328.659729175869</v>
      </c>
      <c r="D2" s="34">
        <v>3443.2529517470002</v>
      </c>
      <c r="E2" s="34">
        <v>4158.0717089120053</v>
      </c>
      <c r="F2" s="44">
        <v>5780.7726237714023</v>
      </c>
      <c r="G2" s="44">
        <v>8036.0569857547425</v>
      </c>
      <c r="H2" s="44">
        <v>10117.352830953581</v>
      </c>
      <c r="I2" s="44">
        <v>12755.708758372417</v>
      </c>
      <c r="J2" s="44">
        <v>16100.2222333806</v>
      </c>
    </row>
    <row r="3" spans="1:10" x14ac:dyDescent="0.25">
      <c r="A3" s="33">
        <v>2</v>
      </c>
      <c r="B3" s="36" t="s">
        <v>40</v>
      </c>
      <c r="C3" s="34">
        <v>473.78211859202116</v>
      </c>
      <c r="D3" s="34">
        <v>700.55390999709209</v>
      </c>
      <c r="E3" s="34">
        <v>845.98878866818461</v>
      </c>
      <c r="F3" s="44">
        <v>1176.1386459663061</v>
      </c>
      <c r="G3" s="44">
        <v>1634.9920325991732</v>
      </c>
      <c r="H3" s="44">
        <v>2058.4462378660191</v>
      </c>
      <c r="I3" s="44">
        <v>2595.2382153417043</v>
      </c>
      <c r="J3" s="44">
        <v>3275.7028877864564</v>
      </c>
    </row>
    <row r="4" spans="1:10" x14ac:dyDescent="0.25">
      <c r="A4" s="33">
        <v>3</v>
      </c>
      <c r="B4" s="36" t="s">
        <v>55</v>
      </c>
      <c r="C4" s="34">
        <v>38.876444045263248</v>
      </c>
      <c r="D4" s="34">
        <v>57.484324152268663</v>
      </c>
      <c r="E4" s="34">
        <v>69.41806057036905</v>
      </c>
      <c r="F4" s="44">
        <v>96.508682926369119</v>
      </c>
      <c r="G4" s="44">
        <v>134.16014192069471</v>
      </c>
      <c r="H4" s="44">
        <v>168.90690223683046</v>
      </c>
      <c r="I4" s="44">
        <v>212.95365380756644</v>
      </c>
      <c r="J4" s="44">
        <v>268.78954487431355</v>
      </c>
    </row>
    <row r="5" spans="1:10" x14ac:dyDescent="0.25">
      <c r="A5" s="33">
        <v>4</v>
      </c>
      <c r="B5" s="36" t="s">
        <v>57</v>
      </c>
      <c r="C5" s="34">
        <v>2101.8804722451669</v>
      </c>
      <c r="D5" s="34">
        <v>3107.927727525434</v>
      </c>
      <c r="E5" s="34">
        <v>3753.133022251518</v>
      </c>
      <c r="F5" s="44">
        <v>5217.805306700915</v>
      </c>
      <c r="G5" s="44">
        <v>7253.456157884023</v>
      </c>
      <c r="H5" s="44">
        <v>9132.0625679054028</v>
      </c>
      <c r="I5" s="44">
        <v>11513.479111161609</v>
      </c>
      <c r="J5" s="44">
        <v>14532.28322161377</v>
      </c>
    </row>
    <row r="6" spans="1:10" x14ac:dyDescent="0.25">
      <c r="A6" s="33">
        <v>5</v>
      </c>
      <c r="B6" s="36" t="s">
        <v>43</v>
      </c>
      <c r="C6" s="34">
        <v>894.94359574903967</v>
      </c>
      <c r="D6" s="34">
        <v>1323.3007549800025</v>
      </c>
      <c r="E6" s="34">
        <v>1598.0177781805157</v>
      </c>
      <c r="F6" s="44">
        <v>2221.649377668638</v>
      </c>
      <c r="G6" s="44">
        <v>3088.3935700733668</v>
      </c>
      <c r="H6" s="44">
        <v>3888.2710120983506</v>
      </c>
      <c r="I6" s="44">
        <v>4902.2361315903427</v>
      </c>
      <c r="J6" s="44">
        <v>6187.5896239248568</v>
      </c>
    </row>
    <row r="7" spans="1:10" x14ac:dyDescent="0.25">
      <c r="A7" s="33">
        <v>6</v>
      </c>
      <c r="B7" s="36" t="s">
        <v>39</v>
      </c>
      <c r="C7" s="34">
        <v>124.09046786164829</v>
      </c>
      <c r="D7" s="34">
        <v>183.48531749613025</v>
      </c>
      <c r="E7" s="34">
        <v>221.57683980036992</v>
      </c>
      <c r="F7" s="44">
        <v>308.04791721952154</v>
      </c>
      <c r="G7" s="44">
        <v>428.22833178726785</v>
      </c>
      <c r="H7" s="44">
        <v>539.13718289735777</v>
      </c>
      <c r="I7" s="44">
        <v>679.73085457768661</v>
      </c>
      <c r="J7" s="44">
        <v>857.95450687154619</v>
      </c>
    </row>
    <row r="8" spans="1:10" x14ac:dyDescent="0.25">
      <c r="A8" s="33">
        <v>7</v>
      </c>
      <c r="B8" s="36" t="s">
        <v>50</v>
      </c>
      <c r="C8" s="34">
        <v>81.483455953455788</v>
      </c>
      <c r="D8" s="34">
        <v>120.48482082419946</v>
      </c>
      <c r="E8" s="34">
        <v>145.49745018536947</v>
      </c>
      <c r="F8" s="44">
        <v>202.27830007294531</v>
      </c>
      <c r="G8" s="44">
        <v>281.19423685398118</v>
      </c>
      <c r="H8" s="44">
        <v>354.02204256709405</v>
      </c>
      <c r="I8" s="44">
        <v>446.34225419262651</v>
      </c>
      <c r="J8" s="44">
        <v>563.37202587292961</v>
      </c>
    </row>
    <row r="9" spans="1:10" x14ac:dyDescent="0.25">
      <c r="A9" s="33">
        <v>8</v>
      </c>
      <c r="B9" s="36" t="s">
        <v>47</v>
      </c>
      <c r="C9" s="34">
        <v>527.77717976599786</v>
      </c>
      <c r="D9" s="34">
        <v>780.39324909746551</v>
      </c>
      <c r="E9" s="34">
        <v>942.40276168258583</v>
      </c>
      <c r="F9" s="44">
        <v>1310.1784833640411</v>
      </c>
      <c r="G9" s="44">
        <v>1821.3255630445824</v>
      </c>
      <c r="H9" s="44">
        <v>2293.0391576393954</v>
      </c>
      <c r="I9" s="44">
        <v>2891.0071789633253</v>
      </c>
      <c r="J9" s="44">
        <v>3649.0217001118926</v>
      </c>
    </row>
    <row r="10" spans="1:10" x14ac:dyDescent="0.25">
      <c r="A10" s="33">
        <v>9</v>
      </c>
      <c r="B10" s="36" t="s">
        <v>37</v>
      </c>
      <c r="C10" s="34">
        <v>23.954172593546037</v>
      </c>
      <c r="D10" s="34">
        <v>35.419634073620074</v>
      </c>
      <c r="E10" s="34">
        <v>42.772744391843553</v>
      </c>
      <c r="F10" s="44">
        <v>59.464946045540557</v>
      </c>
      <c r="G10" s="44">
        <v>82.664329870327009</v>
      </c>
      <c r="H10" s="44">
        <v>104.07394986309752</v>
      </c>
      <c r="I10" s="44">
        <v>131.21386749759134</v>
      </c>
      <c r="J10" s="44">
        <v>165.61780037710216</v>
      </c>
    </row>
    <row r="11" spans="1:10" x14ac:dyDescent="0.25">
      <c r="A11" s="33">
        <v>10</v>
      </c>
      <c r="B11" s="36" t="s">
        <v>56</v>
      </c>
      <c r="C11" s="34">
        <v>37.502024306289293</v>
      </c>
      <c r="D11" s="34">
        <v>55.452050066077319</v>
      </c>
      <c r="E11" s="34">
        <v>66.963886711820635</v>
      </c>
      <c r="F11" s="44">
        <v>93.096759792608552</v>
      </c>
      <c r="G11" s="44">
        <v>129.41710660026604</v>
      </c>
      <c r="H11" s="44">
        <v>162.93544609714451</v>
      </c>
      <c r="I11" s="44">
        <v>205.42498927901599</v>
      </c>
      <c r="J11" s="44">
        <v>259.28688419693873</v>
      </c>
    </row>
    <row r="12" spans="1:10" x14ac:dyDescent="0.25">
      <c r="A12" s="33">
        <v>11</v>
      </c>
      <c r="B12" s="36" t="s">
        <v>41</v>
      </c>
      <c r="C12" s="34">
        <v>107.7937766709572</v>
      </c>
      <c r="D12" s="34">
        <v>159.38835333129038</v>
      </c>
      <c r="E12" s="34">
        <v>192.47734976329602</v>
      </c>
      <c r="F12" s="44">
        <v>267.59225720493254</v>
      </c>
      <c r="G12" s="44">
        <v>371.98948441647167</v>
      </c>
      <c r="H12" s="44">
        <v>468.3327743839389</v>
      </c>
      <c r="I12" s="44">
        <v>590.46240373916112</v>
      </c>
      <c r="J12" s="44">
        <v>745.28010169696017</v>
      </c>
    </row>
    <row r="13" spans="1:10" x14ac:dyDescent="0.25">
      <c r="A13" s="33">
        <v>12</v>
      </c>
      <c r="B13" s="36" t="s">
        <v>38</v>
      </c>
      <c r="C13" s="34">
        <v>658.54340064551968</v>
      </c>
      <c r="D13" s="34">
        <v>973.74961215509643</v>
      </c>
      <c r="E13" s="34">
        <v>1175.899874510191</v>
      </c>
      <c r="F13" s="44">
        <v>1634.7985986618276</v>
      </c>
      <c r="G13" s="44">
        <v>2272.5914949596463</v>
      </c>
      <c r="H13" s="44">
        <v>2861.180556072371</v>
      </c>
      <c r="I13" s="44">
        <v>3607.3058326796859</v>
      </c>
      <c r="J13" s="44">
        <v>4553.1319874164028</v>
      </c>
    </row>
    <row r="14" spans="1:10" x14ac:dyDescent="0.25">
      <c r="A14" s="33">
        <v>13</v>
      </c>
      <c r="B14" s="36" t="s">
        <v>45</v>
      </c>
      <c r="C14" s="34">
        <v>9.228246818825113</v>
      </c>
      <c r="D14" s="34">
        <v>13.645268864427404</v>
      </c>
      <c r="E14" s="34">
        <v>16.478024478824974</v>
      </c>
      <c r="F14" s="44">
        <v>22.90862675524923</v>
      </c>
      <c r="G14" s="44">
        <v>31.846094294306312</v>
      </c>
      <c r="H14" s="44">
        <v>40.094062652176923</v>
      </c>
      <c r="I14" s="44">
        <v>50.549604691695073</v>
      </c>
      <c r="J14" s="44">
        <v>63.803578833801701</v>
      </c>
    </row>
    <row r="15" spans="1:10" x14ac:dyDescent="0.25">
      <c r="A15" s="33">
        <v>14</v>
      </c>
      <c r="B15" s="36" t="s">
        <v>46</v>
      </c>
      <c r="C15" s="34">
        <v>657.95436361453096</v>
      </c>
      <c r="D15" s="34">
        <v>972.87863754672867</v>
      </c>
      <c r="E15" s="34">
        <v>1174.8480857136703</v>
      </c>
      <c r="F15" s="44">
        <v>1633.3363458902159</v>
      </c>
      <c r="G15" s="44">
        <v>2270.5587655366039</v>
      </c>
      <c r="H15" s="44">
        <v>2858.6213605839325</v>
      </c>
      <c r="I15" s="44">
        <v>3604.0792621674468</v>
      </c>
      <c r="J15" s="44">
        <v>4549.059418554667</v>
      </c>
    </row>
    <row r="16" spans="1:10" x14ac:dyDescent="0.25">
      <c r="A16" s="33">
        <v>15</v>
      </c>
      <c r="B16" s="36" t="s">
        <v>54</v>
      </c>
      <c r="C16" s="34">
        <v>502.44858743347794</v>
      </c>
      <c r="D16" s="34">
        <v>742.94134093765399</v>
      </c>
      <c r="E16" s="34">
        <v>897.1758434321938</v>
      </c>
      <c r="F16" s="44">
        <v>1247.3016141847399</v>
      </c>
      <c r="G16" s="44">
        <v>1733.9181978538268</v>
      </c>
      <c r="H16" s="44">
        <v>2182.9937516366108</v>
      </c>
      <c r="I16" s="44">
        <v>2752.2646469371834</v>
      </c>
      <c r="J16" s="44">
        <v>3473.9012390574162</v>
      </c>
    </row>
    <row r="17" spans="1:10" x14ac:dyDescent="0.25">
      <c r="A17" s="33">
        <v>16</v>
      </c>
      <c r="B17" s="36" t="s">
        <v>49</v>
      </c>
      <c r="C17" s="34">
        <v>180.36325669720574</v>
      </c>
      <c r="D17" s="34">
        <v>277.53774170045625</v>
      </c>
      <c r="E17" s="34">
        <v>339.85836521720273</v>
      </c>
      <c r="F17" s="44">
        <v>481.33161529853629</v>
      </c>
      <c r="G17" s="44">
        <v>677.95590115779225</v>
      </c>
      <c r="H17" s="44">
        <v>859.41120503094578</v>
      </c>
      <c r="I17" s="44">
        <v>1089.4331299003445</v>
      </c>
      <c r="J17" s="44">
        <v>1381.020561026691</v>
      </c>
    </row>
    <row r="18" spans="1:10" x14ac:dyDescent="0.25">
      <c r="A18" s="33">
        <v>17</v>
      </c>
      <c r="B18" s="36" t="s">
        <v>18</v>
      </c>
      <c r="C18" s="34">
        <v>11715.587788018498</v>
      </c>
      <c r="D18" s="34">
        <v>18027.60627037664</v>
      </c>
      <c r="E18" s="34">
        <v>22075.674314746815</v>
      </c>
      <c r="F18" s="44">
        <v>31265.141789082096</v>
      </c>
      <c r="G18" s="44">
        <v>44036.973061278462</v>
      </c>
      <c r="H18" s="44">
        <v>55823.495333364022</v>
      </c>
      <c r="I18" s="44">
        <v>70764.687366176673</v>
      </c>
      <c r="J18" s="44">
        <v>89704.898414696872</v>
      </c>
    </row>
    <row r="19" spans="1:10" x14ac:dyDescent="0.25">
      <c r="A19" s="33">
        <v>18</v>
      </c>
      <c r="B19" s="36" t="s">
        <v>58</v>
      </c>
      <c r="C19" s="34">
        <v>5.9307066999081197</v>
      </c>
      <c r="D19" s="34">
        <v>9.125999243535313</v>
      </c>
      <c r="E19" s="34">
        <v>11.175226709269722</v>
      </c>
      <c r="F19" s="44">
        <v>15.827151760300026</v>
      </c>
      <c r="G19" s="44">
        <v>22.292553809830675</v>
      </c>
      <c r="H19" s="44">
        <v>28.259169217651962</v>
      </c>
      <c r="I19" s="44">
        <v>35.822752820707613</v>
      </c>
      <c r="J19" s="44">
        <v>45.41073411499751</v>
      </c>
    </row>
    <row r="20" spans="1:10" x14ac:dyDescent="0.25">
      <c r="A20" s="33">
        <v>19</v>
      </c>
      <c r="B20" s="36" t="s">
        <v>44</v>
      </c>
      <c r="C20" s="34">
        <v>45.875760649289283</v>
      </c>
      <c r="D20" s="34">
        <v>70.5922882661702</v>
      </c>
      <c r="E20" s="34">
        <v>86.44366542758641</v>
      </c>
      <c r="F20" s="44">
        <v>122.42767391055608</v>
      </c>
      <c r="G20" s="44">
        <v>172.43946035251386</v>
      </c>
      <c r="H20" s="44">
        <v>218.59298541889621</v>
      </c>
      <c r="I20" s="44">
        <v>277.09952917194431</v>
      </c>
      <c r="J20" s="44">
        <v>351.26538447777506</v>
      </c>
    </row>
    <row r="21" spans="1:10" x14ac:dyDescent="0.25">
      <c r="A21" s="33">
        <v>20</v>
      </c>
      <c r="B21" s="36" t="s">
        <v>53</v>
      </c>
      <c r="C21" s="34">
        <v>81.285568298740699</v>
      </c>
      <c r="D21" s="34">
        <v>125.07987198492518</v>
      </c>
      <c r="E21" s="34">
        <v>153.16634254469682</v>
      </c>
      <c r="F21" s="44">
        <v>216.92508000881813</v>
      </c>
      <c r="G21" s="44">
        <v>305.53911986415005</v>
      </c>
      <c r="H21" s="44">
        <v>387.3168486889947</v>
      </c>
      <c r="I21" s="44">
        <v>490.98243571911047</v>
      </c>
      <c r="J21" s="44">
        <v>622.3941793408485</v>
      </c>
    </row>
    <row r="22" spans="1:10" x14ac:dyDescent="0.25">
      <c r="A22" s="33">
        <v>21</v>
      </c>
      <c r="B22" s="36" t="s">
        <v>48</v>
      </c>
      <c r="C22" s="34">
        <v>22.67623149964869</v>
      </c>
      <c r="D22" s="34">
        <v>34.893526519399728</v>
      </c>
      <c r="E22" s="34">
        <v>42.728808006031294</v>
      </c>
      <c r="F22" s="44">
        <v>60.515580259970697</v>
      </c>
      <c r="G22" s="44">
        <v>85.236235155234951</v>
      </c>
      <c r="H22" s="44">
        <v>108.04976465572811</v>
      </c>
      <c r="I22" s="44">
        <v>136.96934902035269</v>
      </c>
      <c r="J22" s="44">
        <v>173.62927749852</v>
      </c>
    </row>
    <row r="23" spans="1:10" x14ac:dyDescent="0.25">
      <c r="A23" s="33">
        <v>22</v>
      </c>
      <c r="B23" s="36" t="s">
        <v>52</v>
      </c>
      <c r="C23" s="34">
        <v>272.11477799578432</v>
      </c>
      <c r="D23" s="34">
        <v>418.72231823279657</v>
      </c>
      <c r="E23" s="34">
        <v>512.74569607237561</v>
      </c>
      <c r="F23" s="44">
        <v>726.18696311964868</v>
      </c>
      <c r="G23" s="44">
        <v>1022.8348218628197</v>
      </c>
      <c r="H23" s="44">
        <v>1296.5971758687381</v>
      </c>
      <c r="I23" s="44">
        <v>1643.6321882442335</v>
      </c>
      <c r="J23" s="44">
        <v>2083.5513299822401</v>
      </c>
    </row>
    <row r="24" spans="1:10" x14ac:dyDescent="0.25">
      <c r="A24" s="33">
        <v>23</v>
      </c>
      <c r="B24" s="36" t="s">
        <v>36</v>
      </c>
      <c r="C24" s="34">
        <v>369.44814089427632</v>
      </c>
      <c r="D24" s="34">
        <v>568.49607052375848</v>
      </c>
      <c r="E24" s="34">
        <v>696.15088735980214</v>
      </c>
      <c r="F24" s="44">
        <v>985.93845377398418</v>
      </c>
      <c r="G24" s="44">
        <v>1388.6949696829818</v>
      </c>
      <c r="H24" s="44">
        <v>1760.3800118525553</v>
      </c>
      <c r="I24" s="44">
        <v>2231.5467786546697</v>
      </c>
      <c r="J24" s="44">
        <v>2828.821613398964</v>
      </c>
    </row>
    <row r="25" spans="1:10" x14ac:dyDescent="0.25">
      <c r="A25" s="33">
        <v>24</v>
      </c>
      <c r="B25" s="36" t="s">
        <v>51</v>
      </c>
      <c r="C25" s="34">
        <v>15.873362049754084</v>
      </c>
      <c r="D25" s="34">
        <v>24.425468563579802</v>
      </c>
      <c r="E25" s="34">
        <v>29.910165604221909</v>
      </c>
      <c r="F25" s="44">
        <v>42.360906181979509</v>
      </c>
      <c r="G25" s="44">
        <v>59.66536460866449</v>
      </c>
      <c r="H25" s="44">
        <v>75.634835259009705</v>
      </c>
      <c r="I25" s="44">
        <v>95.878544314246923</v>
      </c>
      <c r="J25" s="44">
        <v>121.54049424896408</v>
      </c>
    </row>
    <row r="26" spans="1:10" x14ac:dyDescent="0.25">
      <c r="A26" s="33">
        <v>25</v>
      </c>
      <c r="B26" s="36" t="s">
        <v>42</v>
      </c>
      <c r="C26" s="34">
        <v>9.0704925998594774</v>
      </c>
      <c r="D26" s="34">
        <v>13.957410607759888</v>
      </c>
      <c r="E26" s="34">
        <v>17.091523202412517</v>
      </c>
      <c r="F26" s="44">
        <v>24.206232103988288</v>
      </c>
      <c r="G26" s="44">
        <v>34.094494062094007</v>
      </c>
      <c r="H26" s="44">
        <v>43.219905862291277</v>
      </c>
      <c r="I26" s="44">
        <v>54.787739608141123</v>
      </c>
      <c r="J26" s="44">
        <v>69.45171099940805</v>
      </c>
    </row>
    <row r="27" spans="1:10" ht="37.5" customHeight="1" x14ac:dyDescent="0.25">
      <c r="A27" s="282" t="s">
        <v>861</v>
      </c>
      <c r="B27" s="282"/>
      <c r="C27" s="281">
        <v>21287.144120874575</v>
      </c>
      <c r="D27" s="281">
        <v>32240.79491881351</v>
      </c>
      <c r="E27" s="281">
        <v>39265.667214143163</v>
      </c>
      <c r="F27" s="281">
        <v>55212.739931725118</v>
      </c>
      <c r="G27" s="281">
        <v>77376.518475283825</v>
      </c>
      <c r="H27" s="281">
        <v>97830.427070672144</v>
      </c>
      <c r="I27" s="281">
        <v>123758.83657862947</v>
      </c>
      <c r="J27" s="281">
        <v>156627.00045435494</v>
      </c>
    </row>
    <row r="28" spans="1:10" x14ac:dyDescent="0.25">
      <c r="C28" s="31"/>
      <c r="D28" s="31"/>
      <c r="E28" s="31"/>
      <c r="F28" s="31"/>
      <c r="G28" s="31"/>
      <c r="H28" s="31"/>
      <c r="I28" s="31"/>
      <c r="J28" s="31"/>
    </row>
    <row r="29" spans="1:10" x14ac:dyDescent="0.25">
      <c r="C29" s="31"/>
      <c r="D29" s="31"/>
      <c r="E29" s="31"/>
      <c r="F29" s="31"/>
      <c r="G29" s="31"/>
      <c r="H29" s="31"/>
      <c r="I29" s="31"/>
      <c r="J29" s="31"/>
    </row>
    <row r="30" spans="1:10" x14ac:dyDescent="0.25">
      <c r="C30" s="31"/>
      <c r="D30" s="31"/>
      <c r="E30" s="31"/>
      <c r="F30" s="31"/>
      <c r="G30" s="31"/>
      <c r="H30" s="31"/>
      <c r="I30" s="31"/>
      <c r="J30" s="31"/>
    </row>
    <row r="31" spans="1:10" x14ac:dyDescent="0.25">
      <c r="C31" s="31"/>
      <c r="D31" s="31"/>
      <c r="E31" s="31"/>
      <c r="F31" s="31"/>
      <c r="G31" s="31"/>
      <c r="H31" s="31"/>
      <c r="I31" s="31"/>
      <c r="J31" s="31"/>
    </row>
    <row r="32" spans="1:10" x14ac:dyDescent="0.25">
      <c r="C32" s="31"/>
      <c r="D32" s="31"/>
      <c r="E32" s="31"/>
      <c r="F32" s="31"/>
      <c r="G32" s="31"/>
      <c r="H32" s="31"/>
      <c r="I32" s="31"/>
      <c r="J32" s="31"/>
    </row>
    <row r="33" spans="3:10" x14ac:dyDescent="0.25">
      <c r="C33" s="31"/>
      <c r="D33" s="31"/>
      <c r="E33" s="31"/>
      <c r="F33" s="31"/>
      <c r="G33" s="31"/>
      <c r="H33" s="31"/>
      <c r="I33" s="31"/>
      <c r="J33" s="31"/>
    </row>
    <row r="34" spans="3:10" x14ac:dyDescent="0.25">
      <c r="C34" s="31"/>
      <c r="D34" s="31"/>
      <c r="E34" s="31"/>
      <c r="F34" s="31"/>
      <c r="G34" s="31"/>
      <c r="H34" s="31"/>
      <c r="I34" s="31"/>
      <c r="J34" s="31"/>
    </row>
    <row r="35" spans="3:10" x14ac:dyDescent="0.25">
      <c r="C35" s="31"/>
      <c r="D35" s="31"/>
      <c r="E35" s="31"/>
      <c r="F35" s="31"/>
      <c r="G35" s="31"/>
      <c r="H35" s="31"/>
      <c r="I35" s="31"/>
      <c r="J35" s="31"/>
    </row>
    <row r="36" spans="3:10" x14ac:dyDescent="0.25">
      <c r="C36" s="31"/>
      <c r="D36" s="31"/>
      <c r="E36" s="31"/>
      <c r="F36" s="31"/>
      <c r="G36" s="31"/>
      <c r="H36" s="31"/>
      <c r="I36" s="31"/>
      <c r="J36" s="31"/>
    </row>
    <row r="37" spans="3:10" x14ac:dyDescent="0.25">
      <c r="C37" s="31"/>
      <c r="D37" s="31"/>
      <c r="E37" s="31"/>
      <c r="F37" s="31"/>
      <c r="G37" s="31"/>
      <c r="H37" s="31"/>
      <c r="I37" s="31"/>
      <c r="J37" s="31"/>
    </row>
    <row r="38" spans="3:10" x14ac:dyDescent="0.25">
      <c r="C38" s="31"/>
      <c r="D38" s="31"/>
      <c r="E38" s="31"/>
      <c r="F38" s="31"/>
      <c r="G38" s="31"/>
      <c r="H38" s="31"/>
      <c r="I38" s="31"/>
      <c r="J38" s="31"/>
    </row>
    <row r="39" spans="3:10" x14ac:dyDescent="0.25">
      <c r="C39" s="31"/>
      <c r="D39" s="31"/>
      <c r="E39" s="31"/>
      <c r="F39" s="31"/>
      <c r="G39" s="31"/>
      <c r="H39" s="31"/>
      <c r="I39" s="31"/>
      <c r="J39" s="31"/>
    </row>
    <row r="40" spans="3:10" x14ac:dyDescent="0.25">
      <c r="C40" s="31"/>
      <c r="D40" s="31"/>
      <c r="E40" s="31"/>
      <c r="F40" s="31"/>
      <c r="G40" s="31"/>
      <c r="H40" s="31"/>
      <c r="I40" s="31"/>
      <c r="J40" s="31"/>
    </row>
    <row r="41" spans="3:10" x14ac:dyDescent="0.25">
      <c r="C41" s="31"/>
      <c r="D41" s="31"/>
      <c r="E41" s="31"/>
      <c r="F41" s="31"/>
      <c r="G41" s="31"/>
      <c r="H41" s="31"/>
      <c r="I41" s="31"/>
      <c r="J41" s="31"/>
    </row>
    <row r="42" spans="3:10" x14ac:dyDescent="0.25">
      <c r="C42" s="31"/>
      <c r="D42" s="31"/>
      <c r="E42" s="31"/>
      <c r="F42" s="31"/>
      <c r="G42" s="31"/>
      <c r="H42" s="31"/>
      <c r="I42" s="31"/>
      <c r="J42" s="31"/>
    </row>
    <row r="43" spans="3:10" x14ac:dyDescent="0.25">
      <c r="C43" s="31"/>
      <c r="D43" s="31"/>
      <c r="E43" s="31"/>
      <c r="F43" s="31"/>
      <c r="G43" s="31"/>
      <c r="H43" s="31"/>
      <c r="I43" s="31"/>
      <c r="J43" s="31"/>
    </row>
    <row r="44" spans="3:10" x14ac:dyDescent="0.25">
      <c r="C44" s="31"/>
      <c r="D44" s="31"/>
      <c r="E44" s="31"/>
      <c r="F44" s="31"/>
      <c r="G44" s="31"/>
      <c r="H44" s="31"/>
      <c r="I44" s="31"/>
      <c r="J44" s="31"/>
    </row>
    <row r="45" spans="3:10" x14ac:dyDescent="0.25">
      <c r="C45" s="31"/>
      <c r="D45" s="31"/>
      <c r="E45" s="31"/>
      <c r="F45" s="31"/>
      <c r="G45" s="31"/>
      <c r="H45" s="31"/>
      <c r="I45" s="31"/>
      <c r="J45" s="31"/>
    </row>
    <row r="46" spans="3:10" x14ac:dyDescent="0.25">
      <c r="C46" s="31"/>
      <c r="D46" s="31"/>
      <c r="E46" s="31"/>
      <c r="F46" s="31"/>
      <c r="G46" s="31"/>
      <c r="H46" s="31"/>
      <c r="I46" s="31"/>
      <c r="J46" s="31"/>
    </row>
    <row r="47" spans="3:10" x14ac:dyDescent="0.25">
      <c r="C47" s="31"/>
      <c r="D47" s="31"/>
      <c r="E47" s="31"/>
      <c r="F47" s="31"/>
      <c r="G47" s="31"/>
      <c r="H47" s="31"/>
      <c r="I47" s="31"/>
      <c r="J47" s="31"/>
    </row>
    <row r="48" spans="3:10" x14ac:dyDescent="0.25">
      <c r="C48" s="31"/>
      <c r="D48" s="31"/>
      <c r="E48" s="31"/>
      <c r="F48" s="31"/>
      <c r="G48" s="31"/>
      <c r="H48" s="31"/>
      <c r="I48" s="31"/>
      <c r="J48" s="31"/>
    </row>
    <row r="49" spans="3:10" x14ac:dyDescent="0.25">
      <c r="C49" s="31"/>
      <c r="D49" s="31"/>
      <c r="E49" s="31"/>
      <c r="F49" s="31"/>
      <c r="G49" s="31"/>
      <c r="H49" s="31"/>
      <c r="I49" s="31"/>
      <c r="J49" s="31"/>
    </row>
    <row r="50" spans="3:10" x14ac:dyDescent="0.25">
      <c r="C50" s="31"/>
      <c r="D50" s="31"/>
      <c r="E50" s="31"/>
      <c r="F50" s="31"/>
      <c r="G50" s="31"/>
      <c r="H50" s="31"/>
      <c r="I50" s="31"/>
      <c r="J50" s="31"/>
    </row>
  </sheetData>
  <mergeCells count="1">
    <mergeCell ref="A27:B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Pop_Wilayat</vt:lpstr>
      <vt:lpstr>Ibri Pop Settlements</vt:lpstr>
      <vt:lpstr>Ibri Tankers</vt:lpstr>
      <vt:lpstr>Water Demand Criteria</vt:lpstr>
      <vt:lpstr>Wastewater Criteria</vt:lpstr>
      <vt:lpstr>Project Pop Settlements</vt:lpstr>
      <vt:lpstr>Project W Pop Connected</vt:lpstr>
      <vt:lpstr>Project Tankers</vt:lpstr>
      <vt:lpstr>Project WW Generation</vt:lpstr>
      <vt:lpstr>Project W Pop Connected (2)</vt:lpstr>
      <vt:lpstr>Project WW Generation (2)</vt:lpstr>
      <vt:lpstr>demand_comb</vt:lpstr>
      <vt:lpstr>headroom_percentile</vt:lpstr>
      <vt:lpstr>use_outage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Mehrdad Hadi Zadeh</dc:creator>
  <cp:lastModifiedBy>Hossein Forouzan</cp:lastModifiedBy>
  <dcterms:created xsi:type="dcterms:W3CDTF">2026-08-02T06:17:43Z</dcterms:created>
  <dcterms:modified xsi:type="dcterms:W3CDTF">2026-08-03T12:36:12Z</dcterms:modified>
</cp:coreProperties>
</file>