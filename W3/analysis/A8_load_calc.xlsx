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621 Ibri Sewer STP\Hydraulic\Claude\W3\analysis\"/>
    </mc:Choice>
  </mc:AlternateContent>
  <xr:revisionPtr revIDLastSave="0" documentId="13_ncr:1_{E42413D4-7C93-4B2D-BD06-68FAF00F6D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 ME" sheetId="1" r:id="rId1"/>
    <sheet name="Inputs" sheetId="2" r:id="rId2"/>
    <sheet name="Population" sheetId="3" r:id="rId3"/>
    <sheet name="Load" sheetId="4" r:id="rId4"/>
    <sheet name="By Town 2055" sheetId="5" r:id="rId5"/>
    <sheet name="Saturation" sheetId="6" r:id="rId6"/>
  </sheets>
  <definedNames>
    <definedName name="DWELL_PLOT">Inputs!$C$16</definedName>
    <definedName name="GOV_RATIO">Inputs!$C$8</definedName>
    <definedName name="INFIL_KM">Inputs!$C$11</definedName>
    <definedName name="LPCD">Inputs!$C$6</definedName>
    <definedName name="ND_RATIO">Inputs!$C$7</definedName>
    <definedName name="NET_KM">Inputs!$C$14</definedName>
    <definedName name="OR_RATE">Inputs!$C$15</definedName>
    <definedName name="PF_CAP">Inputs!$C$12</definedName>
    <definedName name="POP_PLOTS">Inputs!$C$17</definedName>
    <definedName name="RET_DOM">Inputs!$C$9</definedName>
    <definedName name="RET_NDG">Inputs!$C$10</definedName>
    <definedName name="STP_MARGIN">Inputs!$C$13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6" l="1"/>
  <c r="E11" i="6" s="1"/>
  <c r="F11" i="6" s="1"/>
  <c r="C10" i="6"/>
  <c r="E10" i="6" s="1"/>
  <c r="F10" i="6" s="1"/>
  <c r="C9" i="6"/>
  <c r="E9" i="6" s="1"/>
  <c r="F9" i="6" s="1"/>
  <c r="E32" i="5"/>
  <c r="F31" i="5"/>
  <c r="C31" i="5"/>
  <c r="D31" i="5" s="1"/>
  <c r="F30" i="5"/>
  <c r="C30" i="5"/>
  <c r="D30" i="5" s="1"/>
  <c r="F29" i="5"/>
  <c r="C29" i="5"/>
  <c r="D29" i="5" s="1"/>
  <c r="F28" i="5"/>
  <c r="C28" i="5"/>
  <c r="D28" i="5" s="1"/>
  <c r="F27" i="5"/>
  <c r="C27" i="5"/>
  <c r="D27" i="5" s="1"/>
  <c r="F26" i="5"/>
  <c r="C26" i="5"/>
  <c r="D26" i="5" s="1"/>
  <c r="F25" i="5"/>
  <c r="C25" i="5"/>
  <c r="D25" i="5" s="1"/>
  <c r="F24" i="5"/>
  <c r="C24" i="5"/>
  <c r="D24" i="5" s="1"/>
  <c r="F23" i="5"/>
  <c r="C23" i="5"/>
  <c r="D23" i="5" s="1"/>
  <c r="F22" i="5"/>
  <c r="C22" i="5"/>
  <c r="D22" i="5" s="1"/>
  <c r="F21" i="5"/>
  <c r="C21" i="5"/>
  <c r="D21" i="5" s="1"/>
  <c r="F20" i="5"/>
  <c r="D20" i="5"/>
  <c r="C20" i="5"/>
  <c r="F19" i="5"/>
  <c r="C19" i="5"/>
  <c r="D19" i="5" s="1"/>
  <c r="F18" i="5"/>
  <c r="C18" i="5"/>
  <c r="D18" i="5" s="1"/>
  <c r="F17" i="5"/>
  <c r="C17" i="5"/>
  <c r="D17" i="5" s="1"/>
  <c r="F16" i="5"/>
  <c r="C16" i="5"/>
  <c r="D16" i="5" s="1"/>
  <c r="F15" i="5"/>
  <c r="C15" i="5"/>
  <c r="D15" i="5" s="1"/>
  <c r="F14" i="5"/>
  <c r="C14" i="5"/>
  <c r="D14" i="5" s="1"/>
  <c r="F13" i="5"/>
  <c r="D13" i="5"/>
  <c r="C13" i="5"/>
  <c r="F12" i="5"/>
  <c r="C12" i="5"/>
  <c r="D12" i="5" s="1"/>
  <c r="F11" i="5"/>
  <c r="C11" i="5"/>
  <c r="D11" i="5" s="1"/>
  <c r="F10" i="5"/>
  <c r="C10" i="5"/>
  <c r="D10" i="5" s="1"/>
  <c r="F9" i="5"/>
  <c r="C9" i="5"/>
  <c r="D9" i="5" s="1"/>
  <c r="F8" i="5"/>
  <c r="C8" i="5"/>
  <c r="D8" i="5" s="1"/>
  <c r="F7" i="5"/>
  <c r="D7" i="5"/>
  <c r="C7" i="5"/>
  <c r="J12" i="4"/>
  <c r="J11" i="4"/>
  <c r="J10" i="4"/>
  <c r="J9" i="4"/>
  <c r="J8" i="4"/>
  <c r="J7" i="4"/>
  <c r="J6" i="4"/>
  <c r="J32" i="3"/>
  <c r="C12" i="4" s="1"/>
  <c r="D12" i="4" s="1"/>
  <c r="I32" i="3"/>
  <c r="C11" i="4" s="1"/>
  <c r="D11" i="4" s="1"/>
  <c r="H32" i="3"/>
  <c r="C10" i="4" s="1"/>
  <c r="D10" i="4" s="1"/>
  <c r="G32" i="3"/>
  <c r="C9" i="4" s="1"/>
  <c r="D9" i="4" s="1"/>
  <c r="F32" i="3"/>
  <c r="C8" i="4" s="1"/>
  <c r="D8" i="4" s="1"/>
  <c r="E32" i="3"/>
  <c r="C7" i="4" s="1"/>
  <c r="D7" i="4" s="1"/>
  <c r="D32" i="3"/>
  <c r="C6" i="4" s="1"/>
  <c r="D6" i="4" s="1"/>
  <c r="C32" i="5" l="1"/>
  <c r="D10" i="6"/>
  <c r="G10" i="5"/>
  <c r="G26" i="5"/>
  <c r="H26" i="5" s="1"/>
  <c r="G12" i="5"/>
  <c r="G13" i="5"/>
  <c r="G8" i="5"/>
  <c r="G9" i="5"/>
  <c r="H9" i="5" s="1"/>
  <c r="H12" i="4"/>
  <c r="E12" i="4"/>
  <c r="F12" i="4"/>
  <c r="G16" i="5"/>
  <c r="H16" i="5" s="1"/>
  <c r="G30" i="5"/>
  <c r="H30" i="5" s="1"/>
  <c r="G18" i="5"/>
  <c r="H18" i="5" s="1"/>
  <c r="H8" i="5"/>
  <c r="G17" i="5"/>
  <c r="H17" i="5" s="1"/>
  <c r="G7" i="5"/>
  <c r="D32" i="5"/>
  <c r="G31" i="5"/>
  <c r="H31" i="5" s="1"/>
  <c r="G21" i="5"/>
  <c r="H21" i="5" s="1"/>
  <c r="G11" i="5"/>
  <c r="H11" i="5" s="1"/>
  <c r="H27" i="5"/>
  <c r="H8" i="4"/>
  <c r="E8" i="4"/>
  <c r="F8" i="4"/>
  <c r="G28" i="5"/>
  <c r="H28" i="5" s="1"/>
  <c r="G15" i="5"/>
  <c r="H15" i="5" s="1"/>
  <c r="G29" i="5"/>
  <c r="H29" i="5" s="1"/>
  <c r="G20" i="5"/>
  <c r="H20" i="5" s="1"/>
  <c r="H10" i="5"/>
  <c r="G24" i="5"/>
  <c r="H24" i="5" s="1"/>
  <c r="G27" i="5"/>
  <c r="H10" i="4"/>
  <c r="F10" i="4"/>
  <c r="E10" i="4"/>
  <c r="I10" i="4" s="1"/>
  <c r="H7" i="4"/>
  <c r="E7" i="4"/>
  <c r="F7" i="4"/>
  <c r="G19" i="5"/>
  <c r="H19" i="5" s="1"/>
  <c r="G22" i="5"/>
  <c r="H22" i="5" s="1"/>
  <c r="G23" i="5"/>
  <c r="H23" i="5" s="1"/>
  <c r="H12" i="5"/>
  <c r="H13" i="5"/>
  <c r="G14" i="5"/>
  <c r="H14" i="5" s="1"/>
  <c r="H9" i="4"/>
  <c r="E9" i="4"/>
  <c r="F9" i="4"/>
  <c r="G9" i="4" s="1"/>
  <c r="F11" i="4"/>
  <c r="H11" i="4"/>
  <c r="E11" i="4"/>
  <c r="E6" i="4"/>
  <c r="F6" i="4"/>
  <c r="H6" i="4"/>
  <c r="G25" i="5"/>
  <c r="H25" i="5" s="1"/>
  <c r="D9" i="6"/>
  <c r="D11" i="6"/>
  <c r="G11" i="4" l="1"/>
  <c r="I7" i="4"/>
  <c r="I28" i="5"/>
  <c r="J28" i="5" s="1"/>
  <c r="I31" i="5"/>
  <c r="J31" i="5" s="1"/>
  <c r="I18" i="5"/>
  <c r="J18" i="5" s="1"/>
  <c r="I11" i="5"/>
  <c r="J11" i="5" s="1"/>
  <c r="I14" i="5"/>
  <c r="J14" i="5" s="1"/>
  <c r="I19" i="5"/>
  <c r="J19" i="5" s="1"/>
  <c r="I24" i="5"/>
  <c r="J24" i="5" s="1"/>
  <c r="I25" i="5"/>
  <c r="J25" i="5" s="1"/>
  <c r="I21" i="5"/>
  <c r="J21" i="5" s="1"/>
  <c r="I17" i="5"/>
  <c r="J17" i="5" s="1"/>
  <c r="I23" i="5"/>
  <c r="J23" i="5" s="1"/>
  <c r="I22" i="5"/>
  <c r="J22" i="5" s="1"/>
  <c r="I9" i="5"/>
  <c r="J9" i="5" s="1"/>
  <c r="I9" i="4"/>
  <c r="K9" i="4" s="1"/>
  <c r="I15" i="5"/>
  <c r="J15" i="5" s="1"/>
  <c r="K7" i="4"/>
  <c r="I12" i="5"/>
  <c r="J12" i="5" s="1"/>
  <c r="I27" i="5"/>
  <c r="J27" i="5" s="1"/>
  <c r="I8" i="4"/>
  <c r="K8" i="4" s="1"/>
  <c r="I13" i="5"/>
  <c r="J13" i="5" s="1"/>
  <c r="G7" i="4"/>
  <c r="G32" i="5"/>
  <c r="I30" i="5"/>
  <c r="J30" i="5" s="1"/>
  <c r="I10" i="5"/>
  <c r="J10" i="5" s="1"/>
  <c r="I29" i="5"/>
  <c r="J29" i="5" s="1"/>
  <c r="I16" i="5"/>
  <c r="J16" i="5" s="1"/>
  <c r="I12" i="4"/>
  <c r="K12" i="4" s="1"/>
  <c r="I6" i="4"/>
  <c r="K6" i="4" s="1"/>
  <c r="G6" i="4"/>
  <c r="I11" i="4"/>
  <c r="K11" i="4" s="1"/>
  <c r="G8" i="4"/>
  <c r="I8" i="5"/>
  <c r="J8" i="5" s="1"/>
  <c r="G10" i="4"/>
  <c r="K10" i="4"/>
  <c r="G12" i="4"/>
  <c r="H7" i="5"/>
  <c r="I20" i="5"/>
  <c r="J20" i="5" s="1"/>
  <c r="I26" i="5"/>
  <c r="J26" i="5" s="1"/>
  <c r="O12" i="4" l="1"/>
  <c r="L12" i="4"/>
  <c r="M12" i="4" s="1"/>
  <c r="N12" i="4" s="1"/>
  <c r="O6" i="4"/>
  <c r="L6" i="4"/>
  <c r="M6" i="4" s="1"/>
  <c r="N6" i="4" s="1"/>
  <c r="O9" i="4"/>
  <c r="L9" i="4"/>
  <c r="M9" i="4" s="1"/>
  <c r="N9" i="4" s="1"/>
  <c r="I7" i="5"/>
  <c r="H32" i="5"/>
  <c r="J7" i="5"/>
  <c r="J32" i="5" s="1"/>
  <c r="L7" i="4"/>
  <c r="M7" i="4" s="1"/>
  <c r="N7" i="4" s="1"/>
  <c r="O7" i="4"/>
  <c r="L11" i="4"/>
  <c r="M11" i="4" s="1"/>
  <c r="N11" i="4" s="1"/>
  <c r="O11" i="4"/>
  <c r="O8" i="4"/>
  <c r="L8" i="4"/>
  <c r="M8" i="4" s="1"/>
  <c r="N8" i="4" s="1"/>
  <c r="O10" i="4"/>
  <c r="L10" i="4"/>
  <c r="M10" i="4" s="1"/>
  <c r="N10" i="4" s="1"/>
</calcChain>
</file>

<file path=xl/sharedStrings.xml><?xml version="1.0" encoding="utf-8"?>
<sst xmlns="http://schemas.openxmlformats.org/spreadsheetml/2006/main" count="210" uniqueCount="158">
  <si>
    <t>Ibri sewer — load calculation, step by step</t>
  </si>
  <si>
    <t>Every value is calculated live from the 'Inputs' sheet. Change an input (e.g. occupancy 6.0 -&gt; 4.9) and the whole workbook follows.</t>
  </si>
  <si>
    <t>Sheets:</t>
  </si>
  <si>
    <t xml:space="preserve">  Inputs        all criteria values with their PAM-GUD-201 page refs. Yellow cells are editable.</t>
  </si>
  <si>
    <t xml:space="preserve">  Population    the 25 project towns, NCSI series at the model years. Source and method explained on the sheet.</t>
  </si>
  <si>
    <t xml:space="preserve">  Load          water demand -&gt; wastewater -&gt; infiltration -&gt; Qadf -&gt; peak factor -&gt; peak flow, one row per model year.</t>
  </si>
  <si>
    <t xml:space="preserve">  By Town 2055  the same load split per town. Non-domestic + governmental volume is placed on non-residential</t>
  </si>
  <si>
    <t xml:space="preserve">                plot area, not spread per person (GUD-201 §7.3.2-7.3.3 — see A7 note).</t>
  </si>
  <si>
    <t xml:space="preserve">  Saturation    how much population the plots can hold at a given occupancy, and when the projection hits it.</t>
  </si>
  <si>
    <t>Colour code:  yellow fill = input, edit these   |   green text = pulled from another sheet   |   black = formula or data.</t>
  </si>
  <si>
    <t>Three cautions:</t>
  </si>
  <si>
    <t xml:space="preserve">  1. Occupancy 6.0 and 1 dwelling/plot are unconfirmed [GAP-5]. Measured anchor: ~7.0 persons per built plot.</t>
  </si>
  <si>
    <t xml:space="preserve">  2. The 22% / 14% ratios are the GUD-201 fallback, not the method. Table 12 (floor areas, beds, pupils) replaces them when data arrives.</t>
  </si>
  <si>
    <t xml:space="preserve">  3. The NCSI projection never levels off (691k by 2100). The 'ultimate' case must come from land capacity — see Saturation.</t>
  </si>
  <si>
    <t>Inputs — every number the calculation uses</t>
  </si>
  <si>
    <t>Yellow cells are the ones to edit. Nothing else in the workbook is typed in twice.</t>
  </si>
  <si>
    <t>Parameter</t>
  </si>
  <si>
    <t>Value</t>
  </si>
  <si>
    <t>Unit</t>
  </si>
  <si>
    <t>Source</t>
  </si>
  <si>
    <t>Status</t>
  </si>
  <si>
    <t>Domestic consumption (Adh Dhahirah)</t>
  </si>
  <si>
    <t>l/c/d</t>
  </si>
  <si>
    <t>GUD-201 Tab 11, G1-p60</t>
  </si>
  <si>
    <t>Standard</t>
  </si>
  <si>
    <t>Non-domestic ratio</t>
  </si>
  <si>
    <t>of domestic</t>
  </si>
  <si>
    <t>FALLBACK — Table 12 land-use rates replace this when floor areas / counts arrive</t>
  </si>
  <si>
    <t>Governmental ratio</t>
  </si>
  <si>
    <t>FALLBACK — same as above</t>
  </si>
  <si>
    <t>Return rate, domestic</t>
  </si>
  <si>
    <t>-</t>
  </si>
  <si>
    <t>GUD-201 Tab 19, G1-p71</t>
  </si>
  <si>
    <t>Return rate, non-dom + gov</t>
  </si>
  <si>
    <t>Infiltration, new networks</t>
  </si>
  <si>
    <t>L/d per km</t>
  </si>
  <si>
    <t>GUD-201 G1-p72</t>
  </si>
  <si>
    <t>CONFLICT — R0 workbook uses 10% of flow; needs an NWS ruling</t>
  </si>
  <si>
    <t>Peak factor cap</t>
  </si>
  <si>
    <t>STP design margin</t>
  </si>
  <si>
    <t>on Qadf</t>
  </si>
  <si>
    <t>GUD-201 G1-p73</t>
  </si>
  <si>
    <t>Sewer network length</t>
  </si>
  <si>
    <t>km</t>
  </si>
  <si>
    <t>W2 trunk total</t>
  </si>
  <si>
    <t>PROVISIONAL — laterals not included; effect is small (~140 m3/d)</t>
  </si>
  <si>
    <t>Occupancy rate</t>
  </si>
  <si>
    <t>persons/dwelling</t>
  </si>
  <si>
    <t>[GAP-5]</t>
  </si>
  <si>
    <t>UNCONFIRMED — colleague suggests 4.9; get officially from NCSI. See Saturation sheet</t>
  </si>
  <si>
    <t>Dwellings per plot</t>
  </si>
  <si>
    <t>dwellings/plot</t>
  </si>
  <si>
    <t>UNCONFIRMED — pairs with occupancy: measured product is ~7 persons per built plot</t>
  </si>
  <si>
    <t>Population-basis plots</t>
  </si>
  <si>
    <t>plots</t>
  </si>
  <si>
    <t>W3 A1 (cadastre)</t>
  </si>
  <si>
    <t>Grows if MoHUP subdivides or releases land</t>
  </si>
  <si>
    <t>Population — the 25 project towns</t>
  </si>
  <si>
    <t>Source: NCSI wilayat forecast, split to settlements by their frozen census share ('Ibri Sewer Demand R0 2026 08 03.xlsx').</t>
  </si>
  <si>
    <t>NCSI tracks 239 settlements in Ibri wilayat; the 25 inside the project boundary are these towns (63% of the wilayat).</t>
  </si>
  <si>
    <t>Every town grows at the same wilayat rate (x1.77-1.79 over 2025-2050) — there is no town-specific growth in the data.</t>
  </si>
  <si>
    <t>Town</t>
  </si>
  <si>
    <t>Code</t>
  </si>
  <si>
    <t>2025</t>
  </si>
  <si>
    <t>2030</t>
  </si>
  <si>
    <t>2040</t>
  </si>
  <si>
    <t>2050</t>
  </si>
  <si>
    <t>2055</t>
  </si>
  <si>
    <t>2060</t>
  </si>
  <si>
    <t>2100</t>
  </si>
  <si>
    <t>AD DARIZ</t>
  </si>
  <si>
    <t>100110153</t>
  </si>
  <si>
    <t>AD DIBAYSHI</t>
  </si>
  <si>
    <t>100130080</t>
  </si>
  <si>
    <t>AL AKHEEDAR</t>
  </si>
  <si>
    <t>100140030</t>
  </si>
  <si>
    <t>AL ARAQI</t>
  </si>
  <si>
    <t>100110081</t>
  </si>
  <si>
    <t>AL AYNAYN</t>
  </si>
  <si>
    <t>100110100</t>
  </si>
  <si>
    <t>AL GHUBAYRAH</t>
  </si>
  <si>
    <t>100110254</t>
  </si>
  <si>
    <t>AL JAHLI</t>
  </si>
  <si>
    <t>100140081</t>
  </si>
  <si>
    <t>AL JIBAYYAH</t>
  </si>
  <si>
    <t>100120081</t>
  </si>
  <si>
    <t>AL MAKHTIBYAH</t>
  </si>
  <si>
    <t>100130130</t>
  </si>
  <si>
    <t>AL QALI</t>
  </si>
  <si>
    <t>100140051</t>
  </si>
  <si>
    <t>AL QURAYN</t>
  </si>
  <si>
    <t>100110030</t>
  </si>
  <si>
    <t>AL WAHRAH</t>
  </si>
  <si>
    <t>100110231</t>
  </si>
  <si>
    <t>ASH SHIAB</t>
  </si>
  <si>
    <t>100110180</t>
  </si>
  <si>
    <t>AT TAYYIB</t>
  </si>
  <si>
    <t>100120060</t>
  </si>
  <si>
    <t>BAT</t>
  </si>
  <si>
    <t>100110255</t>
  </si>
  <si>
    <t>HIJAR</t>
  </si>
  <si>
    <t>100140052</t>
  </si>
  <si>
    <t>IBRI</t>
  </si>
  <si>
    <t>100100000</t>
  </si>
  <si>
    <t>MIAYRID</t>
  </si>
  <si>
    <t>100110082</t>
  </si>
  <si>
    <t>SATWAH</t>
  </si>
  <si>
    <t>100110151</t>
  </si>
  <si>
    <t>SAYH AL MASARRAT</t>
  </si>
  <si>
    <t>100140200</t>
  </si>
  <si>
    <t>SHALASHIL</t>
  </si>
  <si>
    <t>100120082</t>
  </si>
  <si>
    <t>SUWAYDA AL MA</t>
  </si>
  <si>
    <t>100120151</t>
  </si>
  <si>
    <t>TANAM</t>
  </si>
  <si>
    <t>100130100</t>
  </si>
  <si>
    <t>USAYBUQ</t>
  </si>
  <si>
    <t>100140082</t>
  </si>
  <si>
    <t>WADI AL MANKAS</t>
  </si>
  <si>
    <t>100110070</t>
  </si>
  <si>
    <t>TOTAL</t>
  </si>
  <si>
    <t>Load — from population to peak flow, one row per model year</t>
  </si>
  <si>
    <t>Chain per GUD-201 §7 (G1-p58..73): domestic water -&gt; non-dom + gov -&gt; return rates -&gt; infiltration -&gt; Qadf -&gt; Peltier peak factor -&gt; peak flow -&gt; +10% STP margin.</t>
  </si>
  <si>
    <t>Year</t>
  </si>
  <si>
    <t>Population</t>
  </si>
  <si>
    <t>Domestic water m³/d</t>
  </si>
  <si>
    <t>Non-domestic m³/d</t>
  </si>
  <si>
    <t>Governmental m³/d</t>
  </si>
  <si>
    <t>Total water m³/d</t>
  </si>
  <si>
    <t>WW domestic m³/d</t>
  </si>
  <si>
    <t>WW non-dom+gov m³/d</t>
  </si>
  <si>
    <t>Infiltration m³/d</t>
  </si>
  <si>
    <t>Qadf m³/d</t>
  </si>
  <si>
    <t>Qm L/s</t>
  </si>
  <si>
    <t>Peak factor</t>
  </si>
  <si>
    <t>Peak flow m³/d</t>
  </si>
  <si>
    <t>STP design m³/d (+margin)</t>
  </si>
  <si>
    <t>Note: Qadf here excludes tanker deliveries (~17% of STP inflow, G1-p73) — they go to the STP directly, not through the network.</t>
  </si>
  <si>
    <t>Load by town at 2055 — the pivotal model year</t>
  </si>
  <si>
    <t>Domestic load follows each town's population. The non-domestic + governmental volume is NOT spread per person:</t>
  </si>
  <si>
    <t>it is placed on each town's non-residential plot area (commercial, governmental, mosque, industrial — from MoH_Plots).</t>
  </si>
  <si>
    <t>That is what GUD-201 §7.3.2-7.3.3 intend, and it moves load between towns without changing the total (see A7 note).</t>
  </si>
  <si>
    <t>Population 2055</t>
  </si>
  <si>
    <t>Non-res plot area m²</t>
  </si>
  <si>
    <t>Share of non-res area</t>
  </si>
  <si>
    <t>ND+Gov allocated m³/d</t>
  </si>
  <si>
    <t>Qadf m³/d (excl. infil.)</t>
  </si>
  <si>
    <t>Non-res area source: MoH_Plots class v4 within town boundaries (W3 A7). AT TAYYIB's 218 ha is mostly the industrial estate — Table 12 data will re-price it properly. Peak factors apply at each town's own outlet.</t>
  </si>
  <si>
    <t>Saturation — how many people the plots can hold, and when we get there</t>
  </si>
  <si>
    <t>Ceiling = population-basis plots x dwellings per plot x occupancy rate.</t>
  </si>
  <si>
    <t>The projection (right-hand table) keeps growing at ~2.3%/yr and never levels off — so the ceiling, not the</t>
  </si>
  <si>
    <t>projection, defines 'ultimate'. Measured today: ~7.0 persons per built plot (NCSI 2025 pop ÷ built plots).</t>
  </si>
  <si>
    <t>If occupancy is really 4.9, dwellings per plot must be ~1.2-1.4 for the sums to match the census.</t>
  </si>
  <si>
    <t>Ceiling population</t>
  </si>
  <si>
    <t>Year the projection reaches it</t>
  </si>
  <si>
    <t>Ultimate Qadf m³/d</t>
  </si>
  <si>
    <t>Projection total</t>
  </si>
  <si>
    <t>W2 used OR 6.0 -&gt; ultimate Qadf ~49,700 m³/d. At 4.9 the land fills by ~2054 — inside the design horizon, which turns 2055 into a saturation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</si>
</sst>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i/>
      <sz val="9"/>
      <color rgb="FF666666"/>
      <name val="Arial"/>
    </font>
    <font>
      <b/>
      <sz val="10"/>
      <name val="Arial"/>
    </font>
    <font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/>
    <xf numFmtId="9" fontId="5" fillId="3" borderId="1" xfId="0" applyNumberFormat="1" applyFont="1" applyFill="1" applyBorder="1"/>
    <xf numFmtId="2" fontId="5" fillId="3" borderId="1" xfId="0" applyNumberFormat="1" applyFont="1" applyFill="1" applyBorder="1"/>
    <xf numFmtId="164" fontId="5" fillId="3" borderId="1" xfId="0" applyNumberFormat="1" applyFont="1" applyFill="1" applyBorder="1"/>
    <xf numFmtId="3" fontId="2" fillId="0" borderId="1" xfId="0" applyNumberFormat="1" applyFont="1" applyBorder="1"/>
    <xf numFmtId="0" fontId="4" fillId="0" borderId="0" xfId="0" applyFont="1"/>
    <xf numFmtId="3" fontId="4" fillId="4" borderId="1" xfId="0" applyNumberFormat="1" applyFont="1" applyFill="1" applyBorder="1"/>
    <xf numFmtId="3" fontId="6" fillId="0" borderId="1" xfId="0" applyNumberFormat="1" applyFont="1" applyBorder="1"/>
    <xf numFmtId="3" fontId="4" fillId="0" borderId="1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166" fontId="5" fillId="3" borderId="1" xfId="0" applyNumberFormat="1" applyFont="1" applyFill="1" applyBorder="1"/>
    <xf numFmtId="1" fontId="2" fillId="0" borderId="1" xfId="0" applyNumberFormat="1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tabSelected="1" workbookViewId="0"/>
  </sheetViews>
  <sheetFormatPr defaultRowHeight="15" x14ac:dyDescent="0.25"/>
  <cols>
    <col min="1" max="1" width="2" customWidth="1"/>
    <col min="2" max="2" width="130" customWidth="1"/>
  </cols>
  <sheetData>
    <row r="2" spans="2:2" ht="16.5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2"/>
    </row>
    <row r="6" spans="2:2" x14ac:dyDescent="0.25">
      <c r="B6" s="2" t="s">
        <v>2</v>
      </c>
    </row>
    <row r="7" spans="2:2" x14ac:dyDescent="0.25">
      <c r="B7" s="2" t="s">
        <v>3</v>
      </c>
    </row>
    <row r="8" spans="2:2" x14ac:dyDescent="0.25">
      <c r="B8" s="2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/>
    </row>
    <row r="14" spans="2:2" x14ac:dyDescent="0.25">
      <c r="B14" s="2" t="s">
        <v>9</v>
      </c>
    </row>
    <row r="15" spans="2:2" x14ac:dyDescent="0.25">
      <c r="B15" s="2"/>
    </row>
    <row r="16" spans="2:2" x14ac:dyDescent="0.25">
      <c r="B16" s="2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34" customWidth="1"/>
    <col min="3" max="3" width="10" customWidth="1"/>
    <col min="4" max="4" width="15" customWidth="1"/>
    <col min="5" max="5" width="24" customWidth="1"/>
    <col min="6" max="6" width="72" customWidth="1"/>
  </cols>
  <sheetData>
    <row r="2" spans="2:6" ht="16.5" x14ac:dyDescent="0.25">
      <c r="B2" s="1" t="s">
        <v>14</v>
      </c>
    </row>
    <row r="3" spans="2:6" x14ac:dyDescent="0.25">
      <c r="B3" s="3" t="s">
        <v>15</v>
      </c>
    </row>
    <row r="5" spans="2:6" x14ac:dyDescent="0.25"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</row>
    <row r="6" spans="2:6" x14ac:dyDescent="0.25">
      <c r="B6" s="2" t="s">
        <v>21</v>
      </c>
      <c r="C6" s="5">
        <v>164</v>
      </c>
      <c r="D6" s="2" t="s">
        <v>22</v>
      </c>
      <c r="E6" s="2" t="s">
        <v>23</v>
      </c>
      <c r="F6" s="3" t="s">
        <v>24</v>
      </c>
    </row>
    <row r="7" spans="2:6" x14ac:dyDescent="0.25">
      <c r="B7" s="2" t="s">
        <v>25</v>
      </c>
      <c r="C7" s="6">
        <v>0.22</v>
      </c>
      <c r="D7" s="2" t="s">
        <v>26</v>
      </c>
      <c r="E7" s="2" t="s">
        <v>23</v>
      </c>
      <c r="F7" s="3" t="s">
        <v>27</v>
      </c>
    </row>
    <row r="8" spans="2:6" x14ac:dyDescent="0.25">
      <c r="B8" s="2" t="s">
        <v>28</v>
      </c>
      <c r="C8" s="6">
        <v>0.14000000000000001</v>
      </c>
      <c r="D8" s="2" t="s">
        <v>26</v>
      </c>
      <c r="E8" s="2" t="s">
        <v>23</v>
      </c>
      <c r="F8" s="3" t="s">
        <v>29</v>
      </c>
    </row>
    <row r="9" spans="2:6" x14ac:dyDescent="0.25">
      <c r="B9" s="2" t="s">
        <v>30</v>
      </c>
      <c r="C9" s="7">
        <v>0.85</v>
      </c>
      <c r="D9" s="2" t="s">
        <v>31</v>
      </c>
      <c r="E9" s="2" t="s">
        <v>32</v>
      </c>
      <c r="F9" s="3" t="s">
        <v>24</v>
      </c>
    </row>
    <row r="10" spans="2:6" x14ac:dyDescent="0.25">
      <c r="B10" s="2" t="s">
        <v>33</v>
      </c>
      <c r="C10" s="7">
        <v>0.54</v>
      </c>
      <c r="D10" s="2" t="s">
        <v>31</v>
      </c>
      <c r="E10" s="2" t="s">
        <v>32</v>
      </c>
      <c r="F10" s="3" t="s">
        <v>24</v>
      </c>
    </row>
    <row r="11" spans="2:6" x14ac:dyDescent="0.25">
      <c r="B11" s="2" t="s">
        <v>34</v>
      </c>
      <c r="C11" s="5">
        <v>720</v>
      </c>
      <c r="D11" s="2" t="s">
        <v>35</v>
      </c>
      <c r="E11" s="2" t="s">
        <v>36</v>
      </c>
      <c r="F11" s="3" t="s">
        <v>37</v>
      </c>
    </row>
    <row r="12" spans="2:6" x14ac:dyDescent="0.25">
      <c r="B12" s="2" t="s">
        <v>38</v>
      </c>
      <c r="C12" s="8">
        <v>5</v>
      </c>
      <c r="D12" s="2" t="s">
        <v>31</v>
      </c>
      <c r="E12" s="2" t="s">
        <v>36</v>
      </c>
      <c r="F12" s="3" t="s">
        <v>24</v>
      </c>
    </row>
    <row r="13" spans="2:6" x14ac:dyDescent="0.25">
      <c r="B13" s="2" t="s">
        <v>39</v>
      </c>
      <c r="C13" s="6">
        <v>0.1</v>
      </c>
      <c r="D13" s="2" t="s">
        <v>40</v>
      </c>
      <c r="E13" s="2" t="s">
        <v>41</v>
      </c>
      <c r="F13" s="3" t="s">
        <v>24</v>
      </c>
    </row>
    <row r="14" spans="2:6" x14ac:dyDescent="0.25">
      <c r="B14" s="2" t="s">
        <v>42</v>
      </c>
      <c r="C14" s="5">
        <v>194</v>
      </c>
      <c r="D14" s="2" t="s">
        <v>43</v>
      </c>
      <c r="E14" s="2" t="s">
        <v>44</v>
      </c>
      <c r="F14" s="3" t="s">
        <v>45</v>
      </c>
    </row>
    <row r="15" spans="2:6" x14ac:dyDescent="0.25">
      <c r="B15" s="2" t="s">
        <v>46</v>
      </c>
      <c r="C15" s="8">
        <v>6</v>
      </c>
      <c r="D15" s="2" t="s">
        <v>47</v>
      </c>
      <c r="E15" s="2" t="s">
        <v>48</v>
      </c>
      <c r="F15" s="3" t="s">
        <v>49</v>
      </c>
    </row>
    <row r="16" spans="2:6" x14ac:dyDescent="0.25">
      <c r="B16" s="2" t="s">
        <v>50</v>
      </c>
      <c r="C16" s="8">
        <v>1</v>
      </c>
      <c r="D16" s="2" t="s">
        <v>51</v>
      </c>
      <c r="E16" s="2" t="s">
        <v>48</v>
      </c>
      <c r="F16" s="3" t="s">
        <v>52</v>
      </c>
    </row>
    <row r="17" spans="2:6" x14ac:dyDescent="0.25">
      <c r="B17" s="2" t="s">
        <v>53</v>
      </c>
      <c r="C17" s="5">
        <v>46633</v>
      </c>
      <c r="D17" s="2" t="s">
        <v>54</v>
      </c>
      <c r="E17" s="2" t="s">
        <v>55</v>
      </c>
      <c r="F17" s="3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2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20" customWidth="1"/>
    <col min="3" max="3" width="12" customWidth="1"/>
    <col min="4" max="10" width="10" customWidth="1"/>
  </cols>
  <sheetData>
    <row r="2" spans="2:10" ht="16.5" x14ac:dyDescent="0.25">
      <c r="B2" s="1" t="s">
        <v>57</v>
      </c>
    </row>
    <row r="3" spans="2:10" x14ac:dyDescent="0.25">
      <c r="B3" s="3" t="s">
        <v>58</v>
      </c>
    </row>
    <row r="4" spans="2:10" x14ac:dyDescent="0.25">
      <c r="B4" s="3" t="s">
        <v>59</v>
      </c>
    </row>
    <row r="5" spans="2:10" x14ac:dyDescent="0.25">
      <c r="B5" s="3" t="s">
        <v>60</v>
      </c>
    </row>
    <row r="6" spans="2:10" x14ac:dyDescent="0.25"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4" t="s">
        <v>68</v>
      </c>
      <c r="J6" s="4" t="s">
        <v>69</v>
      </c>
    </row>
    <row r="7" spans="2:10" x14ac:dyDescent="0.25">
      <c r="B7" s="2" t="s">
        <v>70</v>
      </c>
      <c r="C7" s="2" t="s">
        <v>71</v>
      </c>
      <c r="D7" s="9">
        <v>12134</v>
      </c>
      <c r="E7" s="9">
        <v>13791</v>
      </c>
      <c r="F7" s="9">
        <v>17670</v>
      </c>
      <c r="G7" s="9">
        <v>21638</v>
      </c>
      <c r="H7" s="9">
        <v>24206</v>
      </c>
      <c r="I7" s="9">
        <v>27240</v>
      </c>
      <c r="J7" s="9">
        <v>70340</v>
      </c>
    </row>
    <row r="8" spans="2:10" x14ac:dyDescent="0.25">
      <c r="B8" s="2" t="s">
        <v>72</v>
      </c>
      <c r="C8" s="2" t="s">
        <v>73</v>
      </c>
      <c r="D8" s="9">
        <v>2469</v>
      </c>
      <c r="E8" s="9">
        <v>2806</v>
      </c>
      <c r="F8" s="9">
        <v>3595</v>
      </c>
      <c r="G8" s="9">
        <v>4402</v>
      </c>
      <c r="H8" s="9">
        <v>4925</v>
      </c>
      <c r="I8" s="9">
        <v>5542</v>
      </c>
      <c r="J8" s="9">
        <v>14311</v>
      </c>
    </row>
    <row r="9" spans="2:10" x14ac:dyDescent="0.25">
      <c r="B9" s="2" t="s">
        <v>74</v>
      </c>
      <c r="C9" s="2" t="s">
        <v>75</v>
      </c>
      <c r="D9" s="9">
        <v>203</v>
      </c>
      <c r="E9" s="9">
        <v>230</v>
      </c>
      <c r="F9" s="9">
        <v>295</v>
      </c>
      <c r="G9" s="9">
        <v>361</v>
      </c>
      <c r="H9" s="9">
        <v>404</v>
      </c>
      <c r="I9" s="9">
        <v>455</v>
      </c>
      <c r="J9" s="9">
        <v>1174</v>
      </c>
    </row>
    <row r="10" spans="2:10" x14ac:dyDescent="0.25">
      <c r="B10" s="2" t="s">
        <v>76</v>
      </c>
      <c r="C10" s="2" t="s">
        <v>77</v>
      </c>
      <c r="D10" s="9">
        <v>10952</v>
      </c>
      <c r="E10" s="9">
        <v>12448</v>
      </c>
      <c r="F10" s="9">
        <v>15949</v>
      </c>
      <c r="G10" s="9">
        <v>19530</v>
      </c>
      <c r="H10" s="9">
        <v>21849</v>
      </c>
      <c r="I10" s="9">
        <v>24587</v>
      </c>
      <c r="J10" s="9">
        <v>63490</v>
      </c>
    </row>
    <row r="11" spans="2:10" x14ac:dyDescent="0.25">
      <c r="B11" s="2" t="s">
        <v>78</v>
      </c>
      <c r="C11" s="2" t="s">
        <v>79</v>
      </c>
      <c r="D11" s="9">
        <v>4663</v>
      </c>
      <c r="E11" s="9">
        <v>5300</v>
      </c>
      <c r="F11" s="9">
        <v>6791</v>
      </c>
      <c r="G11" s="9">
        <v>8316</v>
      </c>
      <c r="H11" s="9">
        <v>9303</v>
      </c>
      <c r="I11" s="9">
        <v>10469</v>
      </c>
      <c r="J11" s="9">
        <v>27033</v>
      </c>
    </row>
    <row r="12" spans="2:10" x14ac:dyDescent="0.25">
      <c r="B12" s="2" t="s">
        <v>80</v>
      </c>
      <c r="C12" s="2" t="s">
        <v>81</v>
      </c>
      <c r="D12" s="9">
        <v>647</v>
      </c>
      <c r="E12" s="9">
        <v>735</v>
      </c>
      <c r="F12" s="9">
        <v>942</v>
      </c>
      <c r="G12" s="9">
        <v>1153</v>
      </c>
      <c r="H12" s="9">
        <v>1290</v>
      </c>
      <c r="I12" s="9">
        <v>1452</v>
      </c>
      <c r="J12" s="9">
        <v>3748</v>
      </c>
    </row>
    <row r="13" spans="2:10" x14ac:dyDescent="0.25">
      <c r="B13" s="2" t="s">
        <v>82</v>
      </c>
      <c r="C13" s="2" t="s">
        <v>83</v>
      </c>
      <c r="D13" s="9">
        <v>425</v>
      </c>
      <c r="E13" s="9">
        <v>483</v>
      </c>
      <c r="F13" s="9">
        <v>618</v>
      </c>
      <c r="G13" s="9">
        <v>757</v>
      </c>
      <c r="H13" s="9">
        <v>847</v>
      </c>
      <c r="I13" s="9">
        <v>953</v>
      </c>
      <c r="J13" s="9">
        <v>2461</v>
      </c>
    </row>
    <row r="14" spans="2:10" x14ac:dyDescent="0.25">
      <c r="B14" s="2" t="s">
        <v>84</v>
      </c>
      <c r="C14" s="2" t="s">
        <v>85</v>
      </c>
      <c r="D14" s="9">
        <v>2750</v>
      </c>
      <c r="E14" s="9">
        <v>3126</v>
      </c>
      <c r="F14" s="9">
        <v>4005</v>
      </c>
      <c r="G14" s="9">
        <v>4904</v>
      </c>
      <c r="H14" s="9">
        <v>5486</v>
      </c>
      <c r="I14" s="9">
        <v>6174</v>
      </c>
      <c r="J14" s="9">
        <v>15942</v>
      </c>
    </row>
    <row r="15" spans="2:10" x14ac:dyDescent="0.25">
      <c r="B15" s="2" t="s">
        <v>86</v>
      </c>
      <c r="C15" s="2" t="s">
        <v>87</v>
      </c>
      <c r="D15" s="9">
        <v>125</v>
      </c>
      <c r="E15" s="9">
        <v>142</v>
      </c>
      <c r="F15" s="9">
        <v>182</v>
      </c>
      <c r="G15" s="9">
        <v>223</v>
      </c>
      <c r="H15" s="9">
        <v>249</v>
      </c>
      <c r="I15" s="9">
        <v>280</v>
      </c>
      <c r="J15" s="9">
        <v>724</v>
      </c>
    </row>
    <row r="16" spans="2:10" x14ac:dyDescent="0.25">
      <c r="B16" s="2" t="s">
        <v>88</v>
      </c>
      <c r="C16" s="2" t="s">
        <v>89</v>
      </c>
      <c r="D16" s="9">
        <v>195</v>
      </c>
      <c r="E16" s="9">
        <v>222</v>
      </c>
      <c r="F16" s="9">
        <v>285</v>
      </c>
      <c r="G16" s="9">
        <v>348</v>
      </c>
      <c r="H16" s="9">
        <v>390</v>
      </c>
      <c r="I16" s="9">
        <v>439</v>
      </c>
      <c r="J16" s="9">
        <v>1133</v>
      </c>
    </row>
    <row r="17" spans="2:10" x14ac:dyDescent="0.25">
      <c r="B17" s="2" t="s">
        <v>90</v>
      </c>
      <c r="C17" s="2" t="s">
        <v>91</v>
      </c>
      <c r="D17" s="9">
        <v>562</v>
      </c>
      <c r="E17" s="9">
        <v>638</v>
      </c>
      <c r="F17" s="9">
        <v>818</v>
      </c>
      <c r="G17" s="9">
        <v>1002</v>
      </c>
      <c r="H17" s="9">
        <v>1121</v>
      </c>
      <c r="I17" s="9">
        <v>1261</v>
      </c>
      <c r="J17" s="9">
        <v>3256</v>
      </c>
    </row>
    <row r="18" spans="2:10" x14ac:dyDescent="0.25">
      <c r="B18" s="2" t="s">
        <v>92</v>
      </c>
      <c r="C18" s="2" t="s">
        <v>93</v>
      </c>
      <c r="D18" s="9">
        <v>3431</v>
      </c>
      <c r="E18" s="9">
        <v>3900</v>
      </c>
      <c r="F18" s="9">
        <v>4997</v>
      </c>
      <c r="G18" s="9">
        <v>6119</v>
      </c>
      <c r="H18" s="9">
        <v>6845</v>
      </c>
      <c r="I18" s="9">
        <v>7703</v>
      </c>
      <c r="J18" s="9">
        <v>19892</v>
      </c>
    </row>
    <row r="19" spans="2:10" x14ac:dyDescent="0.25">
      <c r="B19" s="2" t="s">
        <v>94</v>
      </c>
      <c r="C19" s="2" t="s">
        <v>95</v>
      </c>
      <c r="D19" s="9">
        <v>48</v>
      </c>
      <c r="E19" s="9">
        <v>55</v>
      </c>
      <c r="F19" s="9">
        <v>70</v>
      </c>
      <c r="G19" s="9">
        <v>86</v>
      </c>
      <c r="H19" s="9">
        <v>96</v>
      </c>
      <c r="I19" s="9">
        <v>108</v>
      </c>
      <c r="J19" s="9">
        <v>279</v>
      </c>
    </row>
    <row r="20" spans="2:10" x14ac:dyDescent="0.25">
      <c r="B20" s="2" t="s">
        <v>96</v>
      </c>
      <c r="C20" s="2" t="s">
        <v>97</v>
      </c>
      <c r="D20" s="9">
        <v>3428</v>
      </c>
      <c r="E20" s="9">
        <v>3897</v>
      </c>
      <c r="F20" s="9">
        <v>4993</v>
      </c>
      <c r="G20" s="9">
        <v>6114</v>
      </c>
      <c r="H20" s="9">
        <v>6839</v>
      </c>
      <c r="I20" s="9">
        <v>7696</v>
      </c>
      <c r="J20" s="9">
        <v>19874</v>
      </c>
    </row>
    <row r="21" spans="2:10" x14ac:dyDescent="0.25">
      <c r="B21" s="2" t="s">
        <v>98</v>
      </c>
      <c r="C21" s="2" t="s">
        <v>99</v>
      </c>
      <c r="D21" s="9">
        <v>2618</v>
      </c>
      <c r="E21" s="9">
        <v>2976</v>
      </c>
      <c r="F21" s="9">
        <v>3813</v>
      </c>
      <c r="G21" s="9">
        <v>4669</v>
      </c>
      <c r="H21" s="9">
        <v>5223</v>
      </c>
      <c r="I21" s="9">
        <v>5877</v>
      </c>
      <c r="J21" s="9">
        <v>15177</v>
      </c>
    </row>
    <row r="22" spans="2:10" x14ac:dyDescent="0.25">
      <c r="B22" s="2" t="s">
        <v>100</v>
      </c>
      <c r="C22" s="2" t="s">
        <v>101</v>
      </c>
      <c r="D22" s="9">
        <v>1058</v>
      </c>
      <c r="E22" s="9">
        <v>1202</v>
      </c>
      <c r="F22" s="9">
        <v>1541</v>
      </c>
      <c r="G22" s="9">
        <v>1886</v>
      </c>
      <c r="H22" s="9">
        <v>2110</v>
      </c>
      <c r="I22" s="9">
        <v>2375</v>
      </c>
      <c r="J22" s="9">
        <v>6132</v>
      </c>
    </row>
    <row r="23" spans="2:10" x14ac:dyDescent="0.25">
      <c r="B23" s="2" t="s">
        <v>102</v>
      </c>
      <c r="C23" s="2" t="s">
        <v>103</v>
      </c>
      <c r="D23" s="9">
        <v>68713</v>
      </c>
      <c r="E23" s="9">
        <v>78099</v>
      </c>
      <c r="F23" s="9">
        <v>100066</v>
      </c>
      <c r="G23" s="9">
        <v>122535</v>
      </c>
      <c r="H23" s="9">
        <v>137081</v>
      </c>
      <c r="I23" s="9">
        <v>154261</v>
      </c>
      <c r="J23" s="9">
        <v>398339</v>
      </c>
    </row>
    <row r="24" spans="2:10" x14ac:dyDescent="0.25">
      <c r="B24" s="2" t="s">
        <v>104</v>
      </c>
      <c r="C24" s="2" t="s">
        <v>105</v>
      </c>
      <c r="D24" s="9">
        <v>35</v>
      </c>
      <c r="E24" s="9">
        <v>40</v>
      </c>
      <c r="F24" s="9">
        <v>51</v>
      </c>
      <c r="G24" s="9">
        <v>62</v>
      </c>
      <c r="H24" s="9">
        <v>69</v>
      </c>
      <c r="I24" s="9">
        <v>78</v>
      </c>
      <c r="J24" s="9">
        <v>202</v>
      </c>
    </row>
    <row r="25" spans="2:10" x14ac:dyDescent="0.25">
      <c r="B25" s="2" t="s">
        <v>106</v>
      </c>
      <c r="C25" s="2" t="s">
        <v>107</v>
      </c>
      <c r="D25" s="9">
        <v>269</v>
      </c>
      <c r="E25" s="9">
        <v>306</v>
      </c>
      <c r="F25" s="9">
        <v>392</v>
      </c>
      <c r="G25" s="9">
        <v>480</v>
      </c>
      <c r="H25" s="9">
        <v>537</v>
      </c>
      <c r="I25" s="9">
        <v>604</v>
      </c>
      <c r="J25" s="9">
        <v>1560</v>
      </c>
    </row>
    <row r="26" spans="2:10" x14ac:dyDescent="0.25">
      <c r="B26" s="2" t="s">
        <v>108</v>
      </c>
      <c r="C26" s="2" t="s">
        <v>109</v>
      </c>
      <c r="D26" s="9">
        <v>477</v>
      </c>
      <c r="E26" s="9">
        <v>542</v>
      </c>
      <c r="F26" s="9">
        <v>694</v>
      </c>
      <c r="G26" s="9">
        <v>850</v>
      </c>
      <c r="H26" s="9">
        <v>951</v>
      </c>
      <c r="I26" s="9">
        <v>1070</v>
      </c>
      <c r="J26" s="9">
        <v>2764</v>
      </c>
    </row>
    <row r="27" spans="2:10" x14ac:dyDescent="0.25">
      <c r="B27" s="2" t="s">
        <v>110</v>
      </c>
      <c r="C27" s="2" t="s">
        <v>111</v>
      </c>
      <c r="D27" s="9">
        <v>133</v>
      </c>
      <c r="E27" s="9">
        <v>151</v>
      </c>
      <c r="F27" s="9">
        <v>194</v>
      </c>
      <c r="G27" s="9">
        <v>237</v>
      </c>
      <c r="H27" s="9">
        <v>265</v>
      </c>
      <c r="I27" s="9">
        <v>299</v>
      </c>
      <c r="J27" s="9">
        <v>771</v>
      </c>
    </row>
    <row r="28" spans="2:10" x14ac:dyDescent="0.25">
      <c r="B28" s="2" t="s">
        <v>112</v>
      </c>
      <c r="C28" s="2" t="s">
        <v>113</v>
      </c>
      <c r="D28" s="9">
        <v>1596</v>
      </c>
      <c r="E28" s="9">
        <v>1814</v>
      </c>
      <c r="F28" s="9">
        <v>2324</v>
      </c>
      <c r="G28" s="9">
        <v>2846</v>
      </c>
      <c r="H28" s="9">
        <v>3184</v>
      </c>
      <c r="I28" s="9">
        <v>3583</v>
      </c>
      <c r="J28" s="9">
        <v>9252</v>
      </c>
    </row>
    <row r="29" spans="2:10" x14ac:dyDescent="0.25">
      <c r="B29" s="2" t="s">
        <v>114</v>
      </c>
      <c r="C29" s="2" t="s">
        <v>115</v>
      </c>
      <c r="D29" s="9">
        <v>2167</v>
      </c>
      <c r="E29" s="9">
        <v>2463</v>
      </c>
      <c r="F29" s="9">
        <v>3156</v>
      </c>
      <c r="G29" s="9">
        <v>3864</v>
      </c>
      <c r="H29" s="9">
        <v>4323</v>
      </c>
      <c r="I29" s="9">
        <v>4865</v>
      </c>
      <c r="J29" s="9">
        <v>12562</v>
      </c>
    </row>
    <row r="30" spans="2:10" x14ac:dyDescent="0.25">
      <c r="B30" s="2" t="s">
        <v>116</v>
      </c>
      <c r="C30" s="2" t="s">
        <v>117</v>
      </c>
      <c r="D30" s="9">
        <v>93</v>
      </c>
      <c r="E30" s="9">
        <v>106</v>
      </c>
      <c r="F30" s="9">
        <v>136</v>
      </c>
      <c r="G30" s="9">
        <v>166</v>
      </c>
      <c r="H30" s="9">
        <v>186</v>
      </c>
      <c r="I30" s="9">
        <v>209</v>
      </c>
      <c r="J30" s="9">
        <v>540</v>
      </c>
    </row>
    <row r="31" spans="2:10" x14ac:dyDescent="0.25">
      <c r="B31" s="2" t="s">
        <v>118</v>
      </c>
      <c r="C31" s="2" t="s">
        <v>119</v>
      </c>
      <c r="D31" s="9">
        <v>53</v>
      </c>
      <c r="E31" s="9">
        <v>60</v>
      </c>
      <c r="F31" s="9">
        <v>77</v>
      </c>
      <c r="G31" s="9">
        <v>95</v>
      </c>
      <c r="H31" s="9">
        <v>106</v>
      </c>
      <c r="I31" s="9">
        <v>119</v>
      </c>
      <c r="J31" s="9">
        <v>308</v>
      </c>
    </row>
    <row r="32" spans="2:10" x14ac:dyDescent="0.25">
      <c r="B32" s="10" t="s">
        <v>120</v>
      </c>
      <c r="D32" s="11">
        <f t="shared" ref="D32:J32" si="0">SUM(D7:D31)</f>
        <v>119244</v>
      </c>
      <c r="E32" s="11">
        <f t="shared" si="0"/>
        <v>135532</v>
      </c>
      <c r="F32" s="11">
        <f t="shared" si="0"/>
        <v>173654</v>
      </c>
      <c r="G32" s="11">
        <f t="shared" si="0"/>
        <v>212643</v>
      </c>
      <c r="H32" s="11">
        <f t="shared" si="0"/>
        <v>237885</v>
      </c>
      <c r="I32" s="11">
        <f t="shared" si="0"/>
        <v>267699</v>
      </c>
      <c r="J32" s="11">
        <f t="shared" si="0"/>
        <v>691264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7" customWidth="1"/>
    <col min="3" max="15" width="13" customWidth="1"/>
  </cols>
  <sheetData>
    <row r="2" spans="2:15" ht="16.5" x14ac:dyDescent="0.25">
      <c r="B2" s="1" t="s">
        <v>121</v>
      </c>
    </row>
    <row r="3" spans="2:15" x14ac:dyDescent="0.25">
      <c r="B3" s="3" t="s">
        <v>122</v>
      </c>
    </row>
    <row r="5" spans="2:15" ht="38.25" x14ac:dyDescent="0.25">
      <c r="B5" s="4" t="s">
        <v>123</v>
      </c>
      <c r="C5" s="4" t="s">
        <v>124</v>
      </c>
      <c r="D5" s="4" t="s">
        <v>125</v>
      </c>
      <c r="E5" s="4" t="s">
        <v>126</v>
      </c>
      <c r="F5" s="4" t="s">
        <v>127</v>
      </c>
      <c r="G5" s="4" t="s">
        <v>128</v>
      </c>
      <c r="H5" s="4" t="s">
        <v>129</v>
      </c>
      <c r="I5" s="4" t="s">
        <v>130</v>
      </c>
      <c r="J5" s="4" t="s">
        <v>131</v>
      </c>
      <c r="K5" s="4" t="s">
        <v>132</v>
      </c>
      <c r="L5" s="4" t="s">
        <v>133</v>
      </c>
      <c r="M5" s="4" t="s">
        <v>134</v>
      </c>
      <c r="N5" s="4" t="s">
        <v>135</v>
      </c>
      <c r="O5" s="4" t="s">
        <v>136</v>
      </c>
    </row>
    <row r="6" spans="2:15" x14ac:dyDescent="0.25">
      <c r="B6" s="10" t="s">
        <v>63</v>
      </c>
      <c r="C6" s="12">
        <f>Population!D$32</f>
        <v>119244</v>
      </c>
      <c r="D6" s="9">
        <f t="shared" ref="D6:D12" si="0">C6*LPCD/1000</f>
        <v>19556.016</v>
      </c>
      <c r="E6" s="9">
        <f t="shared" ref="E6:E12" si="1">D6*ND_RATIO</f>
        <v>4302.3235199999999</v>
      </c>
      <c r="F6" s="9">
        <f t="shared" ref="F6:F12" si="2">D6*GOV_RATIO</f>
        <v>2737.8422400000004</v>
      </c>
      <c r="G6" s="9">
        <f t="shared" ref="G6:G12" si="3">D6+E6+F6</f>
        <v>26596.181760000003</v>
      </c>
      <c r="H6" s="9">
        <f t="shared" ref="H6:H12" si="4">D6*RET_DOM</f>
        <v>16622.613600000001</v>
      </c>
      <c r="I6" s="9">
        <f t="shared" ref="I6:I12" si="5">(E6+F6)*RET_NDG</f>
        <v>3801.6895104</v>
      </c>
      <c r="J6" s="9">
        <f t="shared" ref="J6:J12" si="6">NET_KM*INFIL_KM/1000</f>
        <v>139.68</v>
      </c>
      <c r="K6" s="13">
        <f t="shared" ref="K6:K12" si="7">H6+I6+J6</f>
        <v>20563.9831104</v>
      </c>
      <c r="L6" s="14">
        <f t="shared" ref="L6:L12" si="8">K6/86.4</f>
        <v>238.00906377777775</v>
      </c>
      <c r="M6" s="15">
        <f t="shared" ref="M6:M12" si="9">MIN(1.5+1/SQRT(L6),PF_CAP)</f>
        <v>1.5648191381101111</v>
      </c>
      <c r="N6" s="9">
        <f t="shared" ref="N6:N12" si="10">K6*M6</f>
        <v>32178.91432692701</v>
      </c>
      <c r="O6" s="13">
        <f t="shared" ref="O6:O12" si="11">K6*(1+STP_MARGIN)</f>
        <v>22620.381421440001</v>
      </c>
    </row>
    <row r="7" spans="2:15" x14ac:dyDescent="0.25">
      <c r="B7" s="10" t="s">
        <v>64</v>
      </c>
      <c r="C7" s="12">
        <f>Population!E$32</f>
        <v>135532</v>
      </c>
      <c r="D7" s="9">
        <f t="shared" si="0"/>
        <v>22227.248</v>
      </c>
      <c r="E7" s="9">
        <f t="shared" si="1"/>
        <v>4889.9945600000001</v>
      </c>
      <c r="F7" s="9">
        <f t="shared" si="2"/>
        <v>3111.8147200000003</v>
      </c>
      <c r="G7" s="9">
        <f t="shared" si="3"/>
        <v>30229.057280000001</v>
      </c>
      <c r="H7" s="9">
        <f t="shared" si="4"/>
        <v>18893.160799999998</v>
      </c>
      <c r="I7" s="9">
        <f t="shared" si="5"/>
        <v>4320.9770112000006</v>
      </c>
      <c r="J7" s="9">
        <f t="shared" si="6"/>
        <v>139.68</v>
      </c>
      <c r="K7" s="13">
        <f t="shared" si="7"/>
        <v>23353.817811199999</v>
      </c>
      <c r="L7" s="14">
        <f t="shared" si="8"/>
        <v>270.29881725925924</v>
      </c>
      <c r="M7" s="15">
        <f t="shared" si="9"/>
        <v>1.5608244131331743</v>
      </c>
      <c r="N7" s="9">
        <f t="shared" si="10"/>
        <v>36451.20897958531</v>
      </c>
      <c r="O7" s="13">
        <f t="shared" si="11"/>
        <v>25689.199592320001</v>
      </c>
    </row>
    <row r="8" spans="2:15" x14ac:dyDescent="0.25">
      <c r="B8" s="10" t="s">
        <v>65</v>
      </c>
      <c r="C8" s="12">
        <f>Population!F$32</f>
        <v>173654</v>
      </c>
      <c r="D8" s="9">
        <f t="shared" si="0"/>
        <v>28479.256000000001</v>
      </c>
      <c r="E8" s="9">
        <f t="shared" si="1"/>
        <v>6265.4363200000007</v>
      </c>
      <c r="F8" s="9">
        <f t="shared" si="2"/>
        <v>3987.0958400000004</v>
      </c>
      <c r="G8" s="9">
        <f t="shared" si="3"/>
        <v>38731.788160000004</v>
      </c>
      <c r="H8" s="9">
        <f t="shared" si="4"/>
        <v>24207.367600000001</v>
      </c>
      <c r="I8" s="9">
        <f t="shared" si="5"/>
        <v>5536.3673664000007</v>
      </c>
      <c r="J8" s="9">
        <f t="shared" si="6"/>
        <v>139.68</v>
      </c>
      <c r="K8" s="13">
        <f t="shared" si="7"/>
        <v>29883.414966400003</v>
      </c>
      <c r="L8" s="14">
        <f t="shared" si="8"/>
        <v>345.87285840740742</v>
      </c>
      <c r="M8" s="15">
        <f t="shared" si="9"/>
        <v>1.5537702131996576</v>
      </c>
      <c r="N8" s="9">
        <f t="shared" si="10"/>
        <v>46431.960043477171</v>
      </c>
      <c r="O8" s="13">
        <f t="shared" si="11"/>
        <v>32871.756463040008</v>
      </c>
    </row>
    <row r="9" spans="2:15" x14ac:dyDescent="0.25">
      <c r="B9" s="10" t="s">
        <v>66</v>
      </c>
      <c r="C9" s="12">
        <f>Population!G$32</f>
        <v>212643</v>
      </c>
      <c r="D9" s="9">
        <f t="shared" si="0"/>
        <v>34873.451999999997</v>
      </c>
      <c r="E9" s="9">
        <f t="shared" si="1"/>
        <v>7672.1594399999994</v>
      </c>
      <c r="F9" s="9">
        <f t="shared" si="2"/>
        <v>4882.2832800000006</v>
      </c>
      <c r="G9" s="9">
        <f t="shared" si="3"/>
        <v>47427.894719999997</v>
      </c>
      <c r="H9" s="9">
        <f t="shared" si="4"/>
        <v>29642.434199999996</v>
      </c>
      <c r="I9" s="9">
        <f t="shared" si="5"/>
        <v>6779.3990688000004</v>
      </c>
      <c r="J9" s="9">
        <f t="shared" si="6"/>
        <v>139.68</v>
      </c>
      <c r="K9" s="13">
        <f t="shared" si="7"/>
        <v>36561.513268799994</v>
      </c>
      <c r="L9" s="14">
        <f t="shared" si="8"/>
        <v>423.16566283333322</v>
      </c>
      <c r="M9" s="15">
        <f t="shared" si="9"/>
        <v>1.5486121455850674</v>
      </c>
      <c r="N9" s="9">
        <f t="shared" si="10"/>
        <v>56619.603509033273</v>
      </c>
      <c r="O9" s="13">
        <f t="shared" si="11"/>
        <v>40217.664595679998</v>
      </c>
    </row>
    <row r="10" spans="2:15" x14ac:dyDescent="0.25">
      <c r="B10" s="10" t="s">
        <v>67</v>
      </c>
      <c r="C10" s="12">
        <f>Population!H$32</f>
        <v>237885</v>
      </c>
      <c r="D10" s="9">
        <f t="shared" si="0"/>
        <v>39013.14</v>
      </c>
      <c r="E10" s="9">
        <f t="shared" si="1"/>
        <v>8582.8907999999992</v>
      </c>
      <c r="F10" s="9">
        <f t="shared" si="2"/>
        <v>5461.8396000000002</v>
      </c>
      <c r="G10" s="9">
        <f t="shared" si="3"/>
        <v>53057.8704</v>
      </c>
      <c r="H10" s="9">
        <f t="shared" si="4"/>
        <v>33161.169000000002</v>
      </c>
      <c r="I10" s="9">
        <f t="shared" si="5"/>
        <v>7584.1544160000003</v>
      </c>
      <c r="J10" s="9">
        <f t="shared" si="6"/>
        <v>139.68</v>
      </c>
      <c r="K10" s="13">
        <f t="shared" si="7"/>
        <v>40885.003416</v>
      </c>
      <c r="L10" s="14">
        <f t="shared" si="8"/>
        <v>473.2060580555555</v>
      </c>
      <c r="M10" s="15">
        <f t="shared" si="9"/>
        <v>1.5459700368677367</v>
      </c>
      <c r="N10" s="9">
        <f t="shared" si="10"/>
        <v>63206.990238371058</v>
      </c>
      <c r="O10" s="13">
        <f t="shared" si="11"/>
        <v>44973.503757600003</v>
      </c>
    </row>
    <row r="11" spans="2:15" x14ac:dyDescent="0.25">
      <c r="B11" s="10" t="s">
        <v>68</v>
      </c>
      <c r="C11" s="12">
        <f>Population!I$32</f>
        <v>267699</v>
      </c>
      <c r="D11" s="9">
        <f t="shared" si="0"/>
        <v>43902.635999999999</v>
      </c>
      <c r="E11" s="9">
        <f t="shared" si="1"/>
        <v>9658.5799200000001</v>
      </c>
      <c r="F11" s="9">
        <f t="shared" si="2"/>
        <v>6146.3690400000005</v>
      </c>
      <c r="G11" s="9">
        <f t="shared" si="3"/>
        <v>59707.58496</v>
      </c>
      <c r="H11" s="9">
        <f t="shared" si="4"/>
        <v>37317.240599999997</v>
      </c>
      <c r="I11" s="9">
        <f t="shared" si="5"/>
        <v>8534.6724384000008</v>
      </c>
      <c r="J11" s="9">
        <f t="shared" si="6"/>
        <v>139.68</v>
      </c>
      <c r="K11" s="13">
        <f t="shared" si="7"/>
        <v>45991.593038400002</v>
      </c>
      <c r="L11" s="14">
        <f t="shared" si="8"/>
        <v>532.31010461111111</v>
      </c>
      <c r="M11" s="15">
        <f t="shared" si="9"/>
        <v>1.543342867963885</v>
      </c>
      <c r="N11" s="9">
        <f t="shared" si="10"/>
        <v>70980.797102112105</v>
      </c>
      <c r="O11" s="13">
        <f t="shared" si="11"/>
        <v>50590.752342240005</v>
      </c>
    </row>
    <row r="12" spans="2:15" x14ac:dyDescent="0.25">
      <c r="B12" s="10" t="s">
        <v>69</v>
      </c>
      <c r="C12" s="12">
        <f>Population!J$32</f>
        <v>691264</v>
      </c>
      <c r="D12" s="9">
        <f t="shared" si="0"/>
        <v>113367.296</v>
      </c>
      <c r="E12" s="9">
        <f t="shared" si="1"/>
        <v>24940.805120000001</v>
      </c>
      <c r="F12" s="9">
        <f t="shared" si="2"/>
        <v>15871.421440000002</v>
      </c>
      <c r="G12" s="9">
        <f t="shared" si="3"/>
        <v>154179.52256000001</v>
      </c>
      <c r="H12" s="9">
        <f t="shared" si="4"/>
        <v>96362.2016</v>
      </c>
      <c r="I12" s="9">
        <f t="shared" si="5"/>
        <v>22038.602342400001</v>
      </c>
      <c r="J12" s="9">
        <f t="shared" si="6"/>
        <v>139.68</v>
      </c>
      <c r="K12" s="13">
        <f t="shared" si="7"/>
        <v>118540.48394239999</v>
      </c>
      <c r="L12" s="14">
        <f t="shared" si="8"/>
        <v>1371.9963419259257</v>
      </c>
      <c r="M12" s="15">
        <f t="shared" si="9"/>
        <v>1.5269974983486601</v>
      </c>
      <c r="N12" s="9">
        <f t="shared" si="10"/>
        <v>181011.02243308429</v>
      </c>
      <c r="O12" s="13">
        <f t="shared" si="11"/>
        <v>130394.53233664001</v>
      </c>
    </row>
    <row r="14" spans="2:15" x14ac:dyDescent="0.25">
      <c r="B14" s="3" t="s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4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20" customWidth="1"/>
    <col min="3" max="10" width="14" customWidth="1"/>
  </cols>
  <sheetData>
    <row r="2" spans="2:10" ht="16.5" x14ac:dyDescent="0.25">
      <c r="B2" s="1" t="s">
        <v>138</v>
      </c>
    </row>
    <row r="3" spans="2:10" x14ac:dyDescent="0.25">
      <c r="B3" s="3" t="s">
        <v>139</v>
      </c>
    </row>
    <row r="4" spans="2:10" x14ac:dyDescent="0.25">
      <c r="B4" s="3" t="s">
        <v>140</v>
      </c>
    </row>
    <row r="5" spans="2:10" x14ac:dyDescent="0.25">
      <c r="B5" s="3" t="s">
        <v>141</v>
      </c>
    </row>
    <row r="6" spans="2:10" ht="38.25" x14ac:dyDescent="0.25">
      <c r="B6" s="4" t="s">
        <v>61</v>
      </c>
      <c r="C6" s="4" t="s">
        <v>142</v>
      </c>
      <c r="D6" s="4" t="s">
        <v>125</v>
      </c>
      <c r="E6" s="4" t="s">
        <v>143</v>
      </c>
      <c r="F6" s="4" t="s">
        <v>144</v>
      </c>
      <c r="G6" s="4" t="s">
        <v>145</v>
      </c>
      <c r="H6" s="4" t="s">
        <v>146</v>
      </c>
      <c r="I6" s="4" t="s">
        <v>134</v>
      </c>
      <c r="J6" s="4" t="s">
        <v>135</v>
      </c>
    </row>
    <row r="7" spans="2:10" x14ac:dyDescent="0.25">
      <c r="B7" s="2" t="s">
        <v>70</v>
      </c>
      <c r="C7" s="12">
        <f>Population!H7</f>
        <v>24206</v>
      </c>
      <c r="D7" s="9">
        <f t="shared" ref="D7:D31" si="0">C7*LPCD/1000</f>
        <v>3969.7840000000001</v>
      </c>
      <c r="E7" s="9">
        <v>927258</v>
      </c>
      <c r="F7" s="16">
        <f t="shared" ref="F7:F31" si="1">E7/SUM($E$7:$E$31)</f>
        <v>0.10108554417784449</v>
      </c>
      <c r="G7" s="9">
        <f t="shared" ref="G7:G31" si="2">SUM($D$7:$D$31)*(ND_RATIO+GOV_RATIO)*F7</f>
        <v>1419.7192153151154</v>
      </c>
      <c r="H7" s="9">
        <f t="shared" ref="H7:H31" si="3">D7*RET_DOM+G7*RET_NDG</f>
        <v>4140.9647762701625</v>
      </c>
      <c r="I7" s="15">
        <f t="shared" ref="I7:I31" si="4">MIN(1.5+1/SQRT(H7/86.4),PF_CAP)</f>
        <v>1.6444461939755952</v>
      </c>
      <c r="J7" s="9">
        <f t="shared" ref="J7:J31" si="5">H7*I7</f>
        <v>6809.5937657244713</v>
      </c>
    </row>
    <row r="8" spans="2:10" x14ac:dyDescent="0.25">
      <c r="B8" s="2" t="s">
        <v>72</v>
      </c>
      <c r="C8" s="12">
        <f>Population!H8</f>
        <v>4925</v>
      </c>
      <c r="D8" s="9">
        <f t="shared" si="0"/>
        <v>807.7</v>
      </c>
      <c r="E8" s="9">
        <v>423182</v>
      </c>
      <c r="F8" s="16">
        <f t="shared" si="1"/>
        <v>4.6133419993430722E-2</v>
      </c>
      <c r="G8" s="9">
        <f t="shared" si="2"/>
        <v>647.93144623770422</v>
      </c>
      <c r="H8" s="9">
        <f t="shared" si="3"/>
        <v>1036.4279809683603</v>
      </c>
      <c r="I8" s="15">
        <f t="shared" si="4"/>
        <v>1.788726938970399</v>
      </c>
      <c r="J8" s="9">
        <f t="shared" si="5"/>
        <v>1853.8866498608061</v>
      </c>
    </row>
    <row r="9" spans="2:10" x14ac:dyDescent="0.25">
      <c r="B9" s="2" t="s">
        <v>74</v>
      </c>
      <c r="C9" s="12">
        <f>Population!H9</f>
        <v>404</v>
      </c>
      <c r="D9" s="9">
        <f t="shared" si="0"/>
        <v>66.256</v>
      </c>
      <c r="E9" s="9">
        <v>5390</v>
      </c>
      <c r="F9" s="16">
        <f t="shared" si="1"/>
        <v>5.8759383377504615E-4</v>
      </c>
      <c r="G9" s="9">
        <f t="shared" si="2"/>
        <v>8.2525969800729371</v>
      </c>
      <c r="H9" s="9">
        <f t="shared" si="3"/>
        <v>60.774002369239383</v>
      </c>
      <c r="I9" s="15">
        <f t="shared" si="4"/>
        <v>2.6923340652326671</v>
      </c>
      <c r="J9" s="9">
        <f t="shared" si="5"/>
        <v>163.62391685923401</v>
      </c>
    </row>
    <row r="10" spans="2:10" x14ac:dyDescent="0.25">
      <c r="B10" s="2" t="s">
        <v>76</v>
      </c>
      <c r="C10" s="12">
        <f>Population!H10</f>
        <v>21849</v>
      </c>
      <c r="D10" s="9">
        <f t="shared" si="0"/>
        <v>3583.2359999999999</v>
      </c>
      <c r="E10" s="9">
        <v>570099</v>
      </c>
      <c r="F10" s="16">
        <f t="shared" si="1"/>
        <v>6.2149658078166983E-2</v>
      </c>
      <c r="G10" s="9">
        <f t="shared" si="2"/>
        <v>872.87519216003727</v>
      </c>
      <c r="H10" s="9">
        <f t="shared" si="3"/>
        <v>3517.1032037664199</v>
      </c>
      <c r="I10" s="15">
        <f t="shared" si="4"/>
        <v>1.6567343961922187</v>
      </c>
      <c r="J10" s="9">
        <f t="shared" si="5"/>
        <v>5826.9058526376775</v>
      </c>
    </row>
    <row r="11" spans="2:10" x14ac:dyDescent="0.25">
      <c r="B11" s="2" t="s">
        <v>78</v>
      </c>
      <c r="C11" s="12">
        <f>Population!H11</f>
        <v>9303</v>
      </c>
      <c r="D11" s="9">
        <f t="shared" si="0"/>
        <v>1525.692</v>
      </c>
      <c r="E11" s="9">
        <v>624323</v>
      </c>
      <c r="F11" s="16">
        <f t="shared" si="1"/>
        <v>6.8060917455276093E-2</v>
      </c>
      <c r="G11" s="9">
        <f t="shared" si="2"/>
        <v>955.89723643600666</v>
      </c>
      <c r="H11" s="9">
        <f t="shared" si="3"/>
        <v>1813.0227076754436</v>
      </c>
      <c r="I11" s="15">
        <f t="shared" si="4"/>
        <v>1.7183007608934597</v>
      </c>
      <c r="J11" s="9">
        <f t="shared" si="5"/>
        <v>3115.3182981158352</v>
      </c>
    </row>
    <row r="12" spans="2:10" x14ac:dyDescent="0.25">
      <c r="B12" s="2" t="s">
        <v>80</v>
      </c>
      <c r="C12" s="12">
        <f>Population!H12</f>
        <v>1290</v>
      </c>
      <c r="D12" s="9">
        <f t="shared" si="0"/>
        <v>211.56</v>
      </c>
      <c r="E12" s="9">
        <v>116015</v>
      </c>
      <c r="F12" s="16">
        <f t="shared" si="1"/>
        <v>1.2647439448128383E-2</v>
      </c>
      <c r="G12" s="9">
        <f t="shared" si="2"/>
        <v>177.6298772992879</v>
      </c>
      <c r="H12" s="9">
        <f t="shared" si="3"/>
        <v>275.74613374161549</v>
      </c>
      <c r="I12" s="15">
        <f t="shared" si="4"/>
        <v>2.0597603794464061</v>
      </c>
      <c r="J12" s="9">
        <f t="shared" si="5"/>
        <v>567.9709610665094</v>
      </c>
    </row>
    <row r="13" spans="2:10" x14ac:dyDescent="0.25">
      <c r="B13" s="2" t="s">
        <v>82</v>
      </c>
      <c r="C13" s="12">
        <f>Population!H13</f>
        <v>847</v>
      </c>
      <c r="D13" s="9">
        <f t="shared" si="0"/>
        <v>138.90799999999999</v>
      </c>
      <c r="E13" s="9">
        <v>172533</v>
      </c>
      <c r="F13" s="16">
        <f t="shared" si="1"/>
        <v>1.880878050514101E-2</v>
      </c>
      <c r="G13" s="9">
        <f t="shared" si="2"/>
        <v>264.16425134748124</v>
      </c>
      <c r="H13" s="9">
        <f t="shared" si="3"/>
        <v>260.72049572763984</v>
      </c>
      <c r="I13" s="15">
        <f t="shared" si="4"/>
        <v>2.0756642830979315</v>
      </c>
      <c r="J13" s="9">
        <f t="shared" si="5"/>
        <v>541.16822085344882</v>
      </c>
    </row>
    <row r="14" spans="2:10" x14ac:dyDescent="0.25">
      <c r="B14" s="2" t="s">
        <v>84</v>
      </c>
      <c r="C14" s="12">
        <f>Population!H14</f>
        <v>5486</v>
      </c>
      <c r="D14" s="9">
        <f t="shared" si="0"/>
        <v>899.70399999999995</v>
      </c>
      <c r="E14" s="9">
        <v>129450</v>
      </c>
      <c r="F14" s="16">
        <f t="shared" si="1"/>
        <v>1.4112063410422955E-2</v>
      </c>
      <c r="G14" s="9">
        <f t="shared" si="2"/>
        <v>198.20012598709494</v>
      </c>
      <c r="H14" s="9">
        <f t="shared" si="3"/>
        <v>871.77646803303128</v>
      </c>
      <c r="I14" s="15">
        <f t="shared" si="4"/>
        <v>1.8148141905026649</v>
      </c>
      <c r="J14" s="9">
        <f t="shared" si="5"/>
        <v>1582.1123051326381</v>
      </c>
    </row>
    <row r="15" spans="2:10" x14ac:dyDescent="0.25">
      <c r="B15" s="2" t="s">
        <v>86</v>
      </c>
      <c r="C15" s="12">
        <f>Population!H15</f>
        <v>249</v>
      </c>
      <c r="D15" s="9">
        <f t="shared" si="0"/>
        <v>40.835999999999999</v>
      </c>
      <c r="E15" s="9">
        <v>6060</v>
      </c>
      <c r="F15" s="16">
        <f t="shared" si="1"/>
        <v>6.606342546710167E-4</v>
      </c>
      <c r="G15" s="9">
        <f t="shared" si="2"/>
        <v>9.2784299998593696</v>
      </c>
      <c r="H15" s="9">
        <f t="shared" si="3"/>
        <v>39.720952199924056</v>
      </c>
      <c r="I15" s="15">
        <f t="shared" si="4"/>
        <v>2.974847260249009</v>
      </c>
      <c r="J15" s="9">
        <f t="shared" si="5"/>
        <v>118.16376582642593</v>
      </c>
    </row>
    <row r="16" spans="2:10" x14ac:dyDescent="0.25">
      <c r="B16" s="2" t="s">
        <v>88</v>
      </c>
      <c r="C16" s="12">
        <f>Population!H16</f>
        <v>390</v>
      </c>
      <c r="D16" s="9">
        <f t="shared" si="0"/>
        <v>63.96</v>
      </c>
      <c r="E16" s="9">
        <v>149443</v>
      </c>
      <c r="F16" s="16">
        <f t="shared" si="1"/>
        <v>1.629161137306943E-2</v>
      </c>
      <c r="G16" s="9">
        <f t="shared" si="2"/>
        <v>228.81128951633394</v>
      </c>
      <c r="H16" s="9">
        <f t="shared" si="3"/>
        <v>177.92409633882033</v>
      </c>
      <c r="I16" s="15">
        <f t="shared" si="4"/>
        <v>2.1968502928021429</v>
      </c>
      <c r="J16" s="9">
        <f t="shared" si="5"/>
        <v>390.87260313849413</v>
      </c>
    </row>
    <row r="17" spans="2:10" x14ac:dyDescent="0.25">
      <c r="B17" s="2" t="s">
        <v>90</v>
      </c>
      <c r="C17" s="12">
        <f>Population!H17</f>
        <v>1121</v>
      </c>
      <c r="D17" s="9">
        <f t="shared" si="0"/>
        <v>183.84399999999999</v>
      </c>
      <c r="E17" s="9">
        <v>67877</v>
      </c>
      <c r="F17" s="16">
        <f t="shared" si="1"/>
        <v>7.3996487300832673E-3</v>
      </c>
      <c r="G17" s="9">
        <f t="shared" si="2"/>
        <v>103.92607146872184</v>
      </c>
      <c r="H17" s="9">
        <f t="shared" si="3"/>
        <v>212.38747859310979</v>
      </c>
      <c r="I17" s="15">
        <f t="shared" si="4"/>
        <v>2.1378116045583595</v>
      </c>
      <c r="J17" s="9">
        <f t="shared" si="5"/>
        <v>454.04441639924028</v>
      </c>
    </row>
    <row r="18" spans="2:10" x14ac:dyDescent="0.25">
      <c r="B18" s="2" t="s">
        <v>92</v>
      </c>
      <c r="C18" s="12">
        <f>Population!H18</f>
        <v>6845</v>
      </c>
      <c r="D18" s="9">
        <f t="shared" si="0"/>
        <v>1122.58</v>
      </c>
      <c r="E18" s="9">
        <v>149424</v>
      </c>
      <c r="F18" s="16">
        <f t="shared" si="1"/>
        <v>1.6289540077551484E-2</v>
      </c>
      <c r="G18" s="9">
        <f t="shared" si="2"/>
        <v>228.78219872920567</v>
      </c>
      <c r="H18" s="9">
        <f t="shared" si="3"/>
        <v>1077.7353873137708</v>
      </c>
      <c r="I18" s="15">
        <f t="shared" si="4"/>
        <v>1.7831397209399276</v>
      </c>
      <c r="J18" s="9">
        <f t="shared" si="5"/>
        <v>1921.752777781762</v>
      </c>
    </row>
    <row r="19" spans="2:10" x14ac:dyDescent="0.25">
      <c r="B19" s="2" t="s">
        <v>94</v>
      </c>
      <c r="C19" s="12">
        <f>Population!H19</f>
        <v>96</v>
      </c>
      <c r="D19" s="9">
        <f t="shared" si="0"/>
        <v>15.744</v>
      </c>
      <c r="E19" s="9">
        <v>0</v>
      </c>
      <c r="F19" s="16">
        <f t="shared" si="1"/>
        <v>0</v>
      </c>
      <c r="G19" s="9">
        <f t="shared" si="2"/>
        <v>0</v>
      </c>
      <c r="H19" s="9">
        <f t="shared" si="3"/>
        <v>13.382399999999999</v>
      </c>
      <c r="I19" s="15">
        <f t="shared" si="4"/>
        <v>4.0409134249317837</v>
      </c>
      <c r="J19" s="9">
        <f t="shared" si="5"/>
        <v>54.077119817807095</v>
      </c>
    </row>
    <row r="20" spans="2:10" x14ac:dyDescent="0.25">
      <c r="B20" s="2" t="s">
        <v>96</v>
      </c>
      <c r="C20" s="12">
        <f>Population!H20</f>
        <v>6839</v>
      </c>
      <c r="D20" s="9">
        <f t="shared" si="0"/>
        <v>1121.596</v>
      </c>
      <c r="E20" s="9">
        <v>2184538</v>
      </c>
      <c r="F20" s="16">
        <f t="shared" si="1"/>
        <v>0.23814861937797252</v>
      </c>
      <c r="G20" s="9">
        <f t="shared" si="2"/>
        <v>3344.7331542958395</v>
      </c>
      <c r="H20" s="9">
        <f t="shared" si="3"/>
        <v>2759.5125033197533</v>
      </c>
      <c r="I20" s="15">
        <f t="shared" si="4"/>
        <v>1.6769459749918119</v>
      </c>
      <c r="J20" s="9">
        <f t="shared" si="5"/>
        <v>4627.5533853816387</v>
      </c>
    </row>
    <row r="21" spans="2:10" x14ac:dyDescent="0.25">
      <c r="B21" s="2" t="s">
        <v>98</v>
      </c>
      <c r="C21" s="12">
        <f>Population!H21</f>
        <v>5223</v>
      </c>
      <c r="D21" s="9">
        <f t="shared" si="0"/>
        <v>856.572</v>
      </c>
      <c r="E21" s="9">
        <v>127797</v>
      </c>
      <c r="F21" s="16">
        <f t="shared" si="1"/>
        <v>1.3931860700361703E-2</v>
      </c>
      <c r="G21" s="9">
        <f t="shared" si="2"/>
        <v>195.6692275069353</v>
      </c>
      <c r="H21" s="9">
        <f t="shared" si="3"/>
        <v>833.74758285374503</v>
      </c>
      <c r="I21" s="15">
        <f t="shared" si="4"/>
        <v>1.821913787121769</v>
      </c>
      <c r="J21" s="9">
        <f t="shared" si="5"/>
        <v>1519.0162161806875</v>
      </c>
    </row>
    <row r="22" spans="2:10" x14ac:dyDescent="0.25">
      <c r="B22" s="2" t="s">
        <v>100</v>
      </c>
      <c r="C22" s="12">
        <f>Population!H22</f>
        <v>2110</v>
      </c>
      <c r="D22" s="9">
        <f t="shared" si="0"/>
        <v>346.04</v>
      </c>
      <c r="E22" s="9">
        <v>55173</v>
      </c>
      <c r="F22" s="16">
        <f t="shared" si="1"/>
        <v>6.0147151374528056E-3</v>
      </c>
      <c r="G22" s="9">
        <f t="shared" si="2"/>
        <v>84.475052538323581</v>
      </c>
      <c r="H22" s="9">
        <f t="shared" si="3"/>
        <v>339.75052837069472</v>
      </c>
      <c r="I22" s="15">
        <f t="shared" si="4"/>
        <v>2.0042858715788112</v>
      </c>
      <c r="J22" s="9">
        <f t="shared" si="5"/>
        <v>680.95718387481952</v>
      </c>
    </row>
    <row r="23" spans="2:10" x14ac:dyDescent="0.25">
      <c r="B23" s="2" t="s">
        <v>102</v>
      </c>
      <c r="C23" s="12">
        <f>Population!H23</f>
        <v>137081</v>
      </c>
      <c r="D23" s="9">
        <f t="shared" si="0"/>
        <v>22481.284</v>
      </c>
      <c r="E23" s="9">
        <v>1494055</v>
      </c>
      <c r="F23" s="16">
        <f t="shared" si="1"/>
        <v>0.16287523289810327</v>
      </c>
      <c r="G23" s="9">
        <f t="shared" si="2"/>
        <v>2287.5387348910708</v>
      </c>
      <c r="H23" s="9">
        <f t="shared" si="3"/>
        <v>20344.362316841176</v>
      </c>
      <c r="I23" s="15">
        <f t="shared" si="4"/>
        <v>1.5651680656731</v>
      </c>
      <c r="J23" s="9">
        <f t="shared" si="5"/>
        <v>31842.346214803008</v>
      </c>
    </row>
    <row r="24" spans="2:10" x14ac:dyDescent="0.25">
      <c r="B24" s="2" t="s">
        <v>104</v>
      </c>
      <c r="C24" s="12">
        <f>Population!H24</f>
        <v>69</v>
      </c>
      <c r="D24" s="9">
        <f t="shared" si="0"/>
        <v>11.316000000000001</v>
      </c>
      <c r="E24" s="9">
        <v>252420</v>
      </c>
      <c r="F24" s="16">
        <f t="shared" si="1"/>
        <v>2.7517706033672942E-2</v>
      </c>
      <c r="G24" s="9">
        <f t="shared" si="2"/>
        <v>386.47876246938978</v>
      </c>
      <c r="H24" s="9">
        <f t="shared" si="3"/>
        <v>218.31713173347049</v>
      </c>
      <c r="I24" s="15">
        <f t="shared" si="4"/>
        <v>2.1290902623023502</v>
      </c>
      <c r="J24" s="9">
        <f t="shared" si="5"/>
        <v>464.81687926751141</v>
      </c>
    </row>
    <row r="25" spans="2:10" x14ac:dyDescent="0.25">
      <c r="B25" s="2" t="s">
        <v>106</v>
      </c>
      <c r="C25" s="12">
        <f>Population!H25</f>
        <v>537</v>
      </c>
      <c r="D25" s="9">
        <f t="shared" si="0"/>
        <v>88.067999999999998</v>
      </c>
      <c r="E25" s="9">
        <v>2333</v>
      </c>
      <c r="F25" s="16">
        <f t="shared" si="1"/>
        <v>2.5433328649298383E-4</v>
      </c>
      <c r="G25" s="9">
        <f t="shared" si="2"/>
        <v>3.5720424405399189</v>
      </c>
      <c r="H25" s="9">
        <f t="shared" si="3"/>
        <v>76.78670291789156</v>
      </c>
      <c r="I25" s="15">
        <f t="shared" si="4"/>
        <v>2.5607520045733243</v>
      </c>
      <c r="J25" s="9">
        <f t="shared" si="5"/>
        <v>196.63170342156715</v>
      </c>
    </row>
    <row r="26" spans="2:10" x14ac:dyDescent="0.25">
      <c r="B26" s="2" t="s">
        <v>108</v>
      </c>
      <c r="C26" s="12">
        <f>Population!H26</f>
        <v>951</v>
      </c>
      <c r="D26" s="9">
        <f t="shared" si="0"/>
        <v>155.964</v>
      </c>
      <c r="E26" s="9">
        <v>1419623</v>
      </c>
      <c r="F26" s="16">
        <f t="shared" si="1"/>
        <v>0.15476098721432882</v>
      </c>
      <c r="G26" s="9">
        <f t="shared" si="2"/>
        <v>2173.576341863095</v>
      </c>
      <c r="H26" s="9">
        <f t="shared" si="3"/>
        <v>1306.3006246060716</v>
      </c>
      <c r="I26" s="15">
        <f t="shared" si="4"/>
        <v>1.7571788819700231</v>
      </c>
      <c r="J26" s="9">
        <f t="shared" si="5"/>
        <v>2295.4038710620398</v>
      </c>
    </row>
    <row r="27" spans="2:10" x14ac:dyDescent="0.25">
      <c r="B27" s="2" t="s">
        <v>110</v>
      </c>
      <c r="C27" s="12">
        <f>Population!H27</f>
        <v>265</v>
      </c>
      <c r="D27" s="9">
        <f t="shared" si="0"/>
        <v>43.46</v>
      </c>
      <c r="E27" s="9">
        <v>396</v>
      </c>
      <c r="F27" s="16">
        <f t="shared" si="1"/>
        <v>4.317015921612584E-5</v>
      </c>
      <c r="G27" s="9">
        <f t="shared" si="2"/>
        <v>0.6063132475155627</v>
      </c>
      <c r="H27" s="9">
        <f t="shared" si="3"/>
        <v>37.268409153658403</v>
      </c>
      <c r="I27" s="15">
        <f t="shared" si="4"/>
        <v>3.0226021680442097</v>
      </c>
      <c r="J27" s="9">
        <f t="shared" si="5"/>
        <v>112.64757430740656</v>
      </c>
    </row>
    <row r="28" spans="2:10" x14ac:dyDescent="0.25">
      <c r="B28" s="2" t="s">
        <v>112</v>
      </c>
      <c r="C28" s="12">
        <f>Population!H28</f>
        <v>3184</v>
      </c>
      <c r="D28" s="9">
        <f t="shared" si="0"/>
        <v>522.17600000000004</v>
      </c>
      <c r="E28" s="9">
        <v>70284</v>
      </c>
      <c r="F28" s="16">
        <f t="shared" si="1"/>
        <v>7.6620491675408802E-3</v>
      </c>
      <c r="G28" s="9">
        <f t="shared" si="2"/>
        <v>107.61141486965609</v>
      </c>
      <c r="H28" s="9">
        <f t="shared" si="3"/>
        <v>501.95976402961429</v>
      </c>
      <c r="I28" s="15">
        <f t="shared" si="4"/>
        <v>1.9148799222202892</v>
      </c>
      <c r="J28" s="9">
        <f t="shared" si="5"/>
        <v>961.19267390274251</v>
      </c>
    </row>
    <row r="29" spans="2:10" x14ac:dyDescent="0.25">
      <c r="B29" s="2" t="s">
        <v>114</v>
      </c>
      <c r="C29" s="12">
        <f>Population!H29</f>
        <v>4323</v>
      </c>
      <c r="D29" s="9">
        <f t="shared" si="0"/>
        <v>708.97199999999998</v>
      </c>
      <c r="E29" s="9">
        <v>36661</v>
      </c>
      <c r="F29" s="16">
        <f t="shared" si="1"/>
        <v>3.9966192096524984E-3</v>
      </c>
      <c r="G29" s="9">
        <f t="shared" si="2"/>
        <v>56.131439311030412</v>
      </c>
      <c r="H29" s="9">
        <f t="shared" si="3"/>
        <v>632.93717722795634</v>
      </c>
      <c r="I29" s="15">
        <f t="shared" si="4"/>
        <v>1.8694677776544699</v>
      </c>
      <c r="J29" s="9">
        <f t="shared" si="5"/>
        <v>1183.2556581072408</v>
      </c>
    </row>
    <row r="30" spans="2:10" x14ac:dyDescent="0.25">
      <c r="B30" s="2" t="s">
        <v>116</v>
      </c>
      <c r="C30" s="12">
        <f>Population!H30</f>
        <v>186</v>
      </c>
      <c r="D30" s="9">
        <f t="shared" si="0"/>
        <v>30.504000000000001</v>
      </c>
      <c r="E30" s="9">
        <v>503</v>
      </c>
      <c r="F30" s="16">
        <f t="shared" si="1"/>
        <v>5.4834823448765904E-5</v>
      </c>
      <c r="G30" s="9">
        <f t="shared" si="2"/>
        <v>0.77014031186951526</v>
      </c>
      <c r="H30" s="9">
        <f t="shared" si="3"/>
        <v>26.344275768409538</v>
      </c>
      <c r="I30" s="15">
        <f t="shared" si="4"/>
        <v>3.3109803552933683</v>
      </c>
      <c r="J30" s="9">
        <f t="shared" si="5"/>
        <v>87.225379543635086</v>
      </c>
    </row>
    <row r="31" spans="2:10" x14ac:dyDescent="0.25">
      <c r="B31" s="2" t="s">
        <v>118</v>
      </c>
      <c r="C31" s="12">
        <f>Population!H31</f>
        <v>106</v>
      </c>
      <c r="D31" s="9">
        <f t="shared" si="0"/>
        <v>17.384</v>
      </c>
      <c r="E31" s="9">
        <v>188166</v>
      </c>
      <c r="F31" s="16">
        <f t="shared" si="1"/>
        <v>2.0513020654195795E-2</v>
      </c>
      <c r="G31" s="9">
        <f t="shared" si="2"/>
        <v>288.09984477781154</v>
      </c>
      <c r="H31" s="9">
        <f t="shared" si="3"/>
        <v>170.35031618001824</v>
      </c>
      <c r="I31" s="15">
        <f t="shared" si="4"/>
        <v>2.2121728272112757</v>
      </c>
      <c r="J31" s="9">
        <f t="shared" si="5"/>
        <v>376.84434056028567</v>
      </c>
    </row>
    <row r="32" spans="2:10" x14ac:dyDescent="0.25">
      <c r="B32" s="10" t="s">
        <v>120</v>
      </c>
      <c r="C32" s="11">
        <f>SUM(C7:C31)</f>
        <v>237885</v>
      </c>
      <c r="D32" s="11">
        <f>SUM(D7:D31)</f>
        <v>39013.14</v>
      </c>
      <c r="E32" s="11">
        <f>SUM(E7:E31)</f>
        <v>9173003</v>
      </c>
      <c r="G32" s="11">
        <f>SUM(G7:G31)</f>
        <v>14044.730399999997</v>
      </c>
      <c r="H32" s="11">
        <f>SUM(H7:H31)</f>
        <v>40745.323415999985</v>
      </c>
      <c r="J32" s="11">
        <f>SUM(J7:J31)</f>
        <v>67747.381733626942</v>
      </c>
    </row>
    <row r="34" spans="2:2" x14ac:dyDescent="0.25">
      <c r="B34" s="3" t="s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86"/>
  <sheetViews>
    <sheetView workbookViewId="0">
      <pane ySplit="8" topLeftCell="A9" activePane="bottomLeft" state="frozen"/>
      <selection pane="bottomLeft"/>
    </sheetView>
  </sheetViews>
  <sheetFormatPr defaultRowHeight="15" x14ac:dyDescent="0.25"/>
  <cols>
    <col min="1" max="1" width="2" customWidth="1"/>
    <col min="2" max="2" width="15" customWidth="1"/>
    <col min="3" max="3" width="16" customWidth="1"/>
    <col min="4" max="4" width="26" customWidth="1"/>
    <col min="5" max="5" width="17" customWidth="1"/>
    <col min="6" max="6" width="20" customWidth="1"/>
    <col min="7" max="7" width="3" customWidth="1"/>
    <col min="8" max="8" width="8" customWidth="1"/>
    <col min="9" max="9" width="14" customWidth="1"/>
  </cols>
  <sheetData>
    <row r="2" spans="2:9" ht="16.5" x14ac:dyDescent="0.25">
      <c r="B2" s="1" t="s">
        <v>148</v>
      </c>
    </row>
    <row r="3" spans="2:9" x14ac:dyDescent="0.25">
      <c r="B3" s="3" t="s">
        <v>149</v>
      </c>
    </row>
    <row r="4" spans="2:9" x14ac:dyDescent="0.25">
      <c r="B4" s="3" t="s">
        <v>150</v>
      </c>
    </row>
    <row r="5" spans="2:9" x14ac:dyDescent="0.25">
      <c r="B5" s="3" t="s">
        <v>151</v>
      </c>
    </row>
    <row r="6" spans="2:9" x14ac:dyDescent="0.25">
      <c r="B6" s="3" t="s">
        <v>152</v>
      </c>
    </row>
    <row r="8" spans="2:9" ht="25.5" x14ac:dyDescent="0.25">
      <c r="B8" s="4" t="s">
        <v>46</v>
      </c>
      <c r="C8" s="4" t="s">
        <v>153</v>
      </c>
      <c r="D8" s="4" t="s">
        <v>154</v>
      </c>
      <c r="E8" s="4" t="s">
        <v>155</v>
      </c>
      <c r="F8" s="4" t="s">
        <v>136</v>
      </c>
      <c r="H8" s="4" t="s">
        <v>123</v>
      </c>
      <c r="I8" s="4" t="s">
        <v>156</v>
      </c>
    </row>
    <row r="9" spans="2:9" x14ac:dyDescent="0.25">
      <c r="B9" s="17">
        <v>4.9000000000000004</v>
      </c>
      <c r="C9" s="9">
        <f>POP_PLOTS*DWELL_PLOT*B9</f>
        <v>228501.7</v>
      </c>
      <c r="D9" s="18">
        <f>IFERROR(INDEX($H$9:$H$86,MATCH(C9,$I$9:$I$86,1)+1),"&gt;2100")</f>
        <v>2054</v>
      </c>
      <c r="E9" s="9">
        <f>C9*LPCD/1000*(RET_DOM+(ND_RATIO+GOV_RATIO)*RET_NDG)+NET_KM*INFIL_KM/1000</f>
        <v>39277.816778720007</v>
      </c>
      <c r="F9" s="9">
        <f>E9*(1+STP_MARGIN)</f>
        <v>43205.598456592008</v>
      </c>
      <c r="H9" s="2">
        <v>2023</v>
      </c>
      <c r="I9" s="19">
        <v>113224</v>
      </c>
    </row>
    <row r="10" spans="2:9" x14ac:dyDescent="0.25">
      <c r="B10" s="17">
        <v>5.5</v>
      </c>
      <c r="C10" s="9">
        <f>POP_PLOTS*DWELL_PLOT*B10</f>
        <v>256481.5</v>
      </c>
      <c r="D10" s="18">
        <f>IFERROR(INDEX($H$9:$H$86,MATCH(C10,$I$9:$I$86,1)+1),"&gt;2100")</f>
        <v>2059</v>
      </c>
      <c r="E10" s="9">
        <f>C10*LPCD/1000*(RET_DOM+(ND_RATIO+GOV_RATIO)*RET_NDG)+NET_KM*INFIL_KM/1000</f>
        <v>44070.241690399998</v>
      </c>
      <c r="F10" s="9">
        <f>E10*(1+STP_MARGIN)</f>
        <v>48477.265859440005</v>
      </c>
      <c r="H10" s="2">
        <v>2024</v>
      </c>
      <c r="I10" s="19">
        <v>116456</v>
      </c>
    </row>
    <row r="11" spans="2:9" x14ac:dyDescent="0.25">
      <c r="B11" s="17">
        <v>6</v>
      </c>
      <c r="C11" s="9">
        <f>POP_PLOTS*DWELL_PLOT*B11</f>
        <v>279798</v>
      </c>
      <c r="D11" s="18">
        <f>IFERROR(INDEX($H$9:$H$86,MATCH(C11,$I$9:$I$86,1)+1),"&gt;2100")</f>
        <v>2062</v>
      </c>
      <c r="E11" s="9">
        <f>C11*LPCD/1000*(RET_DOM+(ND_RATIO+GOV_RATIO)*RET_NDG)+NET_KM*INFIL_KM/1000</f>
        <v>48063.929116800005</v>
      </c>
      <c r="F11" s="9">
        <f>E11*(1+STP_MARGIN)</f>
        <v>52870.322028480012</v>
      </c>
      <c r="H11" s="2">
        <v>2025</v>
      </c>
      <c r="I11" s="19">
        <v>119244</v>
      </c>
    </row>
    <row r="12" spans="2:9" x14ac:dyDescent="0.25">
      <c r="H12" s="2">
        <v>2026</v>
      </c>
      <c r="I12" s="19">
        <v>122510</v>
      </c>
    </row>
    <row r="13" spans="2:9" x14ac:dyDescent="0.25">
      <c r="B13" s="3" t="s">
        <v>157</v>
      </c>
      <c r="H13" s="2">
        <v>2027</v>
      </c>
      <c r="I13" s="19">
        <v>125831</v>
      </c>
    </row>
    <row r="14" spans="2:9" x14ac:dyDescent="0.25">
      <c r="H14" s="2">
        <v>2028</v>
      </c>
      <c r="I14" s="19">
        <v>129205</v>
      </c>
    </row>
    <row r="15" spans="2:9" x14ac:dyDescent="0.25">
      <c r="H15" s="2">
        <v>2029</v>
      </c>
      <c r="I15" s="19">
        <v>132629</v>
      </c>
    </row>
    <row r="16" spans="2:9" x14ac:dyDescent="0.25">
      <c r="H16" s="2">
        <v>2030</v>
      </c>
      <c r="I16" s="19">
        <v>135532</v>
      </c>
    </row>
    <row r="17" spans="8:9" x14ac:dyDescent="0.25">
      <c r="H17" s="2">
        <v>2031</v>
      </c>
      <c r="I17" s="19">
        <v>139053</v>
      </c>
    </row>
    <row r="18" spans="8:9" x14ac:dyDescent="0.25">
      <c r="H18" s="2">
        <v>2032</v>
      </c>
      <c r="I18" s="19">
        <v>142639</v>
      </c>
    </row>
    <row r="19" spans="8:9" x14ac:dyDescent="0.25">
      <c r="H19" s="2">
        <v>2033</v>
      </c>
      <c r="I19" s="19">
        <v>144473</v>
      </c>
    </row>
    <row r="20" spans="8:9" x14ac:dyDescent="0.25">
      <c r="H20" s="2">
        <v>2034</v>
      </c>
      <c r="I20" s="19">
        <v>150057</v>
      </c>
    </row>
    <row r="21" spans="8:9" x14ac:dyDescent="0.25">
      <c r="H21" s="2">
        <v>2035</v>
      </c>
      <c r="I21" s="19">
        <v>153183</v>
      </c>
    </row>
    <row r="22" spans="8:9" x14ac:dyDescent="0.25">
      <c r="H22" s="2">
        <v>2036</v>
      </c>
      <c r="I22" s="19">
        <v>157141</v>
      </c>
    </row>
    <row r="23" spans="8:9" x14ac:dyDescent="0.25">
      <c r="H23" s="2">
        <v>2037</v>
      </c>
      <c r="I23" s="19">
        <v>161255</v>
      </c>
    </row>
    <row r="24" spans="8:9" x14ac:dyDescent="0.25">
      <c r="H24" s="2">
        <v>2038</v>
      </c>
      <c r="I24" s="19">
        <v>165514</v>
      </c>
    </row>
    <row r="25" spans="8:9" x14ac:dyDescent="0.25">
      <c r="H25" s="2">
        <v>2039</v>
      </c>
      <c r="I25" s="19">
        <v>169958</v>
      </c>
    </row>
    <row r="26" spans="8:9" x14ac:dyDescent="0.25">
      <c r="H26" s="2">
        <v>2040</v>
      </c>
      <c r="I26" s="19">
        <v>173654</v>
      </c>
    </row>
    <row r="27" spans="8:9" x14ac:dyDescent="0.25">
      <c r="H27" s="2">
        <v>2041</v>
      </c>
      <c r="I27" s="19">
        <v>176964</v>
      </c>
    </row>
    <row r="28" spans="8:9" x14ac:dyDescent="0.25">
      <c r="H28" s="2">
        <v>2042</v>
      </c>
      <c r="I28" s="19">
        <v>180426</v>
      </c>
    </row>
    <row r="29" spans="8:9" x14ac:dyDescent="0.25">
      <c r="H29" s="2">
        <v>2043</v>
      </c>
      <c r="I29" s="19">
        <v>184002</v>
      </c>
    </row>
    <row r="30" spans="8:9" x14ac:dyDescent="0.25">
      <c r="H30" s="2">
        <v>2044</v>
      </c>
      <c r="I30" s="19">
        <v>187687</v>
      </c>
    </row>
    <row r="31" spans="8:9" x14ac:dyDescent="0.25">
      <c r="H31" s="2">
        <v>2045</v>
      </c>
      <c r="I31" s="19">
        <v>191496</v>
      </c>
    </row>
    <row r="32" spans="8:9" x14ac:dyDescent="0.25">
      <c r="H32" s="2">
        <v>2046</v>
      </c>
      <c r="I32" s="19">
        <v>195437</v>
      </c>
    </row>
    <row r="33" spans="8:9" x14ac:dyDescent="0.25">
      <c r="H33" s="2">
        <v>2047</v>
      </c>
      <c r="I33" s="19">
        <v>199510</v>
      </c>
    </row>
    <row r="34" spans="8:9" x14ac:dyDescent="0.25">
      <c r="H34" s="2">
        <v>2048</v>
      </c>
      <c r="I34" s="19">
        <v>203734</v>
      </c>
    </row>
    <row r="35" spans="8:9" x14ac:dyDescent="0.25">
      <c r="H35" s="2">
        <v>2049</v>
      </c>
      <c r="I35" s="19">
        <v>208107</v>
      </c>
    </row>
    <row r="36" spans="8:9" x14ac:dyDescent="0.25">
      <c r="H36" s="2">
        <v>2050</v>
      </c>
      <c r="I36" s="19">
        <v>212643</v>
      </c>
    </row>
    <row r="37" spans="8:9" x14ac:dyDescent="0.25">
      <c r="H37" s="2">
        <v>2051</v>
      </c>
      <c r="I37" s="19">
        <v>217340</v>
      </c>
    </row>
    <row r="38" spans="8:9" x14ac:dyDescent="0.25">
      <c r="H38" s="2">
        <v>2052</v>
      </c>
      <c r="I38" s="19">
        <v>222207</v>
      </c>
    </row>
    <row r="39" spans="8:9" x14ac:dyDescent="0.25">
      <c r="H39" s="2">
        <v>2053</v>
      </c>
      <c r="I39" s="19">
        <v>227248</v>
      </c>
    </row>
    <row r="40" spans="8:9" x14ac:dyDescent="0.25">
      <c r="H40" s="2">
        <v>2054</v>
      </c>
      <c r="I40" s="19">
        <v>232472</v>
      </c>
    </row>
    <row r="41" spans="8:9" x14ac:dyDescent="0.25">
      <c r="H41" s="2">
        <v>2055</v>
      </c>
      <c r="I41" s="19">
        <v>237885</v>
      </c>
    </row>
    <row r="42" spans="8:9" x14ac:dyDescent="0.25">
      <c r="H42" s="2">
        <v>2056</v>
      </c>
      <c r="I42" s="19">
        <v>243497</v>
      </c>
    </row>
    <row r="43" spans="8:9" x14ac:dyDescent="0.25">
      <c r="H43" s="2">
        <v>2057</v>
      </c>
      <c r="I43" s="19">
        <v>249315</v>
      </c>
    </row>
    <row r="44" spans="8:9" x14ac:dyDescent="0.25">
      <c r="H44" s="2">
        <v>2058</v>
      </c>
      <c r="I44" s="19">
        <v>255297</v>
      </c>
    </row>
    <row r="45" spans="8:9" x14ac:dyDescent="0.25">
      <c r="H45" s="2">
        <v>2059</v>
      </c>
      <c r="I45" s="19">
        <v>261424</v>
      </c>
    </row>
    <row r="46" spans="8:9" x14ac:dyDescent="0.25">
      <c r="H46" s="2">
        <v>2060</v>
      </c>
      <c r="I46" s="19">
        <v>267699</v>
      </c>
    </row>
    <row r="47" spans="8:9" x14ac:dyDescent="0.25">
      <c r="H47" s="2">
        <v>2061</v>
      </c>
      <c r="I47" s="19">
        <v>274124</v>
      </c>
    </row>
    <row r="48" spans="8:9" x14ac:dyDescent="0.25">
      <c r="H48" s="2">
        <v>2062</v>
      </c>
      <c r="I48" s="19">
        <v>280700</v>
      </c>
    </row>
    <row r="49" spans="8:9" x14ac:dyDescent="0.25">
      <c r="H49" s="2">
        <v>2063</v>
      </c>
      <c r="I49" s="19">
        <v>287438</v>
      </c>
    </row>
    <row r="50" spans="8:9" x14ac:dyDescent="0.25">
      <c r="H50" s="2">
        <v>2064</v>
      </c>
      <c r="I50" s="19">
        <v>294336</v>
      </c>
    </row>
    <row r="51" spans="8:9" x14ac:dyDescent="0.25">
      <c r="H51" s="2">
        <v>2065</v>
      </c>
      <c r="I51" s="19">
        <v>301399</v>
      </c>
    </row>
    <row r="52" spans="8:9" x14ac:dyDescent="0.25">
      <c r="H52" s="2">
        <v>2066</v>
      </c>
      <c r="I52" s="19">
        <v>308634</v>
      </c>
    </row>
    <row r="53" spans="8:9" x14ac:dyDescent="0.25">
      <c r="H53" s="2">
        <v>2067</v>
      </c>
      <c r="I53" s="19">
        <v>316044</v>
      </c>
    </row>
    <row r="54" spans="8:9" x14ac:dyDescent="0.25">
      <c r="H54" s="2">
        <v>2068</v>
      </c>
      <c r="I54" s="19">
        <v>323628</v>
      </c>
    </row>
    <row r="55" spans="8:9" x14ac:dyDescent="0.25">
      <c r="H55" s="2">
        <v>2069</v>
      </c>
      <c r="I55" s="19">
        <v>331397</v>
      </c>
    </row>
    <row r="56" spans="8:9" x14ac:dyDescent="0.25">
      <c r="H56" s="2">
        <v>2070</v>
      </c>
      <c r="I56" s="19">
        <v>339346</v>
      </c>
    </row>
    <row r="57" spans="8:9" x14ac:dyDescent="0.25">
      <c r="H57" s="2">
        <v>2071</v>
      </c>
      <c r="I57" s="19">
        <v>347492</v>
      </c>
    </row>
    <row r="58" spans="8:9" x14ac:dyDescent="0.25">
      <c r="H58" s="2">
        <v>2072</v>
      </c>
      <c r="I58" s="19">
        <v>355831</v>
      </c>
    </row>
    <row r="59" spans="8:9" x14ac:dyDescent="0.25">
      <c r="H59" s="2">
        <v>2073</v>
      </c>
      <c r="I59" s="19">
        <v>364370</v>
      </c>
    </row>
    <row r="60" spans="8:9" x14ac:dyDescent="0.25">
      <c r="H60" s="2">
        <v>2074</v>
      </c>
      <c r="I60" s="19">
        <v>373116</v>
      </c>
    </row>
    <row r="61" spans="8:9" x14ac:dyDescent="0.25">
      <c r="H61" s="2">
        <v>2075</v>
      </c>
      <c r="I61" s="19">
        <v>382072</v>
      </c>
    </row>
    <row r="62" spans="8:9" x14ac:dyDescent="0.25">
      <c r="H62" s="2">
        <v>2076</v>
      </c>
      <c r="I62" s="19">
        <v>391243</v>
      </c>
    </row>
    <row r="63" spans="8:9" x14ac:dyDescent="0.25">
      <c r="H63" s="2">
        <v>2077</v>
      </c>
      <c r="I63" s="19">
        <v>400630</v>
      </c>
    </row>
    <row r="64" spans="8:9" x14ac:dyDescent="0.25">
      <c r="H64" s="2">
        <v>2078</v>
      </c>
      <c r="I64" s="19">
        <v>410245</v>
      </c>
    </row>
    <row r="65" spans="8:9" x14ac:dyDescent="0.25">
      <c r="H65" s="2">
        <v>2079</v>
      </c>
      <c r="I65" s="19">
        <v>420094</v>
      </c>
    </row>
    <row r="66" spans="8:9" x14ac:dyDescent="0.25">
      <c r="H66" s="2">
        <v>2080</v>
      </c>
      <c r="I66" s="19">
        <v>430177</v>
      </c>
    </row>
    <row r="67" spans="8:9" x14ac:dyDescent="0.25">
      <c r="H67" s="2">
        <v>2081</v>
      </c>
      <c r="I67" s="19">
        <v>440499</v>
      </c>
    </row>
    <row r="68" spans="8:9" x14ac:dyDescent="0.25">
      <c r="H68" s="2">
        <v>2082</v>
      </c>
      <c r="I68" s="19">
        <v>451071</v>
      </c>
    </row>
    <row r="69" spans="8:9" x14ac:dyDescent="0.25">
      <c r="H69" s="2">
        <v>2083</v>
      </c>
      <c r="I69" s="19">
        <v>461898</v>
      </c>
    </row>
    <row r="70" spans="8:9" x14ac:dyDescent="0.25">
      <c r="H70" s="2">
        <v>2084</v>
      </c>
      <c r="I70" s="19">
        <v>472983</v>
      </c>
    </row>
    <row r="71" spans="8:9" x14ac:dyDescent="0.25">
      <c r="H71" s="2">
        <v>2085</v>
      </c>
      <c r="I71" s="19">
        <v>484333</v>
      </c>
    </row>
    <row r="72" spans="8:9" x14ac:dyDescent="0.25">
      <c r="H72" s="2">
        <v>2086</v>
      </c>
      <c r="I72" s="19">
        <v>495957</v>
      </c>
    </row>
    <row r="73" spans="8:9" x14ac:dyDescent="0.25">
      <c r="H73" s="2">
        <v>2087</v>
      </c>
      <c r="I73" s="19">
        <v>507861</v>
      </c>
    </row>
    <row r="74" spans="8:9" x14ac:dyDescent="0.25">
      <c r="H74" s="2">
        <v>2088</v>
      </c>
      <c r="I74" s="19">
        <v>520049</v>
      </c>
    </row>
    <row r="75" spans="8:9" x14ac:dyDescent="0.25">
      <c r="H75" s="2">
        <v>2089</v>
      </c>
      <c r="I75" s="19">
        <v>532531</v>
      </c>
    </row>
    <row r="76" spans="8:9" x14ac:dyDescent="0.25">
      <c r="H76" s="2">
        <v>2090</v>
      </c>
      <c r="I76" s="19">
        <v>545311</v>
      </c>
    </row>
    <row r="77" spans="8:9" x14ac:dyDescent="0.25">
      <c r="H77" s="2">
        <v>2091</v>
      </c>
      <c r="I77" s="19">
        <v>558399</v>
      </c>
    </row>
    <row r="78" spans="8:9" x14ac:dyDescent="0.25">
      <c r="H78" s="2">
        <v>2092</v>
      </c>
      <c r="I78" s="19">
        <v>571801</v>
      </c>
    </row>
    <row r="79" spans="8:9" x14ac:dyDescent="0.25">
      <c r="H79" s="2">
        <v>2093</v>
      </c>
      <c r="I79" s="19">
        <v>585523</v>
      </c>
    </row>
    <row r="80" spans="8:9" x14ac:dyDescent="0.25">
      <c r="H80" s="2">
        <v>2094</v>
      </c>
      <c r="I80" s="19">
        <v>599577</v>
      </c>
    </row>
    <row r="81" spans="8:9" x14ac:dyDescent="0.25">
      <c r="H81" s="2">
        <v>2095</v>
      </c>
      <c r="I81" s="19">
        <v>613966</v>
      </c>
    </row>
    <row r="82" spans="8:9" x14ac:dyDescent="0.25">
      <c r="H82" s="2">
        <v>2096</v>
      </c>
      <c r="I82" s="19">
        <v>628702</v>
      </c>
    </row>
    <row r="83" spans="8:9" x14ac:dyDescent="0.25">
      <c r="H83" s="2">
        <v>2097</v>
      </c>
      <c r="I83" s="19">
        <v>643789</v>
      </c>
    </row>
    <row r="84" spans="8:9" x14ac:dyDescent="0.25">
      <c r="H84" s="2">
        <v>2098</v>
      </c>
      <c r="I84" s="19">
        <v>659242</v>
      </c>
    </row>
    <row r="85" spans="8:9" x14ac:dyDescent="0.25">
      <c r="H85" s="2">
        <v>2099</v>
      </c>
      <c r="I85" s="19">
        <v>675061</v>
      </c>
    </row>
    <row r="86" spans="8:9" x14ac:dyDescent="0.25">
      <c r="H86" s="2">
        <v>2100</v>
      </c>
      <c r="I86" s="19">
        <v>691264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READ ME</vt:lpstr>
      <vt:lpstr>Inputs</vt:lpstr>
      <vt:lpstr>Population</vt:lpstr>
      <vt:lpstr>Load</vt:lpstr>
      <vt:lpstr>By Town 2055</vt:lpstr>
      <vt:lpstr>Saturation</vt:lpstr>
      <vt:lpstr>DWELL_PLOT</vt:lpstr>
      <vt:lpstr>GOV_RATIO</vt:lpstr>
      <vt:lpstr>INFIL_KM</vt:lpstr>
      <vt:lpstr>LPCD</vt:lpstr>
      <vt:lpstr>ND_RATIO</vt:lpstr>
      <vt:lpstr>NET_KM</vt:lpstr>
      <vt:lpstr>OR_RATE</vt:lpstr>
      <vt:lpstr>PF_CAP</vt:lpstr>
      <vt:lpstr>POP_PLOTS</vt:lpstr>
      <vt:lpstr>RET_DOM</vt:lpstr>
      <vt:lpstr>RET_NDG</vt:lpstr>
      <vt:lpstr>STP_MARGIN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2026-08-16T13:12:18Z</dcterms:created>
  <dcterms:modified xsi:type="dcterms:W3CDTF">2026-08-16T13:12:36Z</dcterms:modified>
</cp:coreProperties>
</file>